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CC\Desktop\data_analytics_task\Dashboard\"/>
    </mc:Choice>
  </mc:AlternateContent>
  <xr:revisionPtr revIDLastSave="0" documentId="13_ncr:1_{AE434B99-CCBF-4D62-BCAB-088911329BFC}" xr6:coauthVersionLast="47" xr6:coauthVersionMax="47" xr10:uidLastSave="{00000000-0000-0000-0000-000000000000}"/>
  <bookViews>
    <workbookView xWindow="-120" yWindow="-120" windowWidth="29040" windowHeight="15840" activeTab="3" xr2:uid="{1CF2ECFB-AF75-48DE-B436-E6EA11877E5C}"/>
  </bookViews>
  <sheets>
    <sheet name="Raw_Data" sheetId="3" r:id="rId1"/>
    <sheet name="Data_Table" sheetId="4" r:id="rId2"/>
    <sheet name="Pivot Table" sheetId="7" r:id="rId3"/>
    <sheet name="Dashboard" sheetId="6" r:id="rId4"/>
  </sheets>
  <definedNames>
    <definedName name="_xlchart.v5.0" hidden="1">'Pivot Table'!$BG$4</definedName>
    <definedName name="_xlchart.v5.1" hidden="1">'Pivot Table'!$BG$5:$BG$8</definedName>
    <definedName name="_xlchart.v5.2" hidden="1">'Pivot Table'!$BH$4</definedName>
    <definedName name="_xlchart.v5.3" hidden="1">'Pivot Table'!$BH$5:$BH$8</definedName>
    <definedName name="_xlchart.v5.4" hidden="1">'Pivot Table'!$AD$3</definedName>
    <definedName name="_xlchart.v5.5" hidden="1">'Pivot Table'!$AD$4:$AD$7</definedName>
    <definedName name="_xlchart.v5.6" hidden="1">'Pivot Table'!$AE$2</definedName>
    <definedName name="_xlchart.v5.7" hidden="1">'Pivot Table'!$AE$3</definedName>
    <definedName name="_xlchart.v5.8" hidden="1">'Pivot Table'!$AE$4:$AE$7</definedName>
    <definedName name="_xlcn.WorksheetConnection_Dashboard.xlsxTable21" hidden="1">Table2[]</definedName>
    <definedName name="_xlcn.WorksheetConnection_Table11" hidden="1">Table1[]</definedName>
    <definedName name="NativeTimeline_Sale_Date">#N/A</definedName>
    <definedName name="Slicer_State">#N/A</definedName>
  </definedNames>
  <calcPr calcId="191029"/>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able1"/>
          <x15:modelTable id="Table2" name="Table2" connection="WorksheetConnection_Dashboard.xlsx!Table2"/>
        </x15:modelTables>
      </x15:dataModel>
    </ext>
  </extLst>
</workbook>
</file>

<file path=xl/calcChain.xml><?xml version="1.0" encoding="utf-8"?>
<calcChain xmlns="http://schemas.openxmlformats.org/spreadsheetml/2006/main">
  <c r="AB2" i="3" l="1"/>
  <c r="AD6" i="7"/>
  <c r="AE4" i="7"/>
  <c r="AE5" i="7"/>
  <c r="AE6" i="7"/>
  <c r="AE7" i="7"/>
  <c r="AD5" i="7"/>
  <c r="AD7" i="7"/>
  <c r="AD4" i="7"/>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3" i="3"/>
  <c r="AB4" i="3"/>
  <c r="AB5" i="3"/>
  <c r="W6" i="3"/>
  <c r="W2" i="3"/>
  <c r="U2" i="4"/>
  <c r="N17" i="3"/>
  <c r="N18" i="3"/>
  <c r="N33" i="3"/>
  <c r="N34" i="3"/>
  <c r="N49" i="3"/>
  <c r="N50" i="3"/>
  <c r="N65" i="3"/>
  <c r="N66" i="3"/>
  <c r="N81" i="3"/>
  <c r="N82" i="3"/>
  <c r="N97" i="3"/>
  <c r="N98" i="3"/>
  <c r="N113" i="3"/>
  <c r="N114" i="3"/>
  <c r="N129" i="3"/>
  <c r="N130" i="3"/>
  <c r="N145" i="3"/>
  <c r="N146" i="3"/>
  <c r="N161" i="3"/>
  <c r="N162" i="3"/>
  <c r="N177" i="3"/>
  <c r="N178" i="3"/>
  <c r="N193" i="3"/>
  <c r="N194" i="3"/>
  <c r="N209" i="3"/>
  <c r="N210" i="3"/>
  <c r="N225" i="3"/>
  <c r="N226" i="3"/>
  <c r="N241" i="3"/>
  <c r="N242" i="3"/>
  <c r="N257" i="3"/>
  <c r="N258" i="3"/>
  <c r="N273" i="3"/>
  <c r="N274" i="3"/>
  <c r="N289" i="3"/>
  <c r="N290" i="3"/>
  <c r="N305" i="3"/>
  <c r="N306" i="3"/>
  <c r="N321" i="3"/>
  <c r="N322" i="3"/>
  <c r="N337" i="3"/>
  <c r="N338" i="3"/>
  <c r="N356" i="3"/>
  <c r="N388" i="3"/>
  <c r="N420" i="3"/>
  <c r="N452" i="3"/>
  <c r="N484" i="3"/>
  <c r="N516" i="3"/>
  <c r="N548" i="3"/>
  <c r="N580" i="3"/>
  <c r="N612" i="3"/>
  <c r="N644" i="3"/>
  <c r="N676" i="3"/>
  <c r="N708" i="3"/>
  <c r="N740" i="3"/>
  <c r="N772" i="3"/>
  <c r="N804" i="3"/>
  <c r="N825" i="3"/>
  <c r="N829" i="3"/>
  <c r="N841" i="3"/>
  <c r="N845" i="3"/>
  <c r="N860" i="3"/>
  <c r="N876" i="3"/>
  <c r="N892" i="3"/>
  <c r="N908" i="3"/>
  <c r="N924" i="3"/>
  <c r="N940" i="3"/>
  <c r="N956" i="3"/>
  <c r="N967" i="3"/>
  <c r="N975" i="3"/>
  <c r="N983" i="3"/>
  <c r="N991" i="3"/>
  <c r="N999" i="3"/>
  <c r="M3" i="3"/>
  <c r="N3" i="3" s="1"/>
  <c r="M4" i="3"/>
  <c r="N4" i="3" s="1"/>
  <c r="M5" i="3"/>
  <c r="N5" i="3" s="1"/>
  <c r="M6" i="3"/>
  <c r="N6" i="3" s="1"/>
  <c r="M7" i="3"/>
  <c r="N7" i="3" s="1"/>
  <c r="M8" i="3"/>
  <c r="N8" i="3" s="1"/>
  <c r="M9" i="3"/>
  <c r="N9" i="3" s="1"/>
  <c r="M10" i="3"/>
  <c r="N10" i="3" s="1"/>
  <c r="M11" i="3"/>
  <c r="N11" i="3" s="1"/>
  <c r="M12" i="3"/>
  <c r="N12" i="3" s="1"/>
  <c r="M13" i="3"/>
  <c r="N13" i="3" s="1"/>
  <c r="M14" i="3"/>
  <c r="N14" i="3" s="1"/>
  <c r="M15" i="3"/>
  <c r="N15" i="3" s="1"/>
  <c r="M16" i="3"/>
  <c r="N16" i="3" s="1"/>
  <c r="M17" i="3"/>
  <c r="M18" i="3"/>
  <c r="M19" i="3"/>
  <c r="N19" i="3" s="1"/>
  <c r="M20" i="3"/>
  <c r="N20" i="3" s="1"/>
  <c r="M21" i="3"/>
  <c r="N21" i="3" s="1"/>
  <c r="M22" i="3"/>
  <c r="N22" i="3" s="1"/>
  <c r="M23" i="3"/>
  <c r="N23" i="3" s="1"/>
  <c r="M24" i="3"/>
  <c r="N24" i="3" s="1"/>
  <c r="M25" i="3"/>
  <c r="N25" i="3" s="1"/>
  <c r="M26" i="3"/>
  <c r="N26" i="3" s="1"/>
  <c r="M27" i="3"/>
  <c r="N27" i="3" s="1"/>
  <c r="M28" i="3"/>
  <c r="N28" i="3" s="1"/>
  <c r="M29" i="3"/>
  <c r="N29" i="3" s="1"/>
  <c r="M30" i="3"/>
  <c r="N30" i="3" s="1"/>
  <c r="M31" i="3"/>
  <c r="N31" i="3" s="1"/>
  <c r="M32" i="3"/>
  <c r="N32" i="3" s="1"/>
  <c r="M33" i="3"/>
  <c r="M34" i="3"/>
  <c r="M35" i="3"/>
  <c r="N35" i="3" s="1"/>
  <c r="M36" i="3"/>
  <c r="N36" i="3" s="1"/>
  <c r="M37" i="3"/>
  <c r="N37" i="3" s="1"/>
  <c r="M38" i="3"/>
  <c r="N38" i="3" s="1"/>
  <c r="M39" i="3"/>
  <c r="N39" i="3" s="1"/>
  <c r="M40" i="3"/>
  <c r="N40" i="3" s="1"/>
  <c r="M41" i="3"/>
  <c r="N41" i="3" s="1"/>
  <c r="M42" i="3"/>
  <c r="N42" i="3" s="1"/>
  <c r="M43" i="3"/>
  <c r="N43" i="3" s="1"/>
  <c r="M44" i="3"/>
  <c r="N44" i="3" s="1"/>
  <c r="M45" i="3"/>
  <c r="N45" i="3" s="1"/>
  <c r="M46" i="3"/>
  <c r="N46" i="3" s="1"/>
  <c r="M47" i="3"/>
  <c r="N47" i="3" s="1"/>
  <c r="M48" i="3"/>
  <c r="N48" i="3" s="1"/>
  <c r="M49" i="3"/>
  <c r="M50" i="3"/>
  <c r="M51" i="3"/>
  <c r="N51" i="3" s="1"/>
  <c r="M52" i="3"/>
  <c r="N52" i="3" s="1"/>
  <c r="M53" i="3"/>
  <c r="N53" i="3" s="1"/>
  <c r="M54" i="3"/>
  <c r="N54" i="3" s="1"/>
  <c r="M55" i="3"/>
  <c r="N55" i="3" s="1"/>
  <c r="M56" i="3"/>
  <c r="N56" i="3" s="1"/>
  <c r="M57" i="3"/>
  <c r="N57" i="3" s="1"/>
  <c r="M58" i="3"/>
  <c r="N58" i="3" s="1"/>
  <c r="M59" i="3"/>
  <c r="N59" i="3" s="1"/>
  <c r="M60" i="3"/>
  <c r="N60" i="3" s="1"/>
  <c r="M61" i="3"/>
  <c r="N61" i="3" s="1"/>
  <c r="M62" i="3"/>
  <c r="N62" i="3" s="1"/>
  <c r="M63" i="3"/>
  <c r="N63" i="3" s="1"/>
  <c r="M64" i="3"/>
  <c r="N64" i="3" s="1"/>
  <c r="M65" i="3"/>
  <c r="M66" i="3"/>
  <c r="M67" i="3"/>
  <c r="N67" i="3" s="1"/>
  <c r="M68" i="3"/>
  <c r="N68" i="3" s="1"/>
  <c r="M69" i="3"/>
  <c r="N69" i="3" s="1"/>
  <c r="M70" i="3"/>
  <c r="N70" i="3" s="1"/>
  <c r="M71" i="3"/>
  <c r="N71" i="3" s="1"/>
  <c r="M72" i="3"/>
  <c r="N72" i="3" s="1"/>
  <c r="M73" i="3"/>
  <c r="N73" i="3" s="1"/>
  <c r="M74" i="3"/>
  <c r="N74" i="3" s="1"/>
  <c r="M75" i="3"/>
  <c r="N75" i="3" s="1"/>
  <c r="M76" i="3"/>
  <c r="N76" i="3" s="1"/>
  <c r="M77" i="3"/>
  <c r="N77" i="3" s="1"/>
  <c r="M78" i="3"/>
  <c r="N78" i="3" s="1"/>
  <c r="M79" i="3"/>
  <c r="N79" i="3" s="1"/>
  <c r="M80" i="3"/>
  <c r="N80" i="3" s="1"/>
  <c r="M81" i="3"/>
  <c r="M82" i="3"/>
  <c r="M83" i="3"/>
  <c r="N83" i="3" s="1"/>
  <c r="M84" i="3"/>
  <c r="N84" i="3" s="1"/>
  <c r="M85" i="3"/>
  <c r="N85" i="3" s="1"/>
  <c r="M86" i="3"/>
  <c r="N86" i="3" s="1"/>
  <c r="M87" i="3"/>
  <c r="N87" i="3" s="1"/>
  <c r="M88" i="3"/>
  <c r="N88" i="3" s="1"/>
  <c r="M89" i="3"/>
  <c r="N89" i="3" s="1"/>
  <c r="M90" i="3"/>
  <c r="N90" i="3" s="1"/>
  <c r="M91" i="3"/>
  <c r="N91" i="3" s="1"/>
  <c r="M92" i="3"/>
  <c r="N92" i="3" s="1"/>
  <c r="M93" i="3"/>
  <c r="N93" i="3" s="1"/>
  <c r="M94" i="3"/>
  <c r="N94" i="3" s="1"/>
  <c r="M95" i="3"/>
  <c r="N95" i="3" s="1"/>
  <c r="M96" i="3"/>
  <c r="N96" i="3" s="1"/>
  <c r="M97" i="3"/>
  <c r="M98" i="3"/>
  <c r="M99" i="3"/>
  <c r="N99" i="3" s="1"/>
  <c r="M100" i="3"/>
  <c r="N100" i="3" s="1"/>
  <c r="M101" i="3"/>
  <c r="N101" i="3" s="1"/>
  <c r="M102" i="3"/>
  <c r="N102" i="3" s="1"/>
  <c r="M103" i="3"/>
  <c r="N103" i="3" s="1"/>
  <c r="M104" i="3"/>
  <c r="N104" i="3" s="1"/>
  <c r="M105" i="3"/>
  <c r="N105" i="3" s="1"/>
  <c r="M106" i="3"/>
  <c r="N106" i="3" s="1"/>
  <c r="M107" i="3"/>
  <c r="N107" i="3" s="1"/>
  <c r="M108" i="3"/>
  <c r="N108" i="3" s="1"/>
  <c r="M109" i="3"/>
  <c r="N109" i="3" s="1"/>
  <c r="M110" i="3"/>
  <c r="N110" i="3" s="1"/>
  <c r="M111" i="3"/>
  <c r="N111" i="3" s="1"/>
  <c r="M112" i="3"/>
  <c r="N112" i="3" s="1"/>
  <c r="M113" i="3"/>
  <c r="M114" i="3"/>
  <c r="M115" i="3"/>
  <c r="N115" i="3" s="1"/>
  <c r="M116" i="3"/>
  <c r="N116" i="3" s="1"/>
  <c r="M117" i="3"/>
  <c r="N117" i="3" s="1"/>
  <c r="M118" i="3"/>
  <c r="N118" i="3" s="1"/>
  <c r="M119" i="3"/>
  <c r="N119" i="3" s="1"/>
  <c r="M120" i="3"/>
  <c r="N120" i="3" s="1"/>
  <c r="M121" i="3"/>
  <c r="N121" i="3" s="1"/>
  <c r="M122" i="3"/>
  <c r="N122" i="3" s="1"/>
  <c r="M123" i="3"/>
  <c r="N123" i="3" s="1"/>
  <c r="M124" i="3"/>
  <c r="N124" i="3" s="1"/>
  <c r="M125" i="3"/>
  <c r="N125" i="3" s="1"/>
  <c r="M126" i="3"/>
  <c r="N126" i="3" s="1"/>
  <c r="M127" i="3"/>
  <c r="N127" i="3" s="1"/>
  <c r="M128" i="3"/>
  <c r="N128" i="3" s="1"/>
  <c r="M129" i="3"/>
  <c r="M130" i="3"/>
  <c r="M131" i="3"/>
  <c r="N131" i="3" s="1"/>
  <c r="M132" i="3"/>
  <c r="N132" i="3" s="1"/>
  <c r="M133" i="3"/>
  <c r="N133" i="3" s="1"/>
  <c r="M134" i="3"/>
  <c r="N134" i="3" s="1"/>
  <c r="M135" i="3"/>
  <c r="N135" i="3" s="1"/>
  <c r="M136" i="3"/>
  <c r="N136" i="3" s="1"/>
  <c r="M137" i="3"/>
  <c r="N137" i="3" s="1"/>
  <c r="M138" i="3"/>
  <c r="N138" i="3" s="1"/>
  <c r="M139" i="3"/>
  <c r="N139" i="3" s="1"/>
  <c r="M140" i="3"/>
  <c r="N140" i="3" s="1"/>
  <c r="M141" i="3"/>
  <c r="N141" i="3" s="1"/>
  <c r="M142" i="3"/>
  <c r="N142" i="3" s="1"/>
  <c r="M143" i="3"/>
  <c r="N143" i="3" s="1"/>
  <c r="M144" i="3"/>
  <c r="N144" i="3" s="1"/>
  <c r="M145" i="3"/>
  <c r="M146" i="3"/>
  <c r="M147" i="3"/>
  <c r="N147" i="3" s="1"/>
  <c r="M148" i="3"/>
  <c r="N148" i="3" s="1"/>
  <c r="M149" i="3"/>
  <c r="N149" i="3" s="1"/>
  <c r="M150" i="3"/>
  <c r="N150" i="3" s="1"/>
  <c r="M151" i="3"/>
  <c r="N151" i="3" s="1"/>
  <c r="M152" i="3"/>
  <c r="N152" i="3" s="1"/>
  <c r="M153" i="3"/>
  <c r="N153" i="3" s="1"/>
  <c r="M154" i="3"/>
  <c r="N154" i="3" s="1"/>
  <c r="M155" i="3"/>
  <c r="N155" i="3" s="1"/>
  <c r="M156" i="3"/>
  <c r="N156" i="3" s="1"/>
  <c r="M157" i="3"/>
  <c r="N157" i="3" s="1"/>
  <c r="M158" i="3"/>
  <c r="N158" i="3" s="1"/>
  <c r="M159" i="3"/>
  <c r="N159" i="3" s="1"/>
  <c r="M160" i="3"/>
  <c r="N160" i="3" s="1"/>
  <c r="M161" i="3"/>
  <c r="M162" i="3"/>
  <c r="M163" i="3"/>
  <c r="N163" i="3" s="1"/>
  <c r="M164" i="3"/>
  <c r="N164" i="3" s="1"/>
  <c r="M165" i="3"/>
  <c r="N165" i="3" s="1"/>
  <c r="M166" i="3"/>
  <c r="N166" i="3" s="1"/>
  <c r="M167" i="3"/>
  <c r="N167" i="3" s="1"/>
  <c r="M168" i="3"/>
  <c r="N168" i="3" s="1"/>
  <c r="M169" i="3"/>
  <c r="N169" i="3" s="1"/>
  <c r="M170" i="3"/>
  <c r="N170" i="3" s="1"/>
  <c r="M171" i="3"/>
  <c r="N171" i="3" s="1"/>
  <c r="M172" i="3"/>
  <c r="N172" i="3" s="1"/>
  <c r="M173" i="3"/>
  <c r="N173" i="3" s="1"/>
  <c r="M174" i="3"/>
  <c r="N174" i="3" s="1"/>
  <c r="M175" i="3"/>
  <c r="N175" i="3" s="1"/>
  <c r="M176" i="3"/>
  <c r="N176" i="3" s="1"/>
  <c r="M177" i="3"/>
  <c r="M178" i="3"/>
  <c r="M179" i="3"/>
  <c r="N179" i="3" s="1"/>
  <c r="M180" i="3"/>
  <c r="N180" i="3" s="1"/>
  <c r="M181" i="3"/>
  <c r="N181" i="3" s="1"/>
  <c r="M182" i="3"/>
  <c r="N182" i="3" s="1"/>
  <c r="M183" i="3"/>
  <c r="N183" i="3" s="1"/>
  <c r="M184" i="3"/>
  <c r="N184" i="3" s="1"/>
  <c r="M185" i="3"/>
  <c r="N185" i="3" s="1"/>
  <c r="M186" i="3"/>
  <c r="N186" i="3" s="1"/>
  <c r="M187" i="3"/>
  <c r="N187" i="3" s="1"/>
  <c r="M188" i="3"/>
  <c r="N188" i="3" s="1"/>
  <c r="M189" i="3"/>
  <c r="N189" i="3" s="1"/>
  <c r="M190" i="3"/>
  <c r="N190" i="3" s="1"/>
  <c r="M191" i="3"/>
  <c r="N191" i="3" s="1"/>
  <c r="M192" i="3"/>
  <c r="N192" i="3" s="1"/>
  <c r="M193" i="3"/>
  <c r="M194" i="3"/>
  <c r="M195" i="3"/>
  <c r="N195" i="3" s="1"/>
  <c r="M196" i="3"/>
  <c r="N196" i="3" s="1"/>
  <c r="M197" i="3"/>
  <c r="N197" i="3" s="1"/>
  <c r="M198" i="3"/>
  <c r="N198" i="3" s="1"/>
  <c r="M199" i="3"/>
  <c r="N199" i="3" s="1"/>
  <c r="M200" i="3"/>
  <c r="N200" i="3" s="1"/>
  <c r="M201" i="3"/>
  <c r="N201" i="3" s="1"/>
  <c r="M202" i="3"/>
  <c r="N202" i="3" s="1"/>
  <c r="M203" i="3"/>
  <c r="N203" i="3" s="1"/>
  <c r="M204" i="3"/>
  <c r="N204" i="3" s="1"/>
  <c r="M205" i="3"/>
  <c r="N205" i="3" s="1"/>
  <c r="M206" i="3"/>
  <c r="N206" i="3" s="1"/>
  <c r="M207" i="3"/>
  <c r="N207" i="3" s="1"/>
  <c r="M208" i="3"/>
  <c r="N208" i="3" s="1"/>
  <c r="M209" i="3"/>
  <c r="M210" i="3"/>
  <c r="M211" i="3"/>
  <c r="N211" i="3" s="1"/>
  <c r="M212" i="3"/>
  <c r="N212" i="3" s="1"/>
  <c r="M213" i="3"/>
  <c r="N213" i="3" s="1"/>
  <c r="M214" i="3"/>
  <c r="N214" i="3" s="1"/>
  <c r="M215" i="3"/>
  <c r="N215" i="3" s="1"/>
  <c r="M216" i="3"/>
  <c r="N216" i="3" s="1"/>
  <c r="M217" i="3"/>
  <c r="N217" i="3" s="1"/>
  <c r="M218" i="3"/>
  <c r="N218" i="3" s="1"/>
  <c r="M219" i="3"/>
  <c r="N219" i="3" s="1"/>
  <c r="M220" i="3"/>
  <c r="N220" i="3" s="1"/>
  <c r="M221" i="3"/>
  <c r="N221" i="3" s="1"/>
  <c r="M222" i="3"/>
  <c r="N222" i="3" s="1"/>
  <c r="M223" i="3"/>
  <c r="N223" i="3" s="1"/>
  <c r="M224" i="3"/>
  <c r="N224" i="3" s="1"/>
  <c r="M225" i="3"/>
  <c r="M226" i="3"/>
  <c r="M227" i="3"/>
  <c r="N227" i="3" s="1"/>
  <c r="M228" i="3"/>
  <c r="N228" i="3" s="1"/>
  <c r="M229" i="3"/>
  <c r="N229" i="3" s="1"/>
  <c r="M230" i="3"/>
  <c r="N230" i="3" s="1"/>
  <c r="M231" i="3"/>
  <c r="N231" i="3" s="1"/>
  <c r="M232" i="3"/>
  <c r="N232" i="3" s="1"/>
  <c r="M233" i="3"/>
  <c r="N233" i="3" s="1"/>
  <c r="M234" i="3"/>
  <c r="N234" i="3" s="1"/>
  <c r="M235" i="3"/>
  <c r="N235" i="3" s="1"/>
  <c r="M236" i="3"/>
  <c r="N236" i="3" s="1"/>
  <c r="M237" i="3"/>
  <c r="N237" i="3" s="1"/>
  <c r="M238" i="3"/>
  <c r="N238" i="3" s="1"/>
  <c r="M239" i="3"/>
  <c r="N239" i="3" s="1"/>
  <c r="M240" i="3"/>
  <c r="N240" i="3" s="1"/>
  <c r="M241" i="3"/>
  <c r="M242" i="3"/>
  <c r="M243" i="3"/>
  <c r="N243" i="3" s="1"/>
  <c r="M244" i="3"/>
  <c r="N244" i="3" s="1"/>
  <c r="M245" i="3"/>
  <c r="N245" i="3" s="1"/>
  <c r="M246" i="3"/>
  <c r="N246" i="3" s="1"/>
  <c r="M247" i="3"/>
  <c r="N247" i="3" s="1"/>
  <c r="M248" i="3"/>
  <c r="N248" i="3" s="1"/>
  <c r="M249" i="3"/>
  <c r="N249" i="3" s="1"/>
  <c r="M250" i="3"/>
  <c r="N250" i="3" s="1"/>
  <c r="M251" i="3"/>
  <c r="N251" i="3" s="1"/>
  <c r="M252" i="3"/>
  <c r="N252" i="3" s="1"/>
  <c r="M253" i="3"/>
  <c r="N253" i="3" s="1"/>
  <c r="M254" i="3"/>
  <c r="N254" i="3" s="1"/>
  <c r="M255" i="3"/>
  <c r="N255" i="3" s="1"/>
  <c r="M256" i="3"/>
  <c r="N256" i="3" s="1"/>
  <c r="M257" i="3"/>
  <c r="M258" i="3"/>
  <c r="M259" i="3"/>
  <c r="N259" i="3" s="1"/>
  <c r="M260" i="3"/>
  <c r="N260" i="3" s="1"/>
  <c r="M261" i="3"/>
  <c r="N261" i="3" s="1"/>
  <c r="M262" i="3"/>
  <c r="N262" i="3" s="1"/>
  <c r="M263" i="3"/>
  <c r="N263" i="3" s="1"/>
  <c r="M264" i="3"/>
  <c r="N264" i="3" s="1"/>
  <c r="M265" i="3"/>
  <c r="N265" i="3" s="1"/>
  <c r="M266" i="3"/>
  <c r="N266" i="3" s="1"/>
  <c r="M267" i="3"/>
  <c r="N267" i="3" s="1"/>
  <c r="M268" i="3"/>
  <c r="N268" i="3" s="1"/>
  <c r="M269" i="3"/>
  <c r="N269" i="3" s="1"/>
  <c r="M270" i="3"/>
  <c r="N270" i="3" s="1"/>
  <c r="M271" i="3"/>
  <c r="N271" i="3" s="1"/>
  <c r="M272" i="3"/>
  <c r="N272" i="3" s="1"/>
  <c r="M273" i="3"/>
  <c r="M274" i="3"/>
  <c r="M275" i="3"/>
  <c r="N275" i="3" s="1"/>
  <c r="M276" i="3"/>
  <c r="N276" i="3" s="1"/>
  <c r="M277" i="3"/>
  <c r="N277" i="3" s="1"/>
  <c r="M278" i="3"/>
  <c r="N278" i="3" s="1"/>
  <c r="M279" i="3"/>
  <c r="N279" i="3" s="1"/>
  <c r="M280" i="3"/>
  <c r="N280" i="3" s="1"/>
  <c r="M281" i="3"/>
  <c r="N281" i="3" s="1"/>
  <c r="M282" i="3"/>
  <c r="N282" i="3" s="1"/>
  <c r="M283" i="3"/>
  <c r="N283" i="3" s="1"/>
  <c r="M284" i="3"/>
  <c r="N284" i="3" s="1"/>
  <c r="M285" i="3"/>
  <c r="N285" i="3" s="1"/>
  <c r="M286" i="3"/>
  <c r="N286" i="3" s="1"/>
  <c r="M287" i="3"/>
  <c r="N287" i="3" s="1"/>
  <c r="M288" i="3"/>
  <c r="N288" i="3" s="1"/>
  <c r="M289" i="3"/>
  <c r="M290" i="3"/>
  <c r="M291" i="3"/>
  <c r="N291" i="3" s="1"/>
  <c r="M292" i="3"/>
  <c r="N292" i="3" s="1"/>
  <c r="M293" i="3"/>
  <c r="N293" i="3" s="1"/>
  <c r="M294" i="3"/>
  <c r="N294" i="3" s="1"/>
  <c r="M295" i="3"/>
  <c r="N295" i="3" s="1"/>
  <c r="M296" i="3"/>
  <c r="N296" i="3" s="1"/>
  <c r="M297" i="3"/>
  <c r="N297" i="3" s="1"/>
  <c r="M298" i="3"/>
  <c r="N298" i="3" s="1"/>
  <c r="M299" i="3"/>
  <c r="N299" i="3" s="1"/>
  <c r="M300" i="3"/>
  <c r="N300" i="3" s="1"/>
  <c r="M301" i="3"/>
  <c r="N301" i="3" s="1"/>
  <c r="M302" i="3"/>
  <c r="N302" i="3" s="1"/>
  <c r="M303" i="3"/>
  <c r="N303" i="3" s="1"/>
  <c r="M304" i="3"/>
  <c r="N304" i="3" s="1"/>
  <c r="M305" i="3"/>
  <c r="M306" i="3"/>
  <c r="M307" i="3"/>
  <c r="N307" i="3" s="1"/>
  <c r="M308" i="3"/>
  <c r="N308" i="3" s="1"/>
  <c r="M309" i="3"/>
  <c r="N309" i="3" s="1"/>
  <c r="M310" i="3"/>
  <c r="N310" i="3" s="1"/>
  <c r="M311" i="3"/>
  <c r="N311" i="3" s="1"/>
  <c r="M312" i="3"/>
  <c r="N312" i="3" s="1"/>
  <c r="M313" i="3"/>
  <c r="N313" i="3" s="1"/>
  <c r="M314" i="3"/>
  <c r="N314" i="3" s="1"/>
  <c r="M315" i="3"/>
  <c r="N315" i="3" s="1"/>
  <c r="M316" i="3"/>
  <c r="N316" i="3" s="1"/>
  <c r="M317" i="3"/>
  <c r="N317" i="3" s="1"/>
  <c r="M318" i="3"/>
  <c r="N318" i="3" s="1"/>
  <c r="M319" i="3"/>
  <c r="N319" i="3" s="1"/>
  <c r="M320" i="3"/>
  <c r="N320" i="3" s="1"/>
  <c r="M321" i="3"/>
  <c r="M322" i="3"/>
  <c r="M323" i="3"/>
  <c r="N323" i="3" s="1"/>
  <c r="M324" i="3"/>
  <c r="N324" i="3" s="1"/>
  <c r="M325" i="3"/>
  <c r="N325" i="3" s="1"/>
  <c r="M326" i="3"/>
  <c r="N326" i="3" s="1"/>
  <c r="M327" i="3"/>
  <c r="N327" i="3" s="1"/>
  <c r="M328" i="3"/>
  <c r="N328" i="3" s="1"/>
  <c r="M329" i="3"/>
  <c r="N329" i="3" s="1"/>
  <c r="M330" i="3"/>
  <c r="N330" i="3" s="1"/>
  <c r="M331" i="3"/>
  <c r="N331" i="3" s="1"/>
  <c r="M332" i="3"/>
  <c r="N332" i="3" s="1"/>
  <c r="M333" i="3"/>
  <c r="N333" i="3" s="1"/>
  <c r="M334" i="3"/>
  <c r="N334" i="3" s="1"/>
  <c r="M335" i="3"/>
  <c r="N335" i="3" s="1"/>
  <c r="M336" i="3"/>
  <c r="N336" i="3" s="1"/>
  <c r="M337" i="3"/>
  <c r="M338" i="3"/>
  <c r="M339" i="3"/>
  <c r="N339" i="3" s="1"/>
  <c r="M340" i="3"/>
  <c r="N340" i="3" s="1"/>
  <c r="M341" i="3"/>
  <c r="N341" i="3" s="1"/>
  <c r="M342" i="3"/>
  <c r="N342" i="3" s="1"/>
  <c r="M343" i="3"/>
  <c r="N343" i="3" s="1"/>
  <c r="M344" i="3"/>
  <c r="N344" i="3" s="1"/>
  <c r="M345" i="3"/>
  <c r="N345" i="3" s="1"/>
  <c r="M346" i="3"/>
  <c r="N346" i="3" s="1"/>
  <c r="M347" i="3"/>
  <c r="N347" i="3" s="1"/>
  <c r="M348" i="3"/>
  <c r="N348" i="3" s="1"/>
  <c r="M349" i="3"/>
  <c r="N349" i="3" s="1"/>
  <c r="M350" i="3"/>
  <c r="N350" i="3" s="1"/>
  <c r="M351" i="3"/>
  <c r="N351" i="3" s="1"/>
  <c r="M352" i="3"/>
  <c r="N352" i="3" s="1"/>
  <c r="M353" i="3"/>
  <c r="N353" i="3" s="1"/>
  <c r="M354" i="3"/>
  <c r="N354" i="3" s="1"/>
  <c r="M355" i="3"/>
  <c r="N355" i="3" s="1"/>
  <c r="M356" i="3"/>
  <c r="M357" i="3"/>
  <c r="N357" i="3" s="1"/>
  <c r="M358" i="3"/>
  <c r="N358" i="3" s="1"/>
  <c r="M359" i="3"/>
  <c r="N359" i="3" s="1"/>
  <c r="M360" i="3"/>
  <c r="N360" i="3" s="1"/>
  <c r="M361" i="3"/>
  <c r="N361" i="3" s="1"/>
  <c r="M362" i="3"/>
  <c r="N362" i="3" s="1"/>
  <c r="M363" i="3"/>
  <c r="N363" i="3" s="1"/>
  <c r="M364" i="3"/>
  <c r="N364" i="3" s="1"/>
  <c r="M365" i="3"/>
  <c r="N365" i="3" s="1"/>
  <c r="M366" i="3"/>
  <c r="N366" i="3" s="1"/>
  <c r="M367" i="3"/>
  <c r="N367" i="3" s="1"/>
  <c r="M368" i="3"/>
  <c r="N368" i="3" s="1"/>
  <c r="M369" i="3"/>
  <c r="N369" i="3" s="1"/>
  <c r="M370" i="3"/>
  <c r="N370" i="3" s="1"/>
  <c r="M371" i="3"/>
  <c r="N371" i="3" s="1"/>
  <c r="M372" i="3"/>
  <c r="N372" i="3" s="1"/>
  <c r="M373" i="3"/>
  <c r="N373" i="3" s="1"/>
  <c r="M374" i="3"/>
  <c r="N374" i="3" s="1"/>
  <c r="M375" i="3"/>
  <c r="N375" i="3" s="1"/>
  <c r="M376" i="3"/>
  <c r="N376" i="3" s="1"/>
  <c r="M377" i="3"/>
  <c r="N377" i="3" s="1"/>
  <c r="M378" i="3"/>
  <c r="N378" i="3" s="1"/>
  <c r="M379" i="3"/>
  <c r="N379" i="3" s="1"/>
  <c r="M380" i="3"/>
  <c r="N380" i="3" s="1"/>
  <c r="M381" i="3"/>
  <c r="N381" i="3" s="1"/>
  <c r="M382" i="3"/>
  <c r="N382" i="3" s="1"/>
  <c r="M383" i="3"/>
  <c r="N383" i="3" s="1"/>
  <c r="M384" i="3"/>
  <c r="N384" i="3" s="1"/>
  <c r="M385" i="3"/>
  <c r="N385" i="3" s="1"/>
  <c r="M386" i="3"/>
  <c r="N386" i="3" s="1"/>
  <c r="M387" i="3"/>
  <c r="N387" i="3" s="1"/>
  <c r="M388" i="3"/>
  <c r="M389" i="3"/>
  <c r="N389" i="3" s="1"/>
  <c r="M390" i="3"/>
  <c r="N390" i="3" s="1"/>
  <c r="M391" i="3"/>
  <c r="N391" i="3" s="1"/>
  <c r="M392" i="3"/>
  <c r="N392" i="3" s="1"/>
  <c r="M393" i="3"/>
  <c r="N393" i="3" s="1"/>
  <c r="M394" i="3"/>
  <c r="N394" i="3" s="1"/>
  <c r="M395" i="3"/>
  <c r="N395" i="3" s="1"/>
  <c r="M396" i="3"/>
  <c r="N396" i="3" s="1"/>
  <c r="M397" i="3"/>
  <c r="N397" i="3" s="1"/>
  <c r="M398" i="3"/>
  <c r="N398" i="3" s="1"/>
  <c r="M399" i="3"/>
  <c r="N399" i="3" s="1"/>
  <c r="M400" i="3"/>
  <c r="N400" i="3" s="1"/>
  <c r="M401" i="3"/>
  <c r="N401" i="3" s="1"/>
  <c r="M402" i="3"/>
  <c r="N402" i="3" s="1"/>
  <c r="M403" i="3"/>
  <c r="N403" i="3" s="1"/>
  <c r="M404" i="3"/>
  <c r="N404" i="3" s="1"/>
  <c r="M405" i="3"/>
  <c r="N405" i="3" s="1"/>
  <c r="M406" i="3"/>
  <c r="N406" i="3" s="1"/>
  <c r="M407" i="3"/>
  <c r="N407" i="3" s="1"/>
  <c r="M408" i="3"/>
  <c r="N408" i="3" s="1"/>
  <c r="M409" i="3"/>
  <c r="N409" i="3" s="1"/>
  <c r="M410" i="3"/>
  <c r="N410" i="3" s="1"/>
  <c r="M411" i="3"/>
  <c r="N411" i="3" s="1"/>
  <c r="M412" i="3"/>
  <c r="N412" i="3" s="1"/>
  <c r="M413" i="3"/>
  <c r="N413" i="3" s="1"/>
  <c r="M414" i="3"/>
  <c r="N414" i="3" s="1"/>
  <c r="M415" i="3"/>
  <c r="N415" i="3" s="1"/>
  <c r="M416" i="3"/>
  <c r="N416" i="3" s="1"/>
  <c r="M417" i="3"/>
  <c r="N417" i="3" s="1"/>
  <c r="M418" i="3"/>
  <c r="N418" i="3" s="1"/>
  <c r="M419" i="3"/>
  <c r="N419" i="3" s="1"/>
  <c r="M420" i="3"/>
  <c r="M421" i="3"/>
  <c r="N421" i="3" s="1"/>
  <c r="M422" i="3"/>
  <c r="N422" i="3" s="1"/>
  <c r="M423" i="3"/>
  <c r="N423" i="3" s="1"/>
  <c r="M424" i="3"/>
  <c r="N424" i="3" s="1"/>
  <c r="M425" i="3"/>
  <c r="N425" i="3" s="1"/>
  <c r="M426" i="3"/>
  <c r="N426" i="3" s="1"/>
  <c r="M427" i="3"/>
  <c r="N427" i="3" s="1"/>
  <c r="M428" i="3"/>
  <c r="N428" i="3" s="1"/>
  <c r="M429" i="3"/>
  <c r="N429" i="3" s="1"/>
  <c r="M430" i="3"/>
  <c r="N430" i="3" s="1"/>
  <c r="M431" i="3"/>
  <c r="N431" i="3" s="1"/>
  <c r="M432" i="3"/>
  <c r="N432" i="3" s="1"/>
  <c r="M433" i="3"/>
  <c r="N433" i="3" s="1"/>
  <c r="M434" i="3"/>
  <c r="N434" i="3" s="1"/>
  <c r="M435" i="3"/>
  <c r="N435" i="3" s="1"/>
  <c r="M436" i="3"/>
  <c r="N436" i="3" s="1"/>
  <c r="M437" i="3"/>
  <c r="N437" i="3" s="1"/>
  <c r="M438" i="3"/>
  <c r="N438" i="3" s="1"/>
  <c r="M439" i="3"/>
  <c r="N439" i="3" s="1"/>
  <c r="M440" i="3"/>
  <c r="N440" i="3" s="1"/>
  <c r="M441" i="3"/>
  <c r="N441" i="3" s="1"/>
  <c r="M442" i="3"/>
  <c r="N442" i="3" s="1"/>
  <c r="M443" i="3"/>
  <c r="N443" i="3" s="1"/>
  <c r="M444" i="3"/>
  <c r="N444" i="3" s="1"/>
  <c r="M445" i="3"/>
  <c r="N445" i="3" s="1"/>
  <c r="M446" i="3"/>
  <c r="N446" i="3" s="1"/>
  <c r="M447" i="3"/>
  <c r="N447" i="3" s="1"/>
  <c r="M448" i="3"/>
  <c r="N448" i="3" s="1"/>
  <c r="M449" i="3"/>
  <c r="N449" i="3" s="1"/>
  <c r="M450" i="3"/>
  <c r="N450" i="3" s="1"/>
  <c r="M451" i="3"/>
  <c r="N451" i="3" s="1"/>
  <c r="M452" i="3"/>
  <c r="M453" i="3"/>
  <c r="N453" i="3" s="1"/>
  <c r="M454" i="3"/>
  <c r="N454" i="3" s="1"/>
  <c r="M455" i="3"/>
  <c r="N455" i="3" s="1"/>
  <c r="M456" i="3"/>
  <c r="N456" i="3" s="1"/>
  <c r="M457" i="3"/>
  <c r="N457" i="3" s="1"/>
  <c r="M458" i="3"/>
  <c r="N458" i="3" s="1"/>
  <c r="M459" i="3"/>
  <c r="N459" i="3" s="1"/>
  <c r="M460" i="3"/>
  <c r="N460" i="3" s="1"/>
  <c r="M461" i="3"/>
  <c r="N461" i="3" s="1"/>
  <c r="M462" i="3"/>
  <c r="N462" i="3" s="1"/>
  <c r="M463" i="3"/>
  <c r="N463" i="3" s="1"/>
  <c r="M464" i="3"/>
  <c r="N464" i="3" s="1"/>
  <c r="M465" i="3"/>
  <c r="N465" i="3" s="1"/>
  <c r="M466" i="3"/>
  <c r="N466" i="3" s="1"/>
  <c r="M467" i="3"/>
  <c r="N467" i="3" s="1"/>
  <c r="M468" i="3"/>
  <c r="N468" i="3" s="1"/>
  <c r="M469" i="3"/>
  <c r="N469" i="3" s="1"/>
  <c r="M470" i="3"/>
  <c r="N470" i="3" s="1"/>
  <c r="M471" i="3"/>
  <c r="N471" i="3" s="1"/>
  <c r="M472" i="3"/>
  <c r="N472" i="3" s="1"/>
  <c r="M473" i="3"/>
  <c r="N473" i="3" s="1"/>
  <c r="M474" i="3"/>
  <c r="N474" i="3" s="1"/>
  <c r="M475" i="3"/>
  <c r="N475" i="3" s="1"/>
  <c r="M476" i="3"/>
  <c r="N476" i="3" s="1"/>
  <c r="M477" i="3"/>
  <c r="N477" i="3" s="1"/>
  <c r="M478" i="3"/>
  <c r="N478" i="3" s="1"/>
  <c r="M479" i="3"/>
  <c r="N479" i="3" s="1"/>
  <c r="M480" i="3"/>
  <c r="N480" i="3" s="1"/>
  <c r="M481" i="3"/>
  <c r="N481" i="3" s="1"/>
  <c r="M482" i="3"/>
  <c r="N482" i="3" s="1"/>
  <c r="M483" i="3"/>
  <c r="N483" i="3" s="1"/>
  <c r="M484" i="3"/>
  <c r="M485" i="3"/>
  <c r="N485" i="3" s="1"/>
  <c r="M486" i="3"/>
  <c r="N486" i="3" s="1"/>
  <c r="M487" i="3"/>
  <c r="N487" i="3" s="1"/>
  <c r="M488" i="3"/>
  <c r="N488" i="3" s="1"/>
  <c r="M489" i="3"/>
  <c r="N489" i="3" s="1"/>
  <c r="M490" i="3"/>
  <c r="N490" i="3" s="1"/>
  <c r="M491" i="3"/>
  <c r="N491" i="3" s="1"/>
  <c r="M492" i="3"/>
  <c r="N492" i="3" s="1"/>
  <c r="M493" i="3"/>
  <c r="N493" i="3" s="1"/>
  <c r="M494" i="3"/>
  <c r="N494" i="3" s="1"/>
  <c r="M495" i="3"/>
  <c r="N495" i="3" s="1"/>
  <c r="M496" i="3"/>
  <c r="N496" i="3" s="1"/>
  <c r="M497" i="3"/>
  <c r="N497" i="3" s="1"/>
  <c r="M498" i="3"/>
  <c r="N498" i="3" s="1"/>
  <c r="M499" i="3"/>
  <c r="N499" i="3" s="1"/>
  <c r="M500" i="3"/>
  <c r="N500" i="3" s="1"/>
  <c r="M501" i="3"/>
  <c r="N501" i="3" s="1"/>
  <c r="M502" i="3"/>
  <c r="N502" i="3" s="1"/>
  <c r="M503" i="3"/>
  <c r="N503" i="3" s="1"/>
  <c r="M504" i="3"/>
  <c r="N504" i="3" s="1"/>
  <c r="M505" i="3"/>
  <c r="N505" i="3" s="1"/>
  <c r="M506" i="3"/>
  <c r="N506" i="3" s="1"/>
  <c r="M507" i="3"/>
  <c r="N507" i="3" s="1"/>
  <c r="M508" i="3"/>
  <c r="N508" i="3" s="1"/>
  <c r="M509" i="3"/>
  <c r="N509" i="3" s="1"/>
  <c r="M510" i="3"/>
  <c r="N510" i="3" s="1"/>
  <c r="M511" i="3"/>
  <c r="N511" i="3" s="1"/>
  <c r="M512" i="3"/>
  <c r="N512" i="3" s="1"/>
  <c r="M513" i="3"/>
  <c r="N513" i="3" s="1"/>
  <c r="M514" i="3"/>
  <c r="N514" i="3" s="1"/>
  <c r="M515" i="3"/>
  <c r="N515" i="3" s="1"/>
  <c r="M516" i="3"/>
  <c r="M517" i="3"/>
  <c r="N517" i="3" s="1"/>
  <c r="M518" i="3"/>
  <c r="N518" i="3" s="1"/>
  <c r="M519" i="3"/>
  <c r="N519" i="3" s="1"/>
  <c r="M520" i="3"/>
  <c r="N520" i="3" s="1"/>
  <c r="M521" i="3"/>
  <c r="N521" i="3" s="1"/>
  <c r="M522" i="3"/>
  <c r="N522" i="3" s="1"/>
  <c r="M523" i="3"/>
  <c r="N523" i="3" s="1"/>
  <c r="M524" i="3"/>
  <c r="N524" i="3" s="1"/>
  <c r="M525" i="3"/>
  <c r="N525" i="3" s="1"/>
  <c r="M526" i="3"/>
  <c r="N526" i="3" s="1"/>
  <c r="M527" i="3"/>
  <c r="N527" i="3" s="1"/>
  <c r="M528" i="3"/>
  <c r="N528" i="3" s="1"/>
  <c r="M529" i="3"/>
  <c r="N529" i="3" s="1"/>
  <c r="M530" i="3"/>
  <c r="N530" i="3" s="1"/>
  <c r="M531" i="3"/>
  <c r="N531" i="3" s="1"/>
  <c r="M532" i="3"/>
  <c r="N532" i="3" s="1"/>
  <c r="M533" i="3"/>
  <c r="N533" i="3" s="1"/>
  <c r="M534" i="3"/>
  <c r="N534" i="3" s="1"/>
  <c r="M535" i="3"/>
  <c r="N535" i="3" s="1"/>
  <c r="M536" i="3"/>
  <c r="N536" i="3" s="1"/>
  <c r="M537" i="3"/>
  <c r="N537" i="3" s="1"/>
  <c r="M538" i="3"/>
  <c r="N538" i="3" s="1"/>
  <c r="M539" i="3"/>
  <c r="N539" i="3" s="1"/>
  <c r="M540" i="3"/>
  <c r="N540" i="3" s="1"/>
  <c r="M541" i="3"/>
  <c r="N541" i="3" s="1"/>
  <c r="M542" i="3"/>
  <c r="N542" i="3" s="1"/>
  <c r="M543" i="3"/>
  <c r="N543" i="3" s="1"/>
  <c r="M544" i="3"/>
  <c r="N544" i="3" s="1"/>
  <c r="M545" i="3"/>
  <c r="N545" i="3" s="1"/>
  <c r="M546" i="3"/>
  <c r="N546" i="3" s="1"/>
  <c r="M547" i="3"/>
  <c r="N547" i="3" s="1"/>
  <c r="M548" i="3"/>
  <c r="M549" i="3"/>
  <c r="N549" i="3" s="1"/>
  <c r="M550" i="3"/>
  <c r="N550" i="3" s="1"/>
  <c r="M551" i="3"/>
  <c r="N551" i="3" s="1"/>
  <c r="M552" i="3"/>
  <c r="N552" i="3" s="1"/>
  <c r="M553" i="3"/>
  <c r="N553" i="3" s="1"/>
  <c r="M554" i="3"/>
  <c r="N554" i="3" s="1"/>
  <c r="M555" i="3"/>
  <c r="N555" i="3" s="1"/>
  <c r="M556" i="3"/>
  <c r="N556" i="3" s="1"/>
  <c r="M557" i="3"/>
  <c r="N557" i="3" s="1"/>
  <c r="M558" i="3"/>
  <c r="N558" i="3" s="1"/>
  <c r="M559" i="3"/>
  <c r="N559" i="3" s="1"/>
  <c r="M560" i="3"/>
  <c r="N560" i="3" s="1"/>
  <c r="M561" i="3"/>
  <c r="N561" i="3" s="1"/>
  <c r="M562" i="3"/>
  <c r="N562" i="3" s="1"/>
  <c r="M563" i="3"/>
  <c r="N563" i="3" s="1"/>
  <c r="M564" i="3"/>
  <c r="N564" i="3" s="1"/>
  <c r="M565" i="3"/>
  <c r="N565" i="3" s="1"/>
  <c r="M566" i="3"/>
  <c r="N566" i="3" s="1"/>
  <c r="M567" i="3"/>
  <c r="N567" i="3" s="1"/>
  <c r="M568" i="3"/>
  <c r="N568" i="3" s="1"/>
  <c r="M569" i="3"/>
  <c r="N569" i="3" s="1"/>
  <c r="M570" i="3"/>
  <c r="N570" i="3" s="1"/>
  <c r="M571" i="3"/>
  <c r="N571" i="3" s="1"/>
  <c r="M572" i="3"/>
  <c r="N572" i="3" s="1"/>
  <c r="M573" i="3"/>
  <c r="N573" i="3" s="1"/>
  <c r="M574" i="3"/>
  <c r="N574" i="3" s="1"/>
  <c r="M575" i="3"/>
  <c r="N575" i="3" s="1"/>
  <c r="M576" i="3"/>
  <c r="N576" i="3" s="1"/>
  <c r="M577" i="3"/>
  <c r="N577" i="3" s="1"/>
  <c r="M578" i="3"/>
  <c r="N578" i="3" s="1"/>
  <c r="M579" i="3"/>
  <c r="N579" i="3" s="1"/>
  <c r="M580" i="3"/>
  <c r="M581" i="3"/>
  <c r="N581" i="3" s="1"/>
  <c r="M582" i="3"/>
  <c r="N582" i="3" s="1"/>
  <c r="M583" i="3"/>
  <c r="N583" i="3" s="1"/>
  <c r="M584" i="3"/>
  <c r="N584" i="3" s="1"/>
  <c r="M585" i="3"/>
  <c r="N585" i="3" s="1"/>
  <c r="M586" i="3"/>
  <c r="N586" i="3" s="1"/>
  <c r="M587" i="3"/>
  <c r="N587" i="3" s="1"/>
  <c r="M588" i="3"/>
  <c r="N588" i="3" s="1"/>
  <c r="M589" i="3"/>
  <c r="N589" i="3" s="1"/>
  <c r="M590" i="3"/>
  <c r="N590" i="3" s="1"/>
  <c r="M591" i="3"/>
  <c r="N591" i="3" s="1"/>
  <c r="M592" i="3"/>
  <c r="N592" i="3" s="1"/>
  <c r="M593" i="3"/>
  <c r="N593" i="3" s="1"/>
  <c r="M594" i="3"/>
  <c r="N594" i="3" s="1"/>
  <c r="M595" i="3"/>
  <c r="N595" i="3" s="1"/>
  <c r="M596" i="3"/>
  <c r="N596" i="3" s="1"/>
  <c r="M597" i="3"/>
  <c r="N597" i="3" s="1"/>
  <c r="M598" i="3"/>
  <c r="N598" i="3" s="1"/>
  <c r="M599" i="3"/>
  <c r="N599" i="3" s="1"/>
  <c r="M600" i="3"/>
  <c r="N600" i="3" s="1"/>
  <c r="M601" i="3"/>
  <c r="N601" i="3" s="1"/>
  <c r="M602" i="3"/>
  <c r="N602" i="3" s="1"/>
  <c r="M603" i="3"/>
  <c r="N603" i="3" s="1"/>
  <c r="M604" i="3"/>
  <c r="N604" i="3" s="1"/>
  <c r="M605" i="3"/>
  <c r="N605" i="3" s="1"/>
  <c r="M606" i="3"/>
  <c r="N606" i="3" s="1"/>
  <c r="M607" i="3"/>
  <c r="N607" i="3" s="1"/>
  <c r="M608" i="3"/>
  <c r="N608" i="3" s="1"/>
  <c r="M609" i="3"/>
  <c r="N609" i="3" s="1"/>
  <c r="M610" i="3"/>
  <c r="N610" i="3" s="1"/>
  <c r="M611" i="3"/>
  <c r="N611" i="3" s="1"/>
  <c r="M612" i="3"/>
  <c r="M613" i="3"/>
  <c r="N613" i="3" s="1"/>
  <c r="M614" i="3"/>
  <c r="N614" i="3" s="1"/>
  <c r="M615" i="3"/>
  <c r="N615" i="3" s="1"/>
  <c r="M616" i="3"/>
  <c r="N616" i="3" s="1"/>
  <c r="M617" i="3"/>
  <c r="N617" i="3" s="1"/>
  <c r="M618" i="3"/>
  <c r="N618" i="3" s="1"/>
  <c r="M619" i="3"/>
  <c r="N619" i="3" s="1"/>
  <c r="M620" i="3"/>
  <c r="N620" i="3" s="1"/>
  <c r="M621" i="3"/>
  <c r="N621" i="3" s="1"/>
  <c r="M622" i="3"/>
  <c r="N622" i="3" s="1"/>
  <c r="M623" i="3"/>
  <c r="N623" i="3" s="1"/>
  <c r="M624" i="3"/>
  <c r="N624" i="3" s="1"/>
  <c r="M625" i="3"/>
  <c r="N625" i="3" s="1"/>
  <c r="M626" i="3"/>
  <c r="N626" i="3" s="1"/>
  <c r="M627" i="3"/>
  <c r="N627" i="3" s="1"/>
  <c r="M628" i="3"/>
  <c r="N628" i="3" s="1"/>
  <c r="M629" i="3"/>
  <c r="N629" i="3" s="1"/>
  <c r="M630" i="3"/>
  <c r="N630" i="3" s="1"/>
  <c r="M631" i="3"/>
  <c r="N631" i="3" s="1"/>
  <c r="M632" i="3"/>
  <c r="N632" i="3" s="1"/>
  <c r="M633" i="3"/>
  <c r="N633" i="3" s="1"/>
  <c r="M634" i="3"/>
  <c r="N634" i="3" s="1"/>
  <c r="M635" i="3"/>
  <c r="N635" i="3" s="1"/>
  <c r="M636" i="3"/>
  <c r="N636" i="3" s="1"/>
  <c r="M637" i="3"/>
  <c r="N637" i="3" s="1"/>
  <c r="M638" i="3"/>
  <c r="N638" i="3" s="1"/>
  <c r="M639" i="3"/>
  <c r="N639" i="3" s="1"/>
  <c r="M640" i="3"/>
  <c r="N640" i="3" s="1"/>
  <c r="M641" i="3"/>
  <c r="N641" i="3" s="1"/>
  <c r="M642" i="3"/>
  <c r="N642" i="3" s="1"/>
  <c r="M643" i="3"/>
  <c r="N643" i="3" s="1"/>
  <c r="M644" i="3"/>
  <c r="M645" i="3"/>
  <c r="N645" i="3" s="1"/>
  <c r="M646" i="3"/>
  <c r="N646" i="3" s="1"/>
  <c r="M647" i="3"/>
  <c r="N647" i="3" s="1"/>
  <c r="M648" i="3"/>
  <c r="N648" i="3" s="1"/>
  <c r="M649" i="3"/>
  <c r="N649" i="3" s="1"/>
  <c r="M650" i="3"/>
  <c r="N650" i="3" s="1"/>
  <c r="M651" i="3"/>
  <c r="N651" i="3" s="1"/>
  <c r="M652" i="3"/>
  <c r="N652" i="3" s="1"/>
  <c r="M653" i="3"/>
  <c r="N653" i="3" s="1"/>
  <c r="M654" i="3"/>
  <c r="N654" i="3" s="1"/>
  <c r="M655" i="3"/>
  <c r="N655" i="3" s="1"/>
  <c r="M656" i="3"/>
  <c r="N656" i="3" s="1"/>
  <c r="M657" i="3"/>
  <c r="N657" i="3" s="1"/>
  <c r="M658" i="3"/>
  <c r="N658" i="3" s="1"/>
  <c r="M659" i="3"/>
  <c r="N659" i="3" s="1"/>
  <c r="M660" i="3"/>
  <c r="N660" i="3" s="1"/>
  <c r="M661" i="3"/>
  <c r="N661" i="3" s="1"/>
  <c r="M662" i="3"/>
  <c r="N662" i="3" s="1"/>
  <c r="M663" i="3"/>
  <c r="N663" i="3" s="1"/>
  <c r="M664" i="3"/>
  <c r="N664" i="3" s="1"/>
  <c r="M665" i="3"/>
  <c r="N665" i="3" s="1"/>
  <c r="M666" i="3"/>
  <c r="N666" i="3" s="1"/>
  <c r="M667" i="3"/>
  <c r="N667" i="3" s="1"/>
  <c r="M668" i="3"/>
  <c r="N668" i="3" s="1"/>
  <c r="M669" i="3"/>
  <c r="N669" i="3" s="1"/>
  <c r="M670" i="3"/>
  <c r="N670" i="3" s="1"/>
  <c r="M671" i="3"/>
  <c r="N671" i="3" s="1"/>
  <c r="M672" i="3"/>
  <c r="N672" i="3" s="1"/>
  <c r="M673" i="3"/>
  <c r="N673" i="3" s="1"/>
  <c r="M674" i="3"/>
  <c r="N674" i="3" s="1"/>
  <c r="M675" i="3"/>
  <c r="N675" i="3" s="1"/>
  <c r="M676" i="3"/>
  <c r="M677" i="3"/>
  <c r="N677" i="3" s="1"/>
  <c r="M678" i="3"/>
  <c r="N678" i="3" s="1"/>
  <c r="M679" i="3"/>
  <c r="N679" i="3" s="1"/>
  <c r="M680" i="3"/>
  <c r="N680" i="3" s="1"/>
  <c r="M681" i="3"/>
  <c r="N681" i="3" s="1"/>
  <c r="M682" i="3"/>
  <c r="N682" i="3" s="1"/>
  <c r="M683" i="3"/>
  <c r="N683" i="3" s="1"/>
  <c r="M684" i="3"/>
  <c r="N684" i="3" s="1"/>
  <c r="M685" i="3"/>
  <c r="N685" i="3" s="1"/>
  <c r="M686" i="3"/>
  <c r="N686" i="3" s="1"/>
  <c r="M687" i="3"/>
  <c r="N687" i="3" s="1"/>
  <c r="M688" i="3"/>
  <c r="N688" i="3" s="1"/>
  <c r="M689" i="3"/>
  <c r="N689" i="3" s="1"/>
  <c r="M690" i="3"/>
  <c r="N690" i="3" s="1"/>
  <c r="M691" i="3"/>
  <c r="N691" i="3" s="1"/>
  <c r="M692" i="3"/>
  <c r="N692" i="3" s="1"/>
  <c r="M693" i="3"/>
  <c r="N693" i="3" s="1"/>
  <c r="M694" i="3"/>
  <c r="N694" i="3" s="1"/>
  <c r="M695" i="3"/>
  <c r="N695" i="3" s="1"/>
  <c r="M696" i="3"/>
  <c r="N696" i="3" s="1"/>
  <c r="M697" i="3"/>
  <c r="N697" i="3" s="1"/>
  <c r="M698" i="3"/>
  <c r="N698" i="3" s="1"/>
  <c r="M699" i="3"/>
  <c r="N699" i="3" s="1"/>
  <c r="M700" i="3"/>
  <c r="N700" i="3" s="1"/>
  <c r="M701" i="3"/>
  <c r="N701" i="3" s="1"/>
  <c r="M702" i="3"/>
  <c r="N702" i="3" s="1"/>
  <c r="M703" i="3"/>
  <c r="N703" i="3" s="1"/>
  <c r="M704" i="3"/>
  <c r="N704" i="3" s="1"/>
  <c r="M705" i="3"/>
  <c r="N705" i="3" s="1"/>
  <c r="M706" i="3"/>
  <c r="N706" i="3" s="1"/>
  <c r="M707" i="3"/>
  <c r="N707" i="3" s="1"/>
  <c r="M708" i="3"/>
  <c r="M709" i="3"/>
  <c r="N709" i="3" s="1"/>
  <c r="M710" i="3"/>
  <c r="N710" i="3" s="1"/>
  <c r="M711" i="3"/>
  <c r="N711" i="3" s="1"/>
  <c r="M712" i="3"/>
  <c r="N712" i="3" s="1"/>
  <c r="M713" i="3"/>
  <c r="N713" i="3" s="1"/>
  <c r="M714" i="3"/>
  <c r="N714" i="3" s="1"/>
  <c r="M715" i="3"/>
  <c r="N715" i="3" s="1"/>
  <c r="M716" i="3"/>
  <c r="N716" i="3" s="1"/>
  <c r="M717" i="3"/>
  <c r="N717" i="3" s="1"/>
  <c r="M718" i="3"/>
  <c r="N718" i="3" s="1"/>
  <c r="M719" i="3"/>
  <c r="N719" i="3" s="1"/>
  <c r="M720" i="3"/>
  <c r="N720" i="3" s="1"/>
  <c r="M721" i="3"/>
  <c r="N721" i="3" s="1"/>
  <c r="M722" i="3"/>
  <c r="N722" i="3" s="1"/>
  <c r="M723" i="3"/>
  <c r="N723" i="3" s="1"/>
  <c r="M724" i="3"/>
  <c r="N724" i="3" s="1"/>
  <c r="M725" i="3"/>
  <c r="N725" i="3" s="1"/>
  <c r="M726" i="3"/>
  <c r="N726" i="3" s="1"/>
  <c r="M727" i="3"/>
  <c r="N727" i="3" s="1"/>
  <c r="M728" i="3"/>
  <c r="N728" i="3" s="1"/>
  <c r="M729" i="3"/>
  <c r="N729" i="3" s="1"/>
  <c r="M730" i="3"/>
  <c r="N730" i="3" s="1"/>
  <c r="M731" i="3"/>
  <c r="N731" i="3" s="1"/>
  <c r="M732" i="3"/>
  <c r="N732" i="3" s="1"/>
  <c r="M733" i="3"/>
  <c r="N733" i="3" s="1"/>
  <c r="M734" i="3"/>
  <c r="N734" i="3" s="1"/>
  <c r="M735" i="3"/>
  <c r="N735" i="3" s="1"/>
  <c r="M736" i="3"/>
  <c r="N736" i="3" s="1"/>
  <c r="M737" i="3"/>
  <c r="N737" i="3" s="1"/>
  <c r="M738" i="3"/>
  <c r="N738" i="3" s="1"/>
  <c r="M739" i="3"/>
  <c r="N739" i="3" s="1"/>
  <c r="M740" i="3"/>
  <c r="M741" i="3"/>
  <c r="N741" i="3" s="1"/>
  <c r="M742" i="3"/>
  <c r="N742" i="3" s="1"/>
  <c r="M743" i="3"/>
  <c r="N743" i="3" s="1"/>
  <c r="M744" i="3"/>
  <c r="N744" i="3" s="1"/>
  <c r="M745" i="3"/>
  <c r="N745" i="3" s="1"/>
  <c r="M746" i="3"/>
  <c r="N746" i="3" s="1"/>
  <c r="M747" i="3"/>
  <c r="N747" i="3" s="1"/>
  <c r="M748" i="3"/>
  <c r="N748" i="3" s="1"/>
  <c r="M749" i="3"/>
  <c r="N749" i="3" s="1"/>
  <c r="M750" i="3"/>
  <c r="N750" i="3" s="1"/>
  <c r="M751" i="3"/>
  <c r="N751" i="3" s="1"/>
  <c r="M752" i="3"/>
  <c r="N752" i="3" s="1"/>
  <c r="M753" i="3"/>
  <c r="N753" i="3" s="1"/>
  <c r="M754" i="3"/>
  <c r="N754" i="3" s="1"/>
  <c r="M755" i="3"/>
  <c r="N755" i="3" s="1"/>
  <c r="M756" i="3"/>
  <c r="N756" i="3" s="1"/>
  <c r="M757" i="3"/>
  <c r="N757" i="3" s="1"/>
  <c r="M758" i="3"/>
  <c r="N758" i="3" s="1"/>
  <c r="M759" i="3"/>
  <c r="N759" i="3" s="1"/>
  <c r="M760" i="3"/>
  <c r="N760" i="3" s="1"/>
  <c r="M761" i="3"/>
  <c r="N761" i="3" s="1"/>
  <c r="M762" i="3"/>
  <c r="N762" i="3" s="1"/>
  <c r="M763" i="3"/>
  <c r="N763" i="3" s="1"/>
  <c r="M764" i="3"/>
  <c r="N764" i="3" s="1"/>
  <c r="M765" i="3"/>
  <c r="N765" i="3" s="1"/>
  <c r="M766" i="3"/>
  <c r="N766" i="3" s="1"/>
  <c r="M767" i="3"/>
  <c r="N767" i="3" s="1"/>
  <c r="M768" i="3"/>
  <c r="N768" i="3" s="1"/>
  <c r="M769" i="3"/>
  <c r="N769" i="3" s="1"/>
  <c r="M770" i="3"/>
  <c r="N770" i="3" s="1"/>
  <c r="M771" i="3"/>
  <c r="N771" i="3" s="1"/>
  <c r="M772" i="3"/>
  <c r="M773" i="3"/>
  <c r="N773" i="3" s="1"/>
  <c r="M774" i="3"/>
  <c r="N774" i="3" s="1"/>
  <c r="M775" i="3"/>
  <c r="N775" i="3" s="1"/>
  <c r="M776" i="3"/>
  <c r="N776" i="3" s="1"/>
  <c r="M777" i="3"/>
  <c r="N777" i="3" s="1"/>
  <c r="M778" i="3"/>
  <c r="N778" i="3" s="1"/>
  <c r="M779" i="3"/>
  <c r="N779" i="3" s="1"/>
  <c r="M780" i="3"/>
  <c r="N780" i="3" s="1"/>
  <c r="M781" i="3"/>
  <c r="N781" i="3" s="1"/>
  <c r="M782" i="3"/>
  <c r="N782" i="3" s="1"/>
  <c r="M783" i="3"/>
  <c r="N783" i="3" s="1"/>
  <c r="M784" i="3"/>
  <c r="N784" i="3" s="1"/>
  <c r="M785" i="3"/>
  <c r="N785" i="3" s="1"/>
  <c r="M786" i="3"/>
  <c r="N786" i="3" s="1"/>
  <c r="M787" i="3"/>
  <c r="N787" i="3" s="1"/>
  <c r="M788" i="3"/>
  <c r="N788" i="3" s="1"/>
  <c r="M789" i="3"/>
  <c r="N789" i="3" s="1"/>
  <c r="M790" i="3"/>
  <c r="N790" i="3" s="1"/>
  <c r="M791" i="3"/>
  <c r="N791" i="3" s="1"/>
  <c r="M792" i="3"/>
  <c r="N792" i="3" s="1"/>
  <c r="M793" i="3"/>
  <c r="N793" i="3" s="1"/>
  <c r="M794" i="3"/>
  <c r="N794" i="3" s="1"/>
  <c r="M795" i="3"/>
  <c r="N795" i="3" s="1"/>
  <c r="M796" i="3"/>
  <c r="N796" i="3" s="1"/>
  <c r="M797" i="3"/>
  <c r="N797" i="3" s="1"/>
  <c r="M798" i="3"/>
  <c r="N798" i="3" s="1"/>
  <c r="M799" i="3"/>
  <c r="N799" i="3" s="1"/>
  <c r="M800" i="3"/>
  <c r="N800" i="3" s="1"/>
  <c r="M801" i="3"/>
  <c r="N801" i="3" s="1"/>
  <c r="M802" i="3"/>
  <c r="N802" i="3" s="1"/>
  <c r="M803" i="3"/>
  <c r="N803" i="3" s="1"/>
  <c r="M804" i="3"/>
  <c r="M805" i="3"/>
  <c r="N805" i="3" s="1"/>
  <c r="M806" i="3"/>
  <c r="N806" i="3" s="1"/>
  <c r="M807" i="3"/>
  <c r="N807" i="3" s="1"/>
  <c r="M808" i="3"/>
  <c r="N808" i="3" s="1"/>
  <c r="M809" i="3"/>
  <c r="N809" i="3" s="1"/>
  <c r="M810" i="3"/>
  <c r="N810" i="3" s="1"/>
  <c r="M811" i="3"/>
  <c r="N811" i="3" s="1"/>
  <c r="M812" i="3"/>
  <c r="N812" i="3" s="1"/>
  <c r="M813" i="3"/>
  <c r="N813" i="3" s="1"/>
  <c r="M814" i="3"/>
  <c r="N814" i="3" s="1"/>
  <c r="M815" i="3"/>
  <c r="N815" i="3" s="1"/>
  <c r="M816" i="3"/>
  <c r="N816" i="3" s="1"/>
  <c r="M817" i="3"/>
  <c r="N817" i="3" s="1"/>
  <c r="M818" i="3"/>
  <c r="N818" i="3" s="1"/>
  <c r="M819" i="3"/>
  <c r="N819" i="3" s="1"/>
  <c r="M820" i="3"/>
  <c r="N820" i="3" s="1"/>
  <c r="M821" i="3"/>
  <c r="N821" i="3" s="1"/>
  <c r="M822" i="3"/>
  <c r="N822" i="3" s="1"/>
  <c r="M823" i="3"/>
  <c r="N823" i="3" s="1"/>
  <c r="M824" i="3"/>
  <c r="N824" i="3" s="1"/>
  <c r="M825" i="3"/>
  <c r="M826" i="3"/>
  <c r="N826" i="3" s="1"/>
  <c r="M827" i="3"/>
  <c r="N827" i="3" s="1"/>
  <c r="M828" i="3"/>
  <c r="N828" i="3" s="1"/>
  <c r="M829" i="3"/>
  <c r="M830" i="3"/>
  <c r="N830" i="3" s="1"/>
  <c r="M831" i="3"/>
  <c r="N831" i="3" s="1"/>
  <c r="M832" i="3"/>
  <c r="N832" i="3" s="1"/>
  <c r="M833" i="3"/>
  <c r="N833" i="3" s="1"/>
  <c r="M834" i="3"/>
  <c r="N834" i="3" s="1"/>
  <c r="M835" i="3"/>
  <c r="N835" i="3" s="1"/>
  <c r="M836" i="3"/>
  <c r="N836" i="3" s="1"/>
  <c r="M837" i="3"/>
  <c r="N837" i="3" s="1"/>
  <c r="M838" i="3"/>
  <c r="N838" i="3" s="1"/>
  <c r="M839" i="3"/>
  <c r="N839" i="3" s="1"/>
  <c r="M840" i="3"/>
  <c r="N840" i="3" s="1"/>
  <c r="M841" i="3"/>
  <c r="M842" i="3"/>
  <c r="N842" i="3" s="1"/>
  <c r="M843" i="3"/>
  <c r="N843" i="3" s="1"/>
  <c r="M844" i="3"/>
  <c r="N844" i="3" s="1"/>
  <c r="M845" i="3"/>
  <c r="M846" i="3"/>
  <c r="N846" i="3" s="1"/>
  <c r="M847" i="3"/>
  <c r="N847" i="3" s="1"/>
  <c r="M848" i="3"/>
  <c r="N848" i="3" s="1"/>
  <c r="M849" i="3"/>
  <c r="N849" i="3" s="1"/>
  <c r="M850" i="3"/>
  <c r="N850" i="3" s="1"/>
  <c r="M851" i="3"/>
  <c r="N851" i="3" s="1"/>
  <c r="M852" i="3"/>
  <c r="N852" i="3" s="1"/>
  <c r="M853" i="3"/>
  <c r="N853" i="3" s="1"/>
  <c r="M854" i="3"/>
  <c r="N854" i="3" s="1"/>
  <c r="M855" i="3"/>
  <c r="N855" i="3" s="1"/>
  <c r="M856" i="3"/>
  <c r="N856" i="3" s="1"/>
  <c r="M857" i="3"/>
  <c r="N857" i="3" s="1"/>
  <c r="M858" i="3"/>
  <c r="N858" i="3" s="1"/>
  <c r="M859" i="3"/>
  <c r="N859" i="3" s="1"/>
  <c r="M860" i="3"/>
  <c r="M861" i="3"/>
  <c r="N861" i="3" s="1"/>
  <c r="M862" i="3"/>
  <c r="N862" i="3" s="1"/>
  <c r="M863" i="3"/>
  <c r="N863" i="3" s="1"/>
  <c r="M864" i="3"/>
  <c r="N864" i="3" s="1"/>
  <c r="M865" i="3"/>
  <c r="N865" i="3" s="1"/>
  <c r="M866" i="3"/>
  <c r="N866" i="3" s="1"/>
  <c r="M867" i="3"/>
  <c r="N867" i="3" s="1"/>
  <c r="M868" i="3"/>
  <c r="N868" i="3" s="1"/>
  <c r="M869" i="3"/>
  <c r="N869" i="3" s="1"/>
  <c r="M870" i="3"/>
  <c r="N870" i="3" s="1"/>
  <c r="M871" i="3"/>
  <c r="N871" i="3" s="1"/>
  <c r="M872" i="3"/>
  <c r="N872" i="3" s="1"/>
  <c r="M873" i="3"/>
  <c r="N873" i="3" s="1"/>
  <c r="M874" i="3"/>
  <c r="N874" i="3" s="1"/>
  <c r="M875" i="3"/>
  <c r="N875" i="3" s="1"/>
  <c r="M876" i="3"/>
  <c r="M877" i="3"/>
  <c r="N877" i="3" s="1"/>
  <c r="M878" i="3"/>
  <c r="N878" i="3" s="1"/>
  <c r="M879" i="3"/>
  <c r="N879" i="3" s="1"/>
  <c r="M880" i="3"/>
  <c r="N880" i="3" s="1"/>
  <c r="M881" i="3"/>
  <c r="N881" i="3" s="1"/>
  <c r="M882" i="3"/>
  <c r="N882" i="3" s="1"/>
  <c r="M883" i="3"/>
  <c r="N883" i="3" s="1"/>
  <c r="M884" i="3"/>
  <c r="N884" i="3" s="1"/>
  <c r="M885" i="3"/>
  <c r="N885" i="3" s="1"/>
  <c r="M886" i="3"/>
  <c r="N886" i="3" s="1"/>
  <c r="M887" i="3"/>
  <c r="N887" i="3" s="1"/>
  <c r="M888" i="3"/>
  <c r="N888" i="3" s="1"/>
  <c r="M889" i="3"/>
  <c r="N889" i="3" s="1"/>
  <c r="M890" i="3"/>
  <c r="N890" i="3" s="1"/>
  <c r="M891" i="3"/>
  <c r="N891" i="3" s="1"/>
  <c r="M892" i="3"/>
  <c r="M893" i="3"/>
  <c r="N893" i="3" s="1"/>
  <c r="M894" i="3"/>
  <c r="N894" i="3" s="1"/>
  <c r="M895" i="3"/>
  <c r="N895" i="3" s="1"/>
  <c r="M896" i="3"/>
  <c r="N896" i="3" s="1"/>
  <c r="M897" i="3"/>
  <c r="N897" i="3" s="1"/>
  <c r="M898" i="3"/>
  <c r="N898" i="3" s="1"/>
  <c r="M899" i="3"/>
  <c r="N899" i="3" s="1"/>
  <c r="M900" i="3"/>
  <c r="N900" i="3" s="1"/>
  <c r="M901" i="3"/>
  <c r="N901" i="3" s="1"/>
  <c r="M902" i="3"/>
  <c r="N902" i="3" s="1"/>
  <c r="M903" i="3"/>
  <c r="N903" i="3" s="1"/>
  <c r="M904" i="3"/>
  <c r="N904" i="3" s="1"/>
  <c r="M905" i="3"/>
  <c r="N905" i="3" s="1"/>
  <c r="M906" i="3"/>
  <c r="N906" i="3" s="1"/>
  <c r="M907" i="3"/>
  <c r="N907" i="3" s="1"/>
  <c r="M908" i="3"/>
  <c r="M909" i="3"/>
  <c r="N909" i="3" s="1"/>
  <c r="M910" i="3"/>
  <c r="N910" i="3" s="1"/>
  <c r="M911" i="3"/>
  <c r="N911" i="3" s="1"/>
  <c r="M912" i="3"/>
  <c r="N912" i="3" s="1"/>
  <c r="M913" i="3"/>
  <c r="N913" i="3" s="1"/>
  <c r="M914" i="3"/>
  <c r="N914" i="3" s="1"/>
  <c r="M915" i="3"/>
  <c r="N915" i="3" s="1"/>
  <c r="M916" i="3"/>
  <c r="N916" i="3" s="1"/>
  <c r="M917" i="3"/>
  <c r="N917" i="3" s="1"/>
  <c r="M918" i="3"/>
  <c r="N918" i="3" s="1"/>
  <c r="M919" i="3"/>
  <c r="N919" i="3" s="1"/>
  <c r="M920" i="3"/>
  <c r="N920" i="3" s="1"/>
  <c r="M921" i="3"/>
  <c r="N921" i="3" s="1"/>
  <c r="M922" i="3"/>
  <c r="N922" i="3" s="1"/>
  <c r="M923" i="3"/>
  <c r="N923" i="3" s="1"/>
  <c r="M924" i="3"/>
  <c r="M925" i="3"/>
  <c r="N925" i="3" s="1"/>
  <c r="M926" i="3"/>
  <c r="N926" i="3" s="1"/>
  <c r="M927" i="3"/>
  <c r="N927" i="3" s="1"/>
  <c r="M928" i="3"/>
  <c r="N928" i="3" s="1"/>
  <c r="M929" i="3"/>
  <c r="N929" i="3" s="1"/>
  <c r="M930" i="3"/>
  <c r="N930" i="3" s="1"/>
  <c r="M931" i="3"/>
  <c r="N931" i="3" s="1"/>
  <c r="M932" i="3"/>
  <c r="N932" i="3" s="1"/>
  <c r="M933" i="3"/>
  <c r="N933" i="3" s="1"/>
  <c r="M934" i="3"/>
  <c r="N934" i="3" s="1"/>
  <c r="M935" i="3"/>
  <c r="N935" i="3" s="1"/>
  <c r="M936" i="3"/>
  <c r="N936" i="3" s="1"/>
  <c r="M937" i="3"/>
  <c r="N937" i="3" s="1"/>
  <c r="M938" i="3"/>
  <c r="N938" i="3" s="1"/>
  <c r="M939" i="3"/>
  <c r="N939" i="3" s="1"/>
  <c r="M940" i="3"/>
  <c r="M941" i="3"/>
  <c r="N941" i="3" s="1"/>
  <c r="M942" i="3"/>
  <c r="N942" i="3" s="1"/>
  <c r="M943" i="3"/>
  <c r="N943" i="3" s="1"/>
  <c r="M944" i="3"/>
  <c r="N944" i="3" s="1"/>
  <c r="M945" i="3"/>
  <c r="N945" i="3" s="1"/>
  <c r="M946" i="3"/>
  <c r="N946" i="3" s="1"/>
  <c r="M947" i="3"/>
  <c r="N947" i="3" s="1"/>
  <c r="M948" i="3"/>
  <c r="N948" i="3" s="1"/>
  <c r="M949" i="3"/>
  <c r="N949" i="3" s="1"/>
  <c r="M950" i="3"/>
  <c r="N950" i="3" s="1"/>
  <c r="M951" i="3"/>
  <c r="N951" i="3" s="1"/>
  <c r="M952" i="3"/>
  <c r="N952" i="3" s="1"/>
  <c r="M953" i="3"/>
  <c r="N953" i="3" s="1"/>
  <c r="M954" i="3"/>
  <c r="N954" i="3" s="1"/>
  <c r="M955" i="3"/>
  <c r="N955" i="3" s="1"/>
  <c r="M956" i="3"/>
  <c r="M957" i="3"/>
  <c r="N957" i="3" s="1"/>
  <c r="M958" i="3"/>
  <c r="N958" i="3" s="1"/>
  <c r="M959" i="3"/>
  <c r="N959" i="3" s="1"/>
  <c r="M960" i="3"/>
  <c r="N960" i="3" s="1"/>
  <c r="M961" i="3"/>
  <c r="N961" i="3" s="1"/>
  <c r="M962" i="3"/>
  <c r="N962" i="3" s="1"/>
  <c r="M963" i="3"/>
  <c r="N963" i="3" s="1"/>
  <c r="M964" i="3"/>
  <c r="N964" i="3" s="1"/>
  <c r="M965" i="3"/>
  <c r="N965" i="3" s="1"/>
  <c r="M966" i="3"/>
  <c r="N966" i="3" s="1"/>
  <c r="M967" i="3"/>
  <c r="M968" i="3"/>
  <c r="N968" i="3" s="1"/>
  <c r="M969" i="3"/>
  <c r="N969" i="3" s="1"/>
  <c r="M970" i="3"/>
  <c r="N970" i="3" s="1"/>
  <c r="M971" i="3"/>
  <c r="N971" i="3" s="1"/>
  <c r="M972" i="3"/>
  <c r="N972" i="3" s="1"/>
  <c r="M973" i="3"/>
  <c r="N973" i="3" s="1"/>
  <c r="M974" i="3"/>
  <c r="N974" i="3" s="1"/>
  <c r="M975" i="3"/>
  <c r="M976" i="3"/>
  <c r="N976" i="3" s="1"/>
  <c r="M977" i="3"/>
  <c r="N977" i="3" s="1"/>
  <c r="M978" i="3"/>
  <c r="N978" i="3" s="1"/>
  <c r="M979" i="3"/>
  <c r="N979" i="3" s="1"/>
  <c r="M980" i="3"/>
  <c r="N980" i="3" s="1"/>
  <c r="M981" i="3"/>
  <c r="N981" i="3" s="1"/>
  <c r="M982" i="3"/>
  <c r="N982" i="3" s="1"/>
  <c r="M983" i="3"/>
  <c r="M984" i="3"/>
  <c r="N984" i="3" s="1"/>
  <c r="M985" i="3"/>
  <c r="N985" i="3" s="1"/>
  <c r="M986" i="3"/>
  <c r="N986" i="3" s="1"/>
  <c r="M987" i="3"/>
  <c r="N987" i="3" s="1"/>
  <c r="M988" i="3"/>
  <c r="N988" i="3" s="1"/>
  <c r="M989" i="3"/>
  <c r="N989" i="3" s="1"/>
  <c r="M990" i="3"/>
  <c r="N990" i="3" s="1"/>
  <c r="M991" i="3"/>
  <c r="M992" i="3"/>
  <c r="N992" i="3" s="1"/>
  <c r="M993" i="3"/>
  <c r="N993" i="3" s="1"/>
  <c r="M994" i="3"/>
  <c r="N994" i="3" s="1"/>
  <c r="M995" i="3"/>
  <c r="N995" i="3" s="1"/>
  <c r="M996" i="3"/>
  <c r="N996" i="3" s="1"/>
  <c r="M997" i="3"/>
  <c r="N997" i="3" s="1"/>
  <c r="M998" i="3"/>
  <c r="N998" i="3" s="1"/>
  <c r="M999" i="3"/>
  <c r="M1000" i="3"/>
  <c r="N1000" i="3" s="1"/>
  <c r="M1001" i="3"/>
  <c r="N1001" i="3" s="1"/>
  <c r="M2" i="3"/>
  <c r="N2" i="3" s="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2"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3" i="3"/>
  <c r="W4" i="3"/>
  <c r="W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3" i="3"/>
  <c r="S4" i="3"/>
  <c r="S5" i="3"/>
  <c r="S6" i="3"/>
  <c r="S7" i="3"/>
  <c r="S8" i="3"/>
  <c r="S9" i="3"/>
  <c r="S10" i="3"/>
  <c r="S11" i="3"/>
  <c r="S12" i="3"/>
  <c r="S13" i="3"/>
  <c r="S14" i="3"/>
  <c r="S15" i="3"/>
  <c r="S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764919-20EB-4909-8A78-C672157E50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1CC77A1-FD32-4088-8254-143E2BBD4427}" name="WorksheetConnection_Dashboard.xlsx!Table2" type="102" refreshedVersion="8" minRefreshableVersion="5">
    <extLst>
      <ext xmlns:x15="http://schemas.microsoft.com/office/spreadsheetml/2010/11/main" uri="{DE250136-89BD-433C-8126-D09CA5730AF9}">
        <x15:connection id="Table2">
          <x15:rangePr sourceName="_xlcn.WorksheetConnection_Dashboard.xlsxTable21"/>
        </x15:connection>
      </ext>
    </extLst>
  </connection>
  <connection id="3" xr16:uid="{32A8CDE8-81AE-4387-AC18-90E669251458}" name="WorksheetConnection_Table1" type="102" refreshedVersion="8" minRefreshableVersion="5">
    <extLst>
      <ext xmlns:x15="http://schemas.microsoft.com/office/spreadsheetml/2010/11/main" uri="{DE250136-89BD-433C-8126-D09CA5730AF9}">
        <x15:connection id="Table1">
          <x15:rangePr sourceName="_xlcn.WorksheetConnection_Table11"/>
        </x15:connection>
      </ext>
    </extLst>
  </connection>
</connections>
</file>

<file path=xl/sharedStrings.xml><?xml version="1.0" encoding="utf-8"?>
<sst xmlns="http://schemas.openxmlformats.org/spreadsheetml/2006/main" count="14180" uniqueCount="104">
  <si>
    <t>Sale Date</t>
  </si>
  <si>
    <t>Customer Name</t>
  </si>
  <si>
    <t>City</t>
  </si>
  <si>
    <t>State</t>
  </si>
  <si>
    <t>Region</t>
  </si>
  <si>
    <t>Product Category</t>
  </si>
  <si>
    <t>Product Name</t>
  </si>
  <si>
    <t>Quantity</t>
  </si>
  <si>
    <t>Price per Unit</t>
  </si>
  <si>
    <t>Sales Amount</t>
  </si>
  <si>
    <t>Meera</t>
  </si>
  <si>
    <t>Quetta</t>
  </si>
  <si>
    <t>Sindh</t>
  </si>
  <si>
    <t>West</t>
  </si>
  <si>
    <t>Furniture</t>
  </si>
  <si>
    <t>Table</t>
  </si>
  <si>
    <t>Ahmed</t>
  </si>
  <si>
    <t>Multan</t>
  </si>
  <si>
    <t>South</t>
  </si>
  <si>
    <t>Stationery</t>
  </si>
  <si>
    <t>Ruler</t>
  </si>
  <si>
    <t>jibran</t>
  </si>
  <si>
    <t>Balochistan</t>
  </si>
  <si>
    <t>Clothing</t>
  </si>
  <si>
    <t>Dress</t>
  </si>
  <si>
    <t>rafey</t>
  </si>
  <si>
    <t>Karachi</t>
  </si>
  <si>
    <t>Groceries</t>
  </si>
  <si>
    <t>Lentils</t>
  </si>
  <si>
    <t>ali</t>
  </si>
  <si>
    <t>Eraser</t>
  </si>
  <si>
    <t>Noman</t>
  </si>
  <si>
    <t>Electronics</t>
  </si>
  <si>
    <t>Headphones</t>
  </si>
  <si>
    <t>Rida</t>
  </si>
  <si>
    <t>Faisalabad</t>
  </si>
  <si>
    <t>Laptop</t>
  </si>
  <si>
    <t>Pants</t>
  </si>
  <si>
    <t>Hafey</t>
  </si>
  <si>
    <t>Shirt</t>
  </si>
  <si>
    <t>aliza</t>
  </si>
  <si>
    <t>North</t>
  </si>
  <si>
    <t>Rice</t>
  </si>
  <si>
    <t>Areeba</t>
  </si>
  <si>
    <t>Sugar</t>
  </si>
  <si>
    <t>Bed</t>
  </si>
  <si>
    <t>Oil</t>
  </si>
  <si>
    <t>Jacket</t>
  </si>
  <si>
    <t>Pen</t>
  </si>
  <si>
    <t>Smartphone</t>
  </si>
  <si>
    <t>Tablet</t>
  </si>
  <si>
    <t>Sofa</t>
  </si>
  <si>
    <t>Notebook</t>
  </si>
  <si>
    <t>Chair</t>
  </si>
  <si>
    <t>Sukkur</t>
  </si>
  <si>
    <t>Haripur</t>
  </si>
  <si>
    <t>Hyderabad</t>
  </si>
  <si>
    <t>Gwadar</t>
  </si>
  <si>
    <t>Mirpur Khas</t>
  </si>
  <si>
    <t>Peshawar</t>
  </si>
  <si>
    <t>Nawabshah</t>
  </si>
  <si>
    <t>Rawalpindi</t>
  </si>
  <si>
    <t>Murree</t>
  </si>
  <si>
    <t>Lahore</t>
  </si>
  <si>
    <t>East</t>
  </si>
  <si>
    <t>Punjab</t>
  </si>
  <si>
    <t>Khyber Pakhtunkhwa</t>
  </si>
  <si>
    <t>Cost of Goods</t>
  </si>
  <si>
    <t>Gross Profit</t>
  </si>
  <si>
    <t>Tax</t>
  </si>
  <si>
    <t>Sales Amount(Incl. Tax)</t>
  </si>
  <si>
    <t>Sum of Sales Amount</t>
  </si>
  <si>
    <t>Sum of Gross Profit</t>
  </si>
  <si>
    <t>Grand Total</t>
  </si>
  <si>
    <t>Jan</t>
  </si>
  <si>
    <t>Feb</t>
  </si>
  <si>
    <t>Mar</t>
  </si>
  <si>
    <t>Apr</t>
  </si>
  <si>
    <t>May</t>
  </si>
  <si>
    <t>Jun</t>
  </si>
  <si>
    <t>Jul</t>
  </si>
  <si>
    <t>Aug</t>
  </si>
  <si>
    <t>Sep</t>
  </si>
  <si>
    <t>Oct</t>
  </si>
  <si>
    <t>Nov</t>
  </si>
  <si>
    <t>Dec</t>
  </si>
  <si>
    <t>Sum of Quantity</t>
  </si>
  <si>
    <t>Pakistan</t>
  </si>
  <si>
    <t>Country</t>
  </si>
  <si>
    <t>Customer Names</t>
  </si>
  <si>
    <t>Months</t>
  </si>
  <si>
    <t>Cities</t>
  </si>
  <si>
    <t>Product Categories</t>
  </si>
  <si>
    <t>Sales</t>
  </si>
  <si>
    <t>State with country</t>
  </si>
  <si>
    <t>Balochistan, Pakistan</t>
  </si>
  <si>
    <t>Punjab, Pakistan</t>
  </si>
  <si>
    <t>Sindh, Pakistan</t>
  </si>
  <si>
    <t>Khyber Pakhtunkhwa, Pakistan</t>
  </si>
  <si>
    <t>PK-BA</t>
  </si>
  <si>
    <t>PK-SD</t>
  </si>
  <si>
    <t>PK-PB</t>
  </si>
  <si>
    <t>Date</t>
  </si>
  <si>
    <t>State with ISO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</si>
</sst>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quot;M&quot;"/>
    <numFmt numFmtId="165" formatCode="\$#,##0.00,,&quot;M&quot;"/>
  </numFmts>
  <fonts count="3" x14ac:knownFonts="1">
    <font>
      <sz val="11"/>
      <color theme="1"/>
      <name val="Aptos Narrow"/>
      <family val="2"/>
      <scheme val="minor"/>
    </font>
    <font>
      <b/>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rgb="FFEAEAEA"/>
        <bgColor indexed="64"/>
      </patternFill>
    </fill>
  </fills>
  <borders count="1">
    <border>
      <left/>
      <right/>
      <top/>
      <bottom/>
      <diagonal/>
    </border>
  </borders>
  <cellStyleXfs count="1">
    <xf numFmtId="0" fontId="0" fillId="0" borderId="0"/>
  </cellStyleXfs>
  <cellXfs count="13">
    <xf numFmtId="0" fontId="0" fillId="0" borderId="0" xfId="0"/>
    <xf numFmtId="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0" borderId="0" xfId="0" applyFont="1" applyAlignment="1">
      <alignment horizontal="left"/>
    </xf>
    <xf numFmtId="0" fontId="1" fillId="0" borderId="0" xfId="0" applyFont="1"/>
    <xf numFmtId="0" fontId="0" fillId="0" borderId="0" xfId="0" applyAlignment="1">
      <alignment horizontal="left" indent="1"/>
    </xf>
    <xf numFmtId="0" fontId="2" fillId="2" borderId="0" xfId="0" applyFont="1" applyFill="1" applyAlignment="1">
      <alignment horizontal="center"/>
    </xf>
    <xf numFmtId="0" fontId="0" fillId="0" borderId="0" xfId="0" applyNumberFormat="1"/>
  </cellXfs>
  <cellStyles count="1">
    <cellStyle name="Normal" xfId="0" builtinId="0"/>
  </cellStyles>
  <dxfs count="8">
    <dxf>
      <font>
        <b/>
        <color theme="1"/>
      </font>
      <border>
        <bottom style="thin">
          <color theme="6"/>
        </bottom>
        <vertical/>
        <horizontal/>
      </border>
    </dxf>
    <dxf>
      <font>
        <sz val="44"/>
        <color theme="0"/>
        <name val="Cambria Math"/>
        <family val="1"/>
        <scheme val="none"/>
      </font>
      <fill>
        <patternFill patternType="none">
          <bgColor auto="1"/>
        </patternFill>
      </fill>
      <border diagonalUp="0" diagonalDown="0">
        <left/>
        <right/>
        <top/>
        <bottom/>
        <vertical/>
        <horizontal/>
      </border>
    </dxf>
    <dxf>
      <font>
        <sz val="50"/>
        <color theme="1"/>
      </font>
      <border>
        <vertical/>
        <horizontal/>
      </border>
    </dxf>
    <dxf>
      <font>
        <sz val="300"/>
        <color theme="1"/>
        <name val="Cambria Math"/>
        <family val="1"/>
        <scheme val="none"/>
      </font>
      <fill>
        <patternFill patternType="none">
          <bgColor auto="1"/>
        </patternFill>
      </fill>
      <border diagonalUp="0" diagonalDown="0">
        <left/>
        <right/>
        <top/>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numFmt numFmtId="164" formatCode="\$#,##0.00,,\ &quot;M&quot;"/>
    </dxf>
    <dxf>
      <numFmt numFmtId="19" formatCode="dd/mm/yyyy"/>
    </dxf>
  </dxfs>
  <tableStyles count="3" defaultTableStyle="TableStyleMedium2" defaultPivotStyle="PivotStyleLight16">
    <tableStyle name="State" pivot="0" table="0" count="10" xr9:uid="{8E7FCC0F-0A85-4AF7-BF08-C9B85879AA42}">
      <tableStyleElement type="wholeTable" dxfId="5"/>
      <tableStyleElement type="headerRow" dxfId="4"/>
    </tableStyle>
    <tableStyle name="State1" pivot="0" table="0" count="10" xr9:uid="{2626E442-C123-4575-84A7-CBE871BE6ED8}">
      <tableStyleElement type="wholeTable" dxfId="1"/>
      <tableStyleElement type="headerRow" dxfId="0"/>
    </tableStyle>
    <tableStyle name="Timeline1" pivot="0" table="0" count="9" xr9:uid="{176C12F4-F646-42AB-AD59-C349D901712B}">
      <tableStyleElement type="wholeTable" dxfId="3"/>
      <tableStyleElement type="headerRow" dxfId="2"/>
    </tableStyle>
  </tableStyles>
  <colors>
    <mruColors>
      <color rgb="FFEAEAEA"/>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tat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tate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50"/>
            <color theme="1" tint="0.499984740745262"/>
          </font>
          <border>
            <left/>
            <right/>
            <top/>
            <bottom/>
            <vertical/>
            <horizontal/>
          </border>
        </dxf>
        <dxf>
          <font>
            <sz val="50"/>
            <color theme="1" tint="0.499984740745262"/>
          </font>
          <border>
            <left/>
            <right/>
            <top/>
            <bottom/>
            <vertical/>
            <horizontal/>
          </border>
        </dxf>
        <dxf>
          <font>
            <sz val="60"/>
            <color theme="1" tint="0.499984740745262"/>
          </font>
          <border>
            <left/>
            <right/>
            <top/>
            <bottom/>
            <vertical/>
            <horizontal/>
          </border>
        </dxf>
        <dxf>
          <font>
            <sz val="20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line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 Table!PivotTable6</c:name>
    <c:fmtId val="12"/>
  </c:pivotSource>
  <c:chart>
    <c:title>
      <c:tx>
        <c:rich>
          <a:bodyPr rot="0" spcFirstLastPara="1" vertOverflow="ellipsis" vert="horz" wrap="square" anchor="ctr" anchorCtr="1"/>
          <a:lstStyle/>
          <a:p>
            <a:pPr>
              <a:defRPr sz="5400" b="1" i="0" u="none" strike="noStrike" kern="1200" baseline="0">
                <a:solidFill>
                  <a:schemeClr val="tx1"/>
                </a:solidFill>
                <a:latin typeface="Cambria Math" panose="02040503050406030204" pitchFamily="18" charset="0"/>
                <a:ea typeface="Cambria Math" panose="02040503050406030204" pitchFamily="18" charset="0"/>
                <a:cs typeface="+mn-cs"/>
              </a:defRPr>
            </a:pPr>
            <a:r>
              <a:rPr lang="en-US" sz="5400">
                <a:solidFill>
                  <a:schemeClr val="tx1"/>
                </a:solidFill>
                <a:latin typeface="Cambria Math" panose="02040503050406030204" pitchFamily="18" charset="0"/>
                <a:ea typeface="Cambria Math" panose="02040503050406030204" pitchFamily="18" charset="0"/>
              </a:rPr>
              <a:t>Sales by Category</a:t>
            </a:r>
          </a:p>
        </c:rich>
      </c:tx>
      <c:layout>
        <c:manualLayout>
          <c:xMode val="edge"/>
          <c:yMode val="edge"/>
          <c:x val="3.4201592956500035E-2"/>
          <c:y val="7.7992030193306128E-3"/>
        </c:manualLayout>
      </c:layout>
      <c:overlay val="0"/>
      <c:spPr>
        <a:noFill/>
        <a:ln>
          <a:noFill/>
        </a:ln>
        <a:effectLst/>
      </c:spPr>
      <c:txPr>
        <a:bodyPr rot="0" spcFirstLastPara="1" vertOverflow="ellipsis" vert="horz" wrap="square" anchor="ctr" anchorCtr="1"/>
        <a:lstStyle/>
        <a:p>
          <a:pPr>
            <a:defRPr sz="5400" b="1" i="0" u="none" strike="noStrike" kern="1200" baseline="0">
              <a:solidFill>
                <a:schemeClr val="tx1"/>
              </a:solidFill>
              <a:latin typeface="Cambria Math" panose="02040503050406030204" pitchFamily="18" charset="0"/>
              <a:ea typeface="Cambria Math" panose="02040503050406030204" pitchFamily="18" charset="0"/>
              <a:cs typeface="+mn-cs"/>
            </a:defRPr>
          </a:pPr>
          <a:endParaRPr lang="en-PK"/>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54000"/>
            </a:schemeClr>
          </a:solidFill>
          <a:ln>
            <a:noFill/>
          </a:ln>
          <a:effectLst>
            <a:outerShdw blurRad="317500" algn="ctr" rotWithShape="0">
              <a:prstClr val="black">
                <a:alpha val="25000"/>
              </a:prstClr>
            </a:outerShdw>
          </a:effectLst>
        </c:spPr>
      </c:pivotFmt>
      <c:pivotFmt>
        <c:idx val="2"/>
        <c:spPr>
          <a:solidFill>
            <a:schemeClr val="accent6">
              <a:tint val="77000"/>
            </a:schemeClr>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hade val="76000"/>
            </a:schemeClr>
          </a:solidFill>
          <a:ln>
            <a:noFill/>
          </a:ln>
          <a:effectLst>
            <a:outerShdw blurRad="317500" algn="ctr" rotWithShape="0">
              <a:prstClr val="black">
                <a:alpha val="25000"/>
              </a:prstClr>
            </a:outerShdw>
          </a:effectLst>
        </c:spPr>
      </c:pivotFmt>
      <c:pivotFmt>
        <c:idx val="5"/>
        <c:spPr>
          <a:solidFill>
            <a:schemeClr val="accent6">
              <a:shade val="53000"/>
            </a:schemeClr>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tint val="54000"/>
            </a:schemeClr>
          </a:solidFill>
          <a:ln>
            <a:noFill/>
          </a:ln>
          <a:effectLst>
            <a:outerShdw blurRad="317500" algn="ctr" rotWithShape="0">
              <a:prstClr val="black">
                <a:alpha val="25000"/>
              </a:prstClr>
            </a:outerShdw>
          </a:effectLst>
        </c:spPr>
      </c:pivotFmt>
      <c:pivotFmt>
        <c:idx val="8"/>
        <c:spPr>
          <a:solidFill>
            <a:schemeClr val="accent6">
              <a:tint val="77000"/>
            </a:schemeClr>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hade val="76000"/>
            </a:schemeClr>
          </a:solidFill>
          <a:ln>
            <a:noFill/>
          </a:ln>
          <a:effectLst>
            <a:outerShdw blurRad="317500" algn="ctr" rotWithShape="0">
              <a:prstClr val="black">
                <a:alpha val="25000"/>
              </a:prstClr>
            </a:outerShdw>
          </a:effectLst>
        </c:spPr>
      </c:pivotFmt>
      <c:pivotFmt>
        <c:idx val="11"/>
        <c:spPr>
          <a:solidFill>
            <a:schemeClr val="accent6">
              <a:shade val="53000"/>
            </a:schemeClr>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tint val="54000"/>
            </a:schemeClr>
          </a:solidFill>
          <a:ln>
            <a:noFill/>
          </a:ln>
          <a:effectLst>
            <a:outerShdw blurRad="317500" algn="ctr" rotWithShape="0">
              <a:prstClr val="black">
                <a:alpha val="25000"/>
              </a:prstClr>
            </a:outerShdw>
          </a:effectLst>
        </c:spPr>
      </c:pivotFmt>
      <c:pivotFmt>
        <c:idx val="14"/>
        <c:spPr>
          <a:solidFill>
            <a:schemeClr val="accent6">
              <a:tint val="77000"/>
            </a:schemeClr>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shade val="76000"/>
            </a:schemeClr>
          </a:solidFill>
          <a:ln>
            <a:noFill/>
          </a:ln>
          <a:effectLst>
            <a:outerShdw blurRad="317500" algn="ctr" rotWithShape="0">
              <a:prstClr val="black">
                <a:alpha val="25000"/>
              </a:prstClr>
            </a:outerShdw>
          </a:effectLst>
        </c:spPr>
      </c:pivotFmt>
      <c:pivotFmt>
        <c:idx val="17"/>
        <c:spPr>
          <a:solidFill>
            <a:schemeClr val="accent6">
              <a:shade val="53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Table'!$P$3</c:f>
              <c:strCache>
                <c:ptCount val="1"/>
                <c:pt idx="0">
                  <c:v>Total</c:v>
                </c:pt>
              </c:strCache>
            </c:strRef>
          </c:tx>
          <c:dPt>
            <c:idx val="0"/>
            <c:bubble3D val="0"/>
            <c:spPr>
              <a:solidFill>
                <a:schemeClr val="accent6">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196-43B7-BE99-1375C55D2C06}"/>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96-43B7-BE99-1375C55D2C06}"/>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196-43B7-BE99-1375C55D2C06}"/>
              </c:ext>
            </c:extLst>
          </c:dPt>
          <c:dPt>
            <c:idx val="3"/>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196-43B7-BE99-1375C55D2C06}"/>
              </c:ext>
            </c:extLst>
          </c:dPt>
          <c:dPt>
            <c:idx val="4"/>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196-43B7-BE99-1375C55D2C06}"/>
              </c:ext>
            </c:extLst>
          </c:dPt>
          <c:dLbls>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Table'!$O$4:$O$9</c:f>
              <c:strCache>
                <c:ptCount val="5"/>
                <c:pt idx="0">
                  <c:v>Clothing</c:v>
                </c:pt>
                <c:pt idx="1">
                  <c:v>Electronics</c:v>
                </c:pt>
                <c:pt idx="2">
                  <c:v>Furniture</c:v>
                </c:pt>
                <c:pt idx="3">
                  <c:v>Groceries</c:v>
                </c:pt>
                <c:pt idx="4">
                  <c:v>Stationery</c:v>
                </c:pt>
              </c:strCache>
            </c:strRef>
          </c:cat>
          <c:val>
            <c:numRef>
              <c:f>'Pivot Table'!$P$4:$P$9</c:f>
              <c:numCache>
                <c:formatCode>General</c:formatCode>
                <c:ptCount val="5"/>
                <c:pt idx="0">
                  <c:v>5676320.0800000029</c:v>
                </c:pt>
                <c:pt idx="1">
                  <c:v>5017163.4500000011</c:v>
                </c:pt>
                <c:pt idx="2">
                  <c:v>5766604.0700000022</c:v>
                </c:pt>
                <c:pt idx="3">
                  <c:v>5134224.91</c:v>
                </c:pt>
                <c:pt idx="4">
                  <c:v>5747617.1799999978</c:v>
                </c:pt>
              </c:numCache>
            </c:numRef>
          </c:val>
          <c:extLst>
            <c:ext xmlns:c16="http://schemas.microsoft.com/office/drawing/2014/chart" uri="{C3380CC4-5D6E-409C-BE32-E72D297353CC}">
              <c16:uniqueId val="{0000000A-4196-43B7-BE99-1375C55D2C0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530645933409272"/>
          <c:y val="3.4120117326252232E-2"/>
          <c:w val="0.20469354066590734"/>
          <c:h val="0.59123458668103013"/>
        </c:manualLayout>
      </c:layout>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65000"/>
                  <a:lumOff val="35000"/>
                </a:schemeClr>
              </a:solidFill>
              <a:latin typeface="Cambria Math" panose="02040503050406030204" pitchFamily="18" charset="0"/>
              <a:ea typeface="Cambria Math" panose="02040503050406030204" pitchFamily="18" charset="0"/>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 Table!PivotTable8</c:name>
    <c:fmtId val="20"/>
  </c:pivotSource>
  <c:chart>
    <c:title>
      <c:tx>
        <c:rich>
          <a:bodyPr rot="0" spcFirstLastPara="1" vertOverflow="ellipsis" vert="horz" wrap="square" anchor="ctr" anchorCtr="1"/>
          <a:lstStyle/>
          <a:p>
            <a:pPr>
              <a:defRPr sz="5400" b="1" i="0" u="none" strike="noStrike" kern="1200" baseline="0">
                <a:solidFill>
                  <a:schemeClr val="tx1"/>
                </a:solidFill>
                <a:latin typeface="Cambria Math" panose="02040503050406030204" pitchFamily="18" charset="0"/>
                <a:ea typeface="Cambria Math" panose="02040503050406030204" pitchFamily="18" charset="0"/>
                <a:cs typeface="+mn-cs"/>
              </a:defRPr>
            </a:pPr>
            <a:r>
              <a:rPr lang="en-US" sz="5400">
                <a:latin typeface="Cambria Math" panose="02040503050406030204" pitchFamily="18" charset="0"/>
                <a:ea typeface="Cambria Math" panose="02040503050406030204" pitchFamily="18" charset="0"/>
              </a:rPr>
              <a:t>Sales by Region</a:t>
            </a:r>
          </a:p>
        </c:rich>
      </c:tx>
      <c:layout>
        <c:manualLayout>
          <c:xMode val="edge"/>
          <c:yMode val="edge"/>
          <c:x val="3.2444427558738512E-2"/>
          <c:y val="3.8909519426954746E-2"/>
        </c:manualLayout>
      </c:layout>
      <c:overlay val="0"/>
      <c:spPr>
        <a:noFill/>
        <a:ln>
          <a:noFill/>
        </a:ln>
        <a:effectLst/>
      </c:spPr>
      <c:txPr>
        <a:bodyPr rot="0" spcFirstLastPara="1" vertOverflow="ellipsis" vert="horz" wrap="square" anchor="ctr" anchorCtr="1"/>
        <a:lstStyle/>
        <a:p>
          <a:pPr>
            <a:defRPr sz="5400" b="1" i="0" u="none" strike="noStrike" kern="1200" baseline="0">
              <a:solidFill>
                <a:schemeClr val="tx1"/>
              </a:solidFill>
              <a:latin typeface="Cambria Math" panose="02040503050406030204" pitchFamily="18" charset="0"/>
              <a:ea typeface="Cambria Math" panose="02040503050406030204" pitchFamily="18" charset="0"/>
              <a:cs typeface="+mn-cs"/>
            </a:defRPr>
          </a:pPr>
          <a:endParaRPr lang="en-PK"/>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58000"/>
            </a:schemeClr>
          </a:solidFill>
          <a:ln>
            <a:noFill/>
          </a:ln>
          <a:effectLst>
            <a:outerShdw blurRad="317500" algn="ctr" rotWithShape="0">
              <a:prstClr val="black">
                <a:alpha val="25000"/>
              </a:prstClr>
            </a:outerShdw>
          </a:effectLst>
        </c:spPr>
      </c:pivotFmt>
      <c:pivotFmt>
        <c:idx val="2"/>
        <c:spPr>
          <a:solidFill>
            <a:schemeClr val="accent6">
              <a:tint val="86000"/>
            </a:schemeClr>
          </a:solidFill>
          <a:ln>
            <a:noFill/>
          </a:ln>
          <a:effectLst>
            <a:outerShdw blurRad="317500" algn="ctr" rotWithShape="0">
              <a:prstClr val="black">
                <a:alpha val="25000"/>
              </a:prstClr>
            </a:outerShdw>
          </a:effectLst>
        </c:spPr>
      </c:pivotFmt>
      <c:pivotFmt>
        <c:idx val="3"/>
        <c:spPr>
          <a:solidFill>
            <a:schemeClr val="accent6">
              <a:shade val="86000"/>
            </a:schemeClr>
          </a:solidFill>
          <a:ln>
            <a:noFill/>
          </a:ln>
          <a:effectLst>
            <a:outerShdw blurRad="317500" algn="ctr" rotWithShape="0">
              <a:prstClr val="black">
                <a:alpha val="25000"/>
              </a:prstClr>
            </a:outerShdw>
          </a:effectLst>
        </c:spPr>
      </c:pivotFmt>
      <c:pivotFmt>
        <c:idx val="4"/>
        <c:spPr>
          <a:solidFill>
            <a:schemeClr val="accent6">
              <a:shade val="58000"/>
            </a:schemeClr>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58000"/>
            </a:schemeClr>
          </a:solidFill>
          <a:ln>
            <a:noFill/>
          </a:ln>
          <a:effectLst>
            <a:outerShdw blurRad="317500" algn="ctr" rotWithShape="0">
              <a:prstClr val="black">
                <a:alpha val="25000"/>
              </a:prstClr>
            </a:outerShdw>
          </a:effectLst>
        </c:spPr>
      </c:pivotFmt>
      <c:pivotFmt>
        <c:idx val="7"/>
        <c:spPr>
          <a:solidFill>
            <a:schemeClr val="accent6">
              <a:tint val="86000"/>
            </a:schemeClr>
          </a:solidFill>
          <a:ln>
            <a:noFill/>
          </a:ln>
          <a:effectLst>
            <a:outerShdw blurRad="317500" algn="ctr" rotWithShape="0">
              <a:prstClr val="black">
                <a:alpha val="25000"/>
              </a:prstClr>
            </a:outerShdw>
          </a:effectLst>
        </c:spPr>
      </c:pivotFmt>
      <c:pivotFmt>
        <c:idx val="8"/>
        <c:spPr>
          <a:solidFill>
            <a:schemeClr val="accent6">
              <a:shade val="86000"/>
            </a:schemeClr>
          </a:solidFill>
          <a:ln>
            <a:noFill/>
          </a:ln>
          <a:effectLst>
            <a:outerShdw blurRad="317500" algn="ctr" rotWithShape="0">
              <a:prstClr val="black">
                <a:alpha val="25000"/>
              </a:prstClr>
            </a:outerShdw>
          </a:effectLst>
        </c:spPr>
      </c:pivotFmt>
      <c:pivotFmt>
        <c:idx val="9"/>
        <c:spPr>
          <a:solidFill>
            <a:schemeClr val="accent6">
              <a:shade val="58000"/>
            </a:schemeClr>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chemeClr val="bg1"/>
                  </a:solidFill>
                  <a:latin typeface="Cambria Math" panose="02040503050406030204" pitchFamily="18" charset="0"/>
                  <a:ea typeface="Cambria Math" panose="02040503050406030204" pitchFamily="18" charset="0"/>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tint val="58000"/>
            </a:schemeClr>
          </a:solidFill>
          <a:ln>
            <a:noFill/>
          </a:ln>
          <a:effectLst>
            <a:outerShdw blurRad="317500" algn="ctr" rotWithShape="0">
              <a:prstClr val="black">
                <a:alpha val="25000"/>
              </a:prstClr>
            </a:outerShdw>
          </a:effectLst>
        </c:spPr>
      </c:pivotFmt>
      <c:pivotFmt>
        <c:idx val="12"/>
        <c:spPr>
          <a:solidFill>
            <a:schemeClr val="accent6">
              <a:tint val="86000"/>
            </a:schemeClr>
          </a:solidFill>
          <a:ln>
            <a:noFill/>
          </a:ln>
          <a:effectLst>
            <a:outerShdw blurRad="317500" algn="ctr" rotWithShape="0">
              <a:prstClr val="black">
                <a:alpha val="25000"/>
              </a:prstClr>
            </a:outerShdw>
          </a:effectLst>
        </c:spPr>
      </c:pivotFmt>
      <c:pivotFmt>
        <c:idx val="13"/>
        <c:spPr>
          <a:solidFill>
            <a:schemeClr val="accent6">
              <a:shade val="86000"/>
            </a:schemeClr>
          </a:solidFill>
          <a:ln>
            <a:noFill/>
          </a:ln>
          <a:effectLst>
            <a:outerShdw blurRad="317500" algn="ctr" rotWithShape="0">
              <a:prstClr val="black">
                <a:alpha val="25000"/>
              </a:prstClr>
            </a:outerShdw>
          </a:effectLst>
        </c:spPr>
      </c:pivotFmt>
      <c:pivotFmt>
        <c:idx val="14"/>
        <c:spPr>
          <a:solidFill>
            <a:schemeClr val="accent6">
              <a:shade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Table'!$V$3</c:f>
              <c:strCache>
                <c:ptCount val="1"/>
                <c:pt idx="0">
                  <c:v>Total</c:v>
                </c:pt>
              </c:strCache>
            </c:strRef>
          </c:tx>
          <c:dPt>
            <c:idx val="0"/>
            <c:bubble3D val="0"/>
            <c:spPr>
              <a:solidFill>
                <a:schemeClr val="accent6">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164-4853-BD26-6DBCF8583654}"/>
              </c:ext>
            </c:extLst>
          </c:dPt>
          <c:dPt>
            <c:idx val="1"/>
            <c:bubble3D val="0"/>
            <c:spPr>
              <a:solidFill>
                <a:schemeClr val="accent6">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164-4853-BD26-6DBCF8583654}"/>
              </c:ext>
            </c:extLst>
          </c:dPt>
          <c:dPt>
            <c:idx val="2"/>
            <c:bubble3D val="0"/>
            <c:spPr>
              <a:solidFill>
                <a:schemeClr val="accent6">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164-4853-BD26-6DBCF8583654}"/>
              </c:ext>
            </c:extLst>
          </c:dPt>
          <c:dPt>
            <c:idx val="3"/>
            <c:bubble3D val="0"/>
            <c:spPr>
              <a:solidFill>
                <a:schemeClr val="accent6">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164-4853-BD26-6DBCF8583654}"/>
              </c:ext>
            </c:extLst>
          </c:dPt>
          <c:dLbls>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chemeClr val="bg1"/>
                    </a:solidFill>
                    <a:latin typeface="Cambria Math" panose="02040503050406030204" pitchFamily="18" charset="0"/>
                    <a:ea typeface="Cambria Math" panose="02040503050406030204" pitchFamily="18" charset="0"/>
                    <a:cs typeface="+mn-cs"/>
                  </a:defRPr>
                </a:pPr>
                <a:endParaRPr lang="en-PK"/>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Table'!$U$4:$U$8</c:f>
              <c:strCache>
                <c:ptCount val="4"/>
                <c:pt idx="0">
                  <c:v>East</c:v>
                </c:pt>
                <c:pt idx="1">
                  <c:v>North</c:v>
                </c:pt>
                <c:pt idx="2">
                  <c:v>South</c:v>
                </c:pt>
                <c:pt idx="3">
                  <c:v>West</c:v>
                </c:pt>
              </c:strCache>
            </c:strRef>
          </c:cat>
          <c:val>
            <c:numRef>
              <c:f>'Pivot Table'!$V$4:$V$8</c:f>
              <c:numCache>
                <c:formatCode>General</c:formatCode>
                <c:ptCount val="4"/>
                <c:pt idx="0">
                  <c:v>9094723.3999999985</c:v>
                </c:pt>
                <c:pt idx="1">
                  <c:v>3358036.63</c:v>
                </c:pt>
                <c:pt idx="2">
                  <c:v>10430529.319999997</c:v>
                </c:pt>
                <c:pt idx="3">
                  <c:v>4458640.34</c:v>
                </c:pt>
              </c:numCache>
            </c:numRef>
          </c:val>
          <c:extLst>
            <c:ext xmlns:c16="http://schemas.microsoft.com/office/drawing/2014/chart" uri="{C3380CC4-5D6E-409C-BE32-E72D297353CC}">
              <c16:uniqueId val="{00000008-5164-4853-BD26-6DBCF858365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2617079680480243"/>
          <c:y val="0.36560608495366659"/>
          <c:w val="0.1513925325076223"/>
          <c:h val="0.30452610090405369"/>
        </c:manualLayout>
      </c:layout>
      <c:overlay val="0"/>
      <c:spPr>
        <a:solidFill>
          <a:schemeClr val="lt1">
            <a:alpha val="78000"/>
          </a:schemeClr>
        </a:solidFill>
        <a:ln>
          <a:noFill/>
        </a:ln>
        <a:effectLst/>
      </c:spPr>
      <c:txPr>
        <a:bodyPr rot="0" spcFirstLastPara="1" vertOverflow="ellipsis" vert="horz" wrap="square" anchor="ctr" anchorCtr="1"/>
        <a:lstStyle/>
        <a:p>
          <a:pPr>
            <a:defRPr sz="4400" b="1" i="0" u="none" strike="noStrike" kern="1200" baseline="0">
              <a:solidFill>
                <a:schemeClr val="tx1"/>
              </a:solidFill>
              <a:latin typeface="Cambria Math" panose="02040503050406030204" pitchFamily="18" charset="0"/>
              <a:ea typeface="Cambria Math" panose="02040503050406030204" pitchFamily="18" charset="0"/>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 Table!PivotTable7</c:name>
    <c:fmtId val="20"/>
  </c:pivotSource>
  <c:chart>
    <c:title>
      <c:tx>
        <c:rich>
          <a:bodyPr rot="0" spcFirstLastPara="1" vertOverflow="ellipsis" vert="horz" wrap="square" anchor="ctr" anchorCtr="1"/>
          <a:lstStyle/>
          <a:p>
            <a:pPr>
              <a:defRPr sz="5400" b="1" i="0" u="none" strike="noStrike" kern="1200" baseline="0">
                <a:solidFill>
                  <a:schemeClr val="tx1"/>
                </a:solidFill>
                <a:latin typeface="Cambria Math" panose="02040503050406030204" pitchFamily="18" charset="0"/>
                <a:ea typeface="Cambria Math" panose="02040503050406030204" pitchFamily="18" charset="0"/>
                <a:cs typeface="+mn-cs"/>
              </a:defRPr>
            </a:pPr>
            <a:r>
              <a:rPr lang="en-US" sz="5400" b="1">
                <a:solidFill>
                  <a:schemeClr val="tx1"/>
                </a:solidFill>
                <a:latin typeface="Cambria Math" panose="02040503050406030204" pitchFamily="18" charset="0"/>
                <a:ea typeface="Cambria Math" panose="02040503050406030204" pitchFamily="18" charset="0"/>
              </a:rPr>
              <a:t>Quantities Sold by State</a:t>
            </a:r>
          </a:p>
        </c:rich>
      </c:tx>
      <c:layout>
        <c:manualLayout>
          <c:xMode val="edge"/>
          <c:yMode val="edge"/>
          <c:x val="4.0851829549148053E-2"/>
          <c:y val="6.3202719159916071E-2"/>
        </c:manualLayout>
      </c:layout>
      <c:overlay val="0"/>
      <c:spPr>
        <a:noFill/>
        <a:ln>
          <a:noFill/>
        </a:ln>
        <a:effectLst/>
      </c:spPr>
      <c:txPr>
        <a:bodyPr rot="0" spcFirstLastPara="1" vertOverflow="ellipsis" vert="horz" wrap="square" anchor="ctr" anchorCtr="1"/>
        <a:lstStyle/>
        <a:p>
          <a:pPr>
            <a:defRPr sz="5400" b="1" i="0" u="none" strike="noStrike" kern="1200" baseline="0">
              <a:solidFill>
                <a:schemeClr val="tx1"/>
              </a:solidFill>
              <a:latin typeface="Cambria Math" panose="02040503050406030204" pitchFamily="18" charset="0"/>
              <a:ea typeface="Cambria Math" panose="02040503050406030204" pitchFamily="18" charset="0"/>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pPr>
            <a:solidFill>
              <a:schemeClr val="accent6"/>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tint val="58000"/>
            </a:schemeClr>
          </a:solidFill>
          <a:ln>
            <a:noFill/>
          </a:ln>
          <a:effectLst>
            <a:outerShdw blurRad="317500" algn="ctr" rotWithShape="0">
              <a:prstClr val="black">
                <a:alpha val="25000"/>
              </a:prstClr>
            </a:outerShdw>
          </a:effectLst>
        </c:spPr>
      </c:pivotFmt>
      <c:pivotFmt>
        <c:idx val="4"/>
        <c:spPr>
          <a:solidFill>
            <a:schemeClr val="accent6">
              <a:tint val="86000"/>
            </a:schemeClr>
          </a:solidFill>
          <a:ln>
            <a:noFill/>
          </a:ln>
          <a:effectLst>
            <a:outerShdw blurRad="317500" algn="ctr" rotWithShape="0">
              <a:prstClr val="black">
                <a:alpha val="25000"/>
              </a:prstClr>
            </a:outerShdw>
          </a:effectLst>
        </c:spPr>
      </c:pivotFmt>
      <c:pivotFmt>
        <c:idx val="5"/>
        <c:spPr>
          <a:solidFill>
            <a:schemeClr val="accent6">
              <a:shade val="86000"/>
            </a:schemeClr>
          </a:solidFill>
          <a:ln>
            <a:noFill/>
          </a:ln>
          <a:effectLst>
            <a:outerShdw blurRad="317500" algn="ctr" rotWithShape="0">
              <a:prstClr val="black">
                <a:alpha val="25000"/>
              </a:prstClr>
            </a:outerShdw>
          </a:effectLst>
        </c:spPr>
      </c:pivotFmt>
      <c:pivotFmt>
        <c:idx val="6"/>
        <c:spPr>
          <a:solidFill>
            <a:schemeClr val="accent6">
              <a:shade val="58000"/>
            </a:schemeClr>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tint val="58000"/>
            </a:schemeClr>
          </a:solidFill>
          <a:ln>
            <a:noFill/>
          </a:ln>
          <a:effectLst>
            <a:outerShdw blurRad="317500" algn="ctr" rotWithShape="0">
              <a:prstClr val="black">
                <a:alpha val="25000"/>
              </a:prstClr>
            </a:outerShdw>
          </a:effectLst>
        </c:spPr>
      </c:pivotFmt>
      <c:pivotFmt>
        <c:idx val="9"/>
        <c:spPr>
          <a:solidFill>
            <a:schemeClr val="accent6">
              <a:tint val="86000"/>
            </a:schemeClr>
          </a:solidFill>
          <a:ln>
            <a:noFill/>
          </a:ln>
          <a:effectLst>
            <a:outerShdw blurRad="317500" algn="ctr" rotWithShape="0">
              <a:prstClr val="black">
                <a:alpha val="25000"/>
              </a:prstClr>
            </a:outerShdw>
          </a:effectLst>
        </c:spPr>
      </c:pivotFmt>
      <c:pivotFmt>
        <c:idx val="10"/>
        <c:spPr>
          <a:solidFill>
            <a:schemeClr val="accent6">
              <a:shade val="86000"/>
            </a:schemeClr>
          </a:solidFill>
          <a:ln>
            <a:noFill/>
          </a:ln>
          <a:effectLst>
            <a:outerShdw blurRad="317500" algn="ctr" rotWithShape="0">
              <a:prstClr val="black">
                <a:alpha val="25000"/>
              </a:prstClr>
            </a:outerShdw>
          </a:effectLst>
        </c:spPr>
      </c:pivotFmt>
      <c:pivotFmt>
        <c:idx val="11"/>
        <c:spPr>
          <a:solidFill>
            <a:schemeClr val="accent6">
              <a:shade val="58000"/>
            </a:schemeClr>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chemeClr val="lt1"/>
                  </a:solidFill>
                  <a:latin typeface="Cambria Math" panose="02040503050406030204" pitchFamily="18" charset="0"/>
                  <a:ea typeface="Cambria Math" panose="02040503050406030204" pitchFamily="18" charset="0"/>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tint val="58000"/>
            </a:schemeClr>
          </a:solidFill>
          <a:ln>
            <a:noFill/>
          </a:ln>
          <a:effectLst>
            <a:outerShdw blurRad="317500" algn="ctr" rotWithShape="0">
              <a:prstClr val="black">
                <a:alpha val="25000"/>
              </a:prstClr>
            </a:outerShdw>
          </a:effectLst>
        </c:spPr>
      </c:pivotFmt>
      <c:pivotFmt>
        <c:idx val="14"/>
        <c:spPr>
          <a:solidFill>
            <a:schemeClr val="accent6">
              <a:tint val="86000"/>
            </a:schemeClr>
          </a:solidFill>
          <a:ln>
            <a:noFill/>
          </a:ln>
          <a:effectLst>
            <a:outerShdw blurRad="317500" algn="ctr" rotWithShape="0">
              <a:prstClr val="black">
                <a:alpha val="25000"/>
              </a:prstClr>
            </a:outerShdw>
          </a:effectLst>
        </c:spPr>
      </c:pivotFmt>
      <c:pivotFmt>
        <c:idx val="15"/>
        <c:spPr>
          <a:solidFill>
            <a:schemeClr val="accent6">
              <a:shade val="86000"/>
            </a:schemeClr>
          </a:solidFill>
          <a:ln>
            <a:noFill/>
          </a:ln>
          <a:effectLst>
            <a:outerShdw blurRad="317500" algn="ctr" rotWithShape="0">
              <a:prstClr val="black">
                <a:alpha val="25000"/>
              </a:prstClr>
            </a:outerShdw>
          </a:effectLst>
        </c:spPr>
      </c:pivotFmt>
      <c:pivotFmt>
        <c:idx val="16"/>
        <c:spPr>
          <a:solidFill>
            <a:schemeClr val="accent6">
              <a:shade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5.3210408207673823E-2"/>
          <c:y val="0.21811858198436912"/>
          <c:w val="0.67951821496302067"/>
          <c:h val="0.76872048505339141"/>
        </c:manualLayout>
      </c:layout>
      <c:pieChart>
        <c:varyColors val="1"/>
        <c:ser>
          <c:idx val="0"/>
          <c:order val="0"/>
          <c:tx>
            <c:strRef>
              <c:f>'Pivot Table'!$S$3</c:f>
              <c:strCache>
                <c:ptCount val="1"/>
                <c:pt idx="0">
                  <c:v>Total</c:v>
                </c:pt>
              </c:strCache>
            </c:strRef>
          </c:tx>
          <c:dPt>
            <c:idx val="0"/>
            <c:bubble3D val="0"/>
            <c:spPr>
              <a:solidFill>
                <a:schemeClr val="accent6">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B74-4293-B0E9-77C1A517789B}"/>
              </c:ext>
            </c:extLst>
          </c:dPt>
          <c:dPt>
            <c:idx val="1"/>
            <c:bubble3D val="0"/>
            <c:spPr>
              <a:solidFill>
                <a:schemeClr val="accent6">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B74-4293-B0E9-77C1A517789B}"/>
              </c:ext>
            </c:extLst>
          </c:dPt>
          <c:dPt>
            <c:idx val="2"/>
            <c:bubble3D val="0"/>
            <c:spPr>
              <a:solidFill>
                <a:schemeClr val="accent6">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B74-4293-B0E9-77C1A517789B}"/>
              </c:ext>
            </c:extLst>
          </c:dPt>
          <c:dPt>
            <c:idx val="3"/>
            <c:bubble3D val="0"/>
            <c:spPr>
              <a:solidFill>
                <a:schemeClr val="accent6">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B74-4293-B0E9-77C1A517789B}"/>
              </c:ext>
            </c:extLst>
          </c:dPt>
          <c:dLbls>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chemeClr val="lt1"/>
                    </a:solidFill>
                    <a:latin typeface="Cambria Math" panose="02040503050406030204" pitchFamily="18" charset="0"/>
                    <a:ea typeface="Cambria Math" panose="02040503050406030204" pitchFamily="18" charset="0"/>
                    <a:cs typeface="+mn-cs"/>
                  </a:defRPr>
                </a:pPr>
                <a:endParaRPr lang="en-PK"/>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Table'!$R$4:$R$8</c:f>
              <c:strCache>
                <c:ptCount val="4"/>
                <c:pt idx="0">
                  <c:v>Balochistan</c:v>
                </c:pt>
                <c:pt idx="1">
                  <c:v>Khyber Pakhtunkhwa</c:v>
                </c:pt>
                <c:pt idx="2">
                  <c:v>Punjab</c:v>
                </c:pt>
                <c:pt idx="3">
                  <c:v>Sindh</c:v>
                </c:pt>
              </c:strCache>
            </c:strRef>
          </c:cat>
          <c:val>
            <c:numRef>
              <c:f>'Pivot Table'!$S$4:$S$8</c:f>
              <c:numCache>
                <c:formatCode>General</c:formatCode>
                <c:ptCount val="4"/>
                <c:pt idx="0">
                  <c:v>1613</c:v>
                </c:pt>
                <c:pt idx="1">
                  <c:v>1414</c:v>
                </c:pt>
                <c:pt idx="2">
                  <c:v>3394</c:v>
                </c:pt>
                <c:pt idx="3">
                  <c:v>4153</c:v>
                </c:pt>
              </c:numCache>
            </c:numRef>
          </c:val>
          <c:extLst>
            <c:ext xmlns:c16="http://schemas.microsoft.com/office/drawing/2014/chart" uri="{C3380CC4-5D6E-409C-BE32-E72D297353CC}">
              <c16:uniqueId val="{00000008-DB74-4293-B0E9-77C1A517789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222428766664578"/>
          <c:y val="5.187433070720749E-2"/>
          <c:w val="0.31671809967491321"/>
          <c:h val="0.46245728467060315"/>
        </c:manualLayout>
      </c:layout>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65000"/>
                  <a:lumOff val="35000"/>
                </a:schemeClr>
              </a:solidFill>
              <a:latin typeface="Cambria Math" panose="02040503050406030204" pitchFamily="18" charset="0"/>
              <a:ea typeface="Cambria Math" panose="02040503050406030204" pitchFamily="18" charset="0"/>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[Dashboard.xlsx]Pivot Table!PivotTable5</c:name>
    <c:fmtId val="20"/>
  </c:pivotSource>
  <c:chart>
    <c:title>
      <c:tx>
        <c:rich>
          <a:bodyPr rot="0" spcFirstLastPara="1" vertOverflow="ellipsis" vert="horz" wrap="square" anchor="ctr" anchorCtr="1"/>
          <a:lstStyle/>
          <a:p>
            <a:pPr algn="l">
              <a:defRPr sz="6600" b="1" i="0" u="none" strike="noStrike" kern="1200" baseline="0">
                <a:solidFill>
                  <a:schemeClr val="tx1"/>
                </a:solidFill>
                <a:latin typeface="Cambria Math" panose="02040503050406030204" pitchFamily="18" charset="0"/>
                <a:ea typeface="Cambria Math" panose="02040503050406030204" pitchFamily="18" charset="0"/>
                <a:cs typeface="+mn-cs"/>
              </a:defRPr>
            </a:pPr>
            <a:r>
              <a:rPr lang="en-US" sz="6600">
                <a:solidFill>
                  <a:schemeClr val="tx1"/>
                </a:solidFill>
                <a:latin typeface="Cambria Math" panose="02040503050406030204" pitchFamily="18" charset="0"/>
                <a:ea typeface="Cambria Math" panose="02040503050406030204" pitchFamily="18" charset="0"/>
              </a:rPr>
              <a:t>Monthly</a:t>
            </a:r>
            <a:r>
              <a:rPr lang="en-US" sz="6600" baseline="0">
                <a:solidFill>
                  <a:schemeClr val="tx1"/>
                </a:solidFill>
                <a:latin typeface="Cambria Math" panose="02040503050406030204" pitchFamily="18" charset="0"/>
                <a:ea typeface="Cambria Math" panose="02040503050406030204" pitchFamily="18" charset="0"/>
              </a:rPr>
              <a:t> Sales and Profit</a:t>
            </a:r>
            <a:endParaRPr lang="en-US" sz="6600">
              <a:solidFill>
                <a:schemeClr val="tx1"/>
              </a:solidFill>
              <a:latin typeface="Cambria Math" panose="02040503050406030204" pitchFamily="18" charset="0"/>
              <a:ea typeface="Cambria Math" panose="02040503050406030204" pitchFamily="18" charset="0"/>
            </a:endParaRPr>
          </a:p>
        </c:rich>
      </c:tx>
      <c:layout>
        <c:manualLayout>
          <c:xMode val="edge"/>
          <c:yMode val="edge"/>
          <c:x val="5.0400873803818011E-2"/>
          <c:y val="3.2795798361664005E-2"/>
        </c:manualLayout>
      </c:layout>
      <c:overlay val="0"/>
      <c:spPr>
        <a:noFill/>
        <a:ln>
          <a:noFill/>
        </a:ln>
        <a:effectLst/>
      </c:spPr>
      <c:txPr>
        <a:bodyPr rot="0" spcFirstLastPara="1" vertOverflow="ellipsis" vert="horz" wrap="square" anchor="ctr" anchorCtr="1"/>
        <a:lstStyle/>
        <a:p>
          <a:pPr algn="l">
            <a:defRPr sz="6600" b="1" i="0" u="none" strike="noStrike" kern="1200" baseline="0">
              <a:solidFill>
                <a:schemeClr val="tx1"/>
              </a:solidFill>
              <a:latin typeface="Cambria Math" panose="02040503050406030204" pitchFamily="18" charset="0"/>
              <a:ea typeface="Cambria Math" panose="02040503050406030204" pitchFamily="18" charset="0"/>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78194462945021"/>
          <c:y val="0.17108068749470831"/>
          <c:w val="0.7955899016672624"/>
          <c:h val="0.65415231563796461"/>
        </c:manualLayout>
      </c:layout>
      <c:barChart>
        <c:barDir val="col"/>
        <c:grouping val="clustered"/>
        <c:varyColors val="0"/>
        <c:ser>
          <c:idx val="0"/>
          <c:order val="0"/>
          <c:tx>
            <c:strRef>
              <c:f>'Pivot Table'!$AB$9:$AB$16</c:f>
              <c:strCache>
                <c:ptCount val="1"/>
                <c:pt idx="0">
                  <c:v>Sum of Sales Amount</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invertIfNegative val="0"/>
          <c:trendline>
            <c:spPr>
              <a:ln w="85725" cap="rnd">
                <a:solidFill>
                  <a:schemeClr val="tx1"/>
                </a:solidFill>
                <a:prstDash val="solid"/>
              </a:ln>
              <a:effectLst>
                <a:outerShdw blurRad="50800" dist="50800" dir="5400000" sx="1000" sy="1000" algn="ctr" rotWithShape="0">
                  <a:schemeClr val="tx1"/>
                </a:outerShdw>
              </a:effectLst>
            </c:spPr>
            <c:trendlineType val="movingAvg"/>
            <c:period val="2"/>
            <c:dispRSqr val="0"/>
            <c:dispEq val="0"/>
          </c:trendline>
          <c:errBars>
            <c:errBarType val="both"/>
            <c:errValType val="cust"/>
            <c:noEndCap val="0"/>
            <c:plus>
              <c:numRef>
                <c:f>'Pivot Table'!$AB$9:$AB$16</c:f>
                <c:numCache>
                  <c:formatCode>General</c:formatCode>
                  <c:ptCount val="8"/>
                </c:numCache>
              </c:numRef>
            </c:plus>
            <c:minus>
              <c:numRef>
                <c:f>'Pivot Table'!$AB$9:$AB$16</c:f>
                <c:numCache>
                  <c:formatCode>General</c:formatCode>
                  <c:ptCount val="8"/>
                </c:numCache>
              </c:numRef>
            </c:minus>
            <c:spPr>
              <a:noFill/>
              <a:ln w="28575">
                <a:noFill/>
                <a:round/>
              </a:ln>
              <a:effectLst/>
            </c:spPr>
          </c:errBars>
          <c:cat>
            <c:strRef>
              <c:f>'Pivot Table'!$AB$9:$AB$16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Table'!$AB$9:$AB$16</c:f>
              <c:numCache>
                <c:formatCode>General</c:formatCode>
                <c:ptCount val="12"/>
                <c:pt idx="0">
                  <c:v>2612216.9299999997</c:v>
                </c:pt>
                <c:pt idx="1">
                  <c:v>2233903.2099999995</c:v>
                </c:pt>
                <c:pt idx="2">
                  <c:v>2566570.9800000009</c:v>
                </c:pt>
                <c:pt idx="3">
                  <c:v>2052606.3699999994</c:v>
                </c:pt>
                <c:pt idx="4">
                  <c:v>2528189.1999999997</c:v>
                </c:pt>
                <c:pt idx="5">
                  <c:v>2319694.5999999996</c:v>
                </c:pt>
                <c:pt idx="6">
                  <c:v>2181281.9100000006</c:v>
                </c:pt>
                <c:pt idx="7">
                  <c:v>2125721.5900000003</c:v>
                </c:pt>
                <c:pt idx="8">
                  <c:v>2061878.0999999999</c:v>
                </c:pt>
                <c:pt idx="9">
                  <c:v>2451323.71</c:v>
                </c:pt>
                <c:pt idx="10">
                  <c:v>2129147.19</c:v>
                </c:pt>
                <c:pt idx="11">
                  <c:v>2079395.9</c:v>
                </c:pt>
              </c:numCache>
            </c:numRef>
          </c:val>
          <c:extLst>
            <c:ext xmlns:c16="http://schemas.microsoft.com/office/drawing/2014/chart" uri="{C3380CC4-5D6E-409C-BE32-E72D297353CC}">
              <c16:uniqueId val="{00000001-E581-4409-B083-6848EC2DDF6D}"/>
            </c:ext>
          </c:extLst>
        </c:ser>
        <c:dLbls>
          <c:showLegendKey val="0"/>
          <c:showVal val="0"/>
          <c:showCatName val="0"/>
          <c:showSerName val="0"/>
          <c:showPercent val="0"/>
          <c:showBubbleSize val="0"/>
        </c:dLbls>
        <c:gapWidth val="100"/>
        <c:overlap val="-24"/>
        <c:axId val="394815120"/>
        <c:axId val="394814400"/>
      </c:barChart>
      <c:barChart>
        <c:barDir val="col"/>
        <c:grouping val="clustered"/>
        <c:varyColors val="0"/>
        <c:ser>
          <c:idx val="1"/>
          <c:order val="1"/>
          <c:tx>
            <c:strRef>
              <c:f>'Pivot Table'!$AB$9:$AB$16</c:f>
              <c:strCache>
                <c:ptCount val="1"/>
                <c:pt idx="0">
                  <c:v>Sum of Gross Profit</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invertIfNegative val="0"/>
          <c:cat>
            <c:strRef>
              <c:f>'Pivot Table'!$AB$9:$AB$16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Table'!$AB$9:$AB$16</c:f>
              <c:numCache>
                <c:formatCode>General</c:formatCode>
                <c:ptCount val="12"/>
                <c:pt idx="0">
                  <c:v>261221.69300000014</c:v>
                </c:pt>
                <c:pt idx="1">
                  <c:v>223390.32099999997</c:v>
                </c:pt>
                <c:pt idx="2">
                  <c:v>256657.09800000009</c:v>
                </c:pt>
                <c:pt idx="3">
                  <c:v>205260.63699999999</c:v>
                </c:pt>
                <c:pt idx="4">
                  <c:v>252818.91999999998</c:v>
                </c:pt>
                <c:pt idx="5">
                  <c:v>231969.46000000008</c:v>
                </c:pt>
                <c:pt idx="6">
                  <c:v>218128.19099999999</c:v>
                </c:pt>
                <c:pt idx="7">
                  <c:v>212572.15899999996</c:v>
                </c:pt>
                <c:pt idx="8">
                  <c:v>206187.81000000008</c:v>
                </c:pt>
                <c:pt idx="9">
                  <c:v>245132.37100000001</c:v>
                </c:pt>
                <c:pt idx="10">
                  <c:v>212914.71900000001</c:v>
                </c:pt>
                <c:pt idx="11">
                  <c:v>207939.59</c:v>
                </c:pt>
              </c:numCache>
            </c:numRef>
          </c:val>
          <c:extLst>
            <c:ext xmlns:c16="http://schemas.microsoft.com/office/drawing/2014/chart" uri="{C3380CC4-5D6E-409C-BE32-E72D297353CC}">
              <c16:uniqueId val="{00000002-E581-4409-B083-6848EC2DDF6D}"/>
            </c:ext>
          </c:extLst>
        </c:ser>
        <c:dLbls>
          <c:showLegendKey val="0"/>
          <c:showVal val="0"/>
          <c:showCatName val="0"/>
          <c:showSerName val="0"/>
          <c:showPercent val="0"/>
          <c:showBubbleSize val="0"/>
        </c:dLbls>
        <c:gapWidth val="100"/>
        <c:overlap val="-24"/>
        <c:axId val="575018728"/>
        <c:axId val="362105864"/>
      </c:barChart>
      <c:catAx>
        <c:axId val="394815120"/>
        <c:scaling>
          <c:orientation val="minMax"/>
        </c:scaling>
        <c:delete val="0"/>
        <c:axPos val="b"/>
        <c:title>
          <c:tx>
            <c:rich>
              <a:bodyPr rot="0" spcFirstLastPara="1" vertOverflow="ellipsis" vert="horz" wrap="square" anchor="ctr" anchorCtr="1"/>
              <a:lstStyle/>
              <a:p>
                <a:pPr>
                  <a:defRPr sz="5400" b="1" i="0" u="none" strike="noStrike" kern="1200" baseline="0">
                    <a:solidFill>
                      <a:schemeClr val="tx2"/>
                    </a:solidFill>
                    <a:latin typeface="Cambria Math" panose="02040503050406030204" pitchFamily="18" charset="0"/>
                    <a:ea typeface="Cambria Math" panose="02040503050406030204" pitchFamily="18" charset="0"/>
                    <a:cs typeface="+mn-cs"/>
                  </a:defRPr>
                </a:pPr>
                <a:r>
                  <a:rPr lang="en-US" sz="5400">
                    <a:latin typeface="Cambria Math" panose="02040503050406030204" pitchFamily="18" charset="0"/>
                    <a:ea typeface="Cambria Math" panose="02040503050406030204" pitchFamily="18" charset="0"/>
                  </a:rPr>
                  <a:t>Months</a:t>
                </a:r>
              </a:p>
            </c:rich>
          </c:tx>
          <c:layout>
            <c:manualLayout>
              <c:xMode val="edge"/>
              <c:yMode val="edge"/>
              <c:x val="0.49287740874828878"/>
              <c:y val="0.9144660909321819"/>
            </c:manualLayout>
          </c:layout>
          <c:overlay val="0"/>
          <c:spPr>
            <a:noFill/>
            <a:ln>
              <a:noFill/>
            </a:ln>
            <a:effectLst/>
          </c:spPr>
          <c:txPr>
            <a:bodyPr rot="0" spcFirstLastPara="1" vertOverflow="ellipsis" vert="horz" wrap="square" anchor="ctr" anchorCtr="1"/>
            <a:lstStyle/>
            <a:p>
              <a:pPr>
                <a:defRPr sz="5400" b="1" i="0" u="none" strike="noStrike" kern="1200" baseline="0">
                  <a:solidFill>
                    <a:schemeClr val="tx2"/>
                  </a:solidFill>
                  <a:latin typeface="Cambria Math" panose="02040503050406030204" pitchFamily="18" charset="0"/>
                  <a:ea typeface="Cambria Math" panose="02040503050406030204" pitchFamily="18" charset="0"/>
                  <a:cs typeface="+mn-cs"/>
                </a:defRPr>
              </a:pPr>
              <a:endParaRPr lang="en-PK"/>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3600" b="0" i="0" u="none" strike="noStrike" kern="1200" baseline="0">
                <a:solidFill>
                  <a:schemeClr val="tx2"/>
                </a:solidFill>
                <a:latin typeface="+mn-lt"/>
                <a:ea typeface="+mn-ea"/>
                <a:cs typeface="+mn-cs"/>
              </a:defRPr>
            </a:pPr>
            <a:endParaRPr lang="en-PK"/>
          </a:p>
        </c:txPr>
        <c:crossAx val="394814400"/>
        <c:crosses val="autoZero"/>
        <c:auto val="1"/>
        <c:lblAlgn val="ctr"/>
        <c:lblOffset val="100"/>
        <c:noMultiLvlLbl val="0"/>
      </c:catAx>
      <c:valAx>
        <c:axId val="3948144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5400" b="1" i="0" u="none" strike="noStrike" kern="1200" baseline="0">
                    <a:solidFill>
                      <a:schemeClr val="tx2"/>
                    </a:solidFill>
                    <a:latin typeface="Cambria Math" panose="02040503050406030204" pitchFamily="18" charset="0"/>
                    <a:ea typeface="Cambria Math" panose="02040503050406030204" pitchFamily="18" charset="0"/>
                    <a:cs typeface="+mn-cs"/>
                  </a:defRPr>
                </a:pPr>
                <a:r>
                  <a:rPr lang="en-US" sz="5400">
                    <a:latin typeface="Cambria Math" panose="02040503050406030204" pitchFamily="18" charset="0"/>
                    <a:ea typeface="Cambria Math" panose="02040503050406030204" pitchFamily="18" charset="0"/>
                  </a:rPr>
                  <a:t>Sales</a:t>
                </a:r>
              </a:p>
            </c:rich>
          </c:tx>
          <c:overlay val="0"/>
          <c:spPr>
            <a:noFill/>
            <a:ln>
              <a:noFill/>
            </a:ln>
            <a:effectLst/>
          </c:spPr>
          <c:txPr>
            <a:bodyPr rot="-5400000" spcFirstLastPara="1" vertOverflow="ellipsis" vert="horz" wrap="square" anchor="ctr" anchorCtr="1"/>
            <a:lstStyle/>
            <a:p>
              <a:pPr>
                <a:defRPr sz="5400" b="1" i="0" u="none" strike="noStrike" kern="1200" baseline="0">
                  <a:solidFill>
                    <a:schemeClr val="tx2"/>
                  </a:solidFill>
                  <a:latin typeface="Cambria Math" panose="02040503050406030204" pitchFamily="18" charset="0"/>
                  <a:ea typeface="Cambria Math" panose="02040503050406030204" pitchFamily="18" charset="0"/>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600" b="0" i="0" u="none" strike="noStrike" kern="1200" baseline="0">
                <a:solidFill>
                  <a:schemeClr val="tx2"/>
                </a:solidFill>
                <a:latin typeface="Cambria Math" panose="02040503050406030204" pitchFamily="18" charset="0"/>
                <a:ea typeface="Cambria Math" panose="02040503050406030204" pitchFamily="18" charset="0"/>
                <a:cs typeface="+mn-cs"/>
              </a:defRPr>
            </a:pPr>
            <a:endParaRPr lang="en-PK"/>
          </a:p>
        </c:txPr>
        <c:crossAx val="394815120"/>
        <c:crosses val="autoZero"/>
        <c:crossBetween val="between"/>
      </c:valAx>
      <c:valAx>
        <c:axId val="362105864"/>
        <c:scaling>
          <c:orientation val="minMax"/>
        </c:scaling>
        <c:delete val="0"/>
        <c:axPos val="r"/>
        <c:title>
          <c:tx>
            <c:rich>
              <a:bodyPr rot="-5400000" spcFirstLastPara="1" vertOverflow="ellipsis" vert="horz" wrap="square" anchor="ctr" anchorCtr="1"/>
              <a:lstStyle/>
              <a:p>
                <a:pPr>
                  <a:defRPr sz="5400" b="1" i="0" u="none" strike="noStrike" kern="1200" baseline="0">
                    <a:solidFill>
                      <a:schemeClr val="tx2"/>
                    </a:solidFill>
                    <a:latin typeface="Cambria Math" panose="02040503050406030204" pitchFamily="18" charset="0"/>
                    <a:ea typeface="Cambria Math" panose="02040503050406030204" pitchFamily="18" charset="0"/>
                    <a:cs typeface="+mn-cs"/>
                  </a:defRPr>
                </a:pPr>
                <a:r>
                  <a:rPr lang="en-US" sz="5400" b="1">
                    <a:latin typeface="Cambria Math" panose="02040503050406030204" pitchFamily="18" charset="0"/>
                    <a:ea typeface="Cambria Math" panose="02040503050406030204" pitchFamily="18" charset="0"/>
                  </a:rPr>
                  <a:t>Profit</a:t>
                </a:r>
              </a:p>
            </c:rich>
          </c:tx>
          <c:overlay val="0"/>
          <c:spPr>
            <a:noFill/>
            <a:ln>
              <a:noFill/>
            </a:ln>
            <a:effectLst/>
          </c:spPr>
          <c:txPr>
            <a:bodyPr rot="-5400000" spcFirstLastPara="1" vertOverflow="ellipsis" vert="horz" wrap="square" anchor="ctr" anchorCtr="1"/>
            <a:lstStyle/>
            <a:p>
              <a:pPr>
                <a:defRPr sz="5400" b="1" i="0" u="none" strike="noStrike" kern="1200" baseline="0">
                  <a:solidFill>
                    <a:schemeClr val="tx2"/>
                  </a:solidFill>
                  <a:latin typeface="Cambria Math" panose="02040503050406030204" pitchFamily="18" charset="0"/>
                  <a:ea typeface="Cambria Math" panose="02040503050406030204" pitchFamily="18" charset="0"/>
                  <a:cs typeface="+mn-cs"/>
                </a:defRPr>
              </a:pPr>
              <a:endParaRPr lang="en-PK"/>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600" b="0" i="0" u="none" strike="noStrike" kern="1200" baseline="0">
                <a:solidFill>
                  <a:schemeClr val="tx2"/>
                </a:solidFill>
                <a:latin typeface="Cambria Math" panose="02040503050406030204" pitchFamily="18" charset="0"/>
                <a:ea typeface="Cambria Math" panose="02040503050406030204" pitchFamily="18" charset="0"/>
                <a:cs typeface="+mn-cs"/>
              </a:defRPr>
            </a:pPr>
            <a:endParaRPr lang="en-PK"/>
          </a:p>
        </c:txPr>
        <c:crossAx val="575018728"/>
        <c:crosses val="max"/>
        <c:crossBetween val="between"/>
      </c:valAx>
      <c:catAx>
        <c:axId val="575018728"/>
        <c:scaling>
          <c:orientation val="minMax"/>
        </c:scaling>
        <c:delete val="1"/>
        <c:axPos val="b"/>
        <c:numFmt formatCode="General" sourceLinked="1"/>
        <c:majorTickMark val="out"/>
        <c:minorTickMark val="none"/>
        <c:tickLblPos val="nextTo"/>
        <c:crossAx val="3621058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[Dashboard.xlsx]Pivot Table!PivotTable9</c:name>
    <c:fmtId val="10"/>
  </c:pivotSource>
  <c:chart>
    <c:title>
      <c:tx>
        <c:rich>
          <a:bodyPr rot="0" spcFirstLastPara="1" vertOverflow="ellipsis" vert="horz" wrap="square" anchor="ctr" anchorCtr="1"/>
          <a:lstStyle/>
          <a:p>
            <a:pPr>
              <a:defRPr sz="7200" b="1" i="0" u="none" strike="noStrike" kern="1200" baseline="0">
                <a:solidFill>
                  <a:schemeClr val="tx1"/>
                </a:solidFill>
                <a:latin typeface="Cambria Math" panose="02040503050406030204" pitchFamily="18" charset="0"/>
                <a:ea typeface="Cambria Math" panose="02040503050406030204" pitchFamily="18" charset="0"/>
                <a:cs typeface="+mn-cs"/>
              </a:defRPr>
            </a:pPr>
            <a:r>
              <a:rPr lang="en-US" sz="7200">
                <a:solidFill>
                  <a:schemeClr val="tx1"/>
                </a:solidFill>
                <a:latin typeface="Cambria Math" panose="02040503050406030204" pitchFamily="18" charset="0"/>
                <a:ea typeface="Cambria Math" panose="02040503050406030204" pitchFamily="18" charset="0"/>
              </a:rPr>
              <a:t>Sales by Customer</a:t>
            </a:r>
          </a:p>
        </c:rich>
      </c:tx>
      <c:layout>
        <c:manualLayout>
          <c:xMode val="edge"/>
          <c:yMode val="edge"/>
          <c:x val="0.39262039779431235"/>
          <c:y val="3.231598150157447E-2"/>
        </c:manualLayout>
      </c:layout>
      <c:overlay val="0"/>
      <c:spPr>
        <a:noFill/>
        <a:ln>
          <a:noFill/>
        </a:ln>
        <a:effectLst/>
      </c:spPr>
      <c:txPr>
        <a:bodyPr rot="0" spcFirstLastPara="1" vertOverflow="ellipsis" vert="horz" wrap="square" anchor="ctr" anchorCtr="1"/>
        <a:lstStyle/>
        <a:p>
          <a:pPr>
            <a:defRPr sz="7200" b="1" i="0" u="none" strike="noStrike" kern="1200" baseline="0">
              <a:solidFill>
                <a:schemeClr val="tx1"/>
              </a:solidFill>
              <a:latin typeface="Cambria Math" panose="02040503050406030204" pitchFamily="18" charset="0"/>
              <a:ea typeface="Cambria Math" panose="02040503050406030204" pitchFamily="18" charset="0"/>
              <a:cs typeface="+mn-cs"/>
            </a:defRPr>
          </a:pPr>
          <a:endParaRPr lang="en-PK"/>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78526451395411E-2"/>
          <c:y val="0.19573315952380435"/>
          <c:w val="0.87495184088227507"/>
          <c:h val="0.64563928861865816"/>
        </c:manualLayout>
      </c:layout>
      <c:barChart>
        <c:barDir val="bar"/>
        <c:grouping val="clustered"/>
        <c:varyColors val="0"/>
        <c:ser>
          <c:idx val="0"/>
          <c:order val="0"/>
          <c:tx>
            <c:strRef>
              <c:f>'Pivot Table'!$Y$3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Table'!$X$4:$X$14</c:f>
              <c:strCache>
                <c:ptCount val="10"/>
                <c:pt idx="0">
                  <c:v>Hafey</c:v>
                </c:pt>
                <c:pt idx="1">
                  <c:v>Areeba</c:v>
                </c:pt>
                <c:pt idx="2">
                  <c:v>Ahmed</c:v>
                </c:pt>
                <c:pt idx="3">
                  <c:v>jibran</c:v>
                </c:pt>
                <c:pt idx="4">
                  <c:v>ali</c:v>
                </c:pt>
                <c:pt idx="5">
                  <c:v>Meera</c:v>
                </c:pt>
                <c:pt idx="6">
                  <c:v>aliza</c:v>
                </c:pt>
                <c:pt idx="7">
                  <c:v>rafey</c:v>
                </c:pt>
                <c:pt idx="8">
                  <c:v>Noman</c:v>
                </c:pt>
                <c:pt idx="9">
                  <c:v>Rida</c:v>
                </c:pt>
              </c:strCache>
            </c:strRef>
          </c:cat>
          <c:val>
            <c:numRef>
              <c:f>'Pivot Table'!$Y$4:$Y$14</c:f>
              <c:numCache>
                <c:formatCode>General</c:formatCode>
                <c:ptCount val="10"/>
                <c:pt idx="0">
                  <c:v>3046690.5500000007</c:v>
                </c:pt>
                <c:pt idx="1">
                  <c:v>3046058.85</c:v>
                </c:pt>
                <c:pt idx="2">
                  <c:v>2947564.5100000002</c:v>
                </c:pt>
                <c:pt idx="3">
                  <c:v>2829331.3599999985</c:v>
                </c:pt>
                <c:pt idx="4">
                  <c:v>2783018.7600000002</c:v>
                </c:pt>
                <c:pt idx="5">
                  <c:v>2761279.2199999988</c:v>
                </c:pt>
                <c:pt idx="6">
                  <c:v>2577082.5999999987</c:v>
                </c:pt>
                <c:pt idx="7">
                  <c:v>2558271.1900000004</c:v>
                </c:pt>
                <c:pt idx="8">
                  <c:v>2453340.9999999986</c:v>
                </c:pt>
                <c:pt idx="9">
                  <c:v>2339291.6499999994</c:v>
                </c:pt>
              </c:numCache>
            </c:numRef>
          </c:val>
          <c:extLst>
            <c:ext xmlns:c16="http://schemas.microsoft.com/office/drawing/2014/chart" uri="{C3380CC4-5D6E-409C-BE32-E72D297353CC}">
              <c16:uniqueId val="{00000000-404A-4489-9123-AF007850E05A}"/>
            </c:ext>
          </c:extLst>
        </c:ser>
        <c:dLbls>
          <c:showLegendKey val="0"/>
          <c:showVal val="0"/>
          <c:showCatName val="0"/>
          <c:showSerName val="0"/>
          <c:showPercent val="0"/>
          <c:showBubbleSize val="0"/>
        </c:dLbls>
        <c:gapWidth val="115"/>
        <c:overlap val="-20"/>
        <c:axId val="575019088"/>
        <c:axId val="575019448"/>
      </c:barChart>
      <c:catAx>
        <c:axId val="575019088"/>
        <c:scaling>
          <c:orientation val="minMax"/>
        </c:scaling>
        <c:delete val="0"/>
        <c:axPos val="l"/>
        <c:title>
          <c:tx>
            <c:rich>
              <a:bodyPr rot="-5400000" spcFirstLastPara="1" vertOverflow="ellipsis" vert="horz" wrap="square" anchor="ctr" anchorCtr="1"/>
              <a:lstStyle/>
              <a:p>
                <a:pPr>
                  <a:defRPr sz="4800" b="1" i="0" u="none" strike="noStrike" kern="1200" baseline="0">
                    <a:solidFill>
                      <a:schemeClr val="tx1"/>
                    </a:solidFill>
                    <a:latin typeface="Cambria Math" panose="02040503050406030204" pitchFamily="18" charset="0"/>
                    <a:ea typeface="Cambria Math" panose="02040503050406030204" pitchFamily="18" charset="0"/>
                    <a:cs typeface="+mn-cs"/>
                  </a:defRPr>
                </a:pPr>
                <a:r>
                  <a:rPr lang="en-US" sz="4800" b="1">
                    <a:solidFill>
                      <a:schemeClr val="tx1"/>
                    </a:solidFill>
                    <a:latin typeface="Cambria Math" panose="02040503050406030204" pitchFamily="18" charset="0"/>
                    <a:ea typeface="Cambria Math" panose="02040503050406030204" pitchFamily="18" charset="0"/>
                  </a:rPr>
                  <a:t>Customer</a:t>
                </a:r>
              </a:p>
            </c:rich>
          </c:tx>
          <c:overlay val="0"/>
          <c:spPr>
            <a:noFill/>
            <a:ln>
              <a:noFill/>
            </a:ln>
            <a:effectLst/>
          </c:spPr>
          <c:txPr>
            <a:bodyPr rot="-5400000" spcFirstLastPara="1" vertOverflow="ellipsis" vert="horz" wrap="square" anchor="ctr" anchorCtr="1"/>
            <a:lstStyle/>
            <a:p>
              <a:pPr>
                <a:defRPr sz="4800" b="1" i="0" u="none" strike="noStrike" kern="1200" baseline="0">
                  <a:solidFill>
                    <a:schemeClr val="tx1"/>
                  </a:solidFill>
                  <a:latin typeface="Cambria Math" panose="02040503050406030204" pitchFamily="18" charset="0"/>
                  <a:ea typeface="Cambria Math" panose="02040503050406030204" pitchFamily="18" charset="0"/>
                  <a:cs typeface="+mn-cs"/>
                </a:defRPr>
              </a:pPr>
              <a:endParaRPr lang="en-PK"/>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Cambria Math" panose="02040503050406030204" pitchFamily="18" charset="0"/>
                <a:ea typeface="Cambria Math" panose="02040503050406030204" pitchFamily="18" charset="0"/>
                <a:cs typeface="+mn-cs"/>
              </a:defRPr>
            </a:pPr>
            <a:endParaRPr lang="en-PK"/>
          </a:p>
        </c:txPr>
        <c:crossAx val="575019448"/>
        <c:crosses val="autoZero"/>
        <c:auto val="1"/>
        <c:lblAlgn val="ctr"/>
        <c:lblOffset val="100"/>
        <c:noMultiLvlLbl val="0"/>
      </c:catAx>
      <c:valAx>
        <c:axId val="575019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4800" b="1" i="0" u="none" strike="noStrike" kern="1200" baseline="0">
                    <a:solidFill>
                      <a:schemeClr val="tx1"/>
                    </a:solidFill>
                    <a:latin typeface="Cambria Math" panose="02040503050406030204" pitchFamily="18" charset="0"/>
                    <a:ea typeface="Cambria Math" panose="02040503050406030204" pitchFamily="18" charset="0"/>
                    <a:cs typeface="+mn-cs"/>
                  </a:defRPr>
                </a:pPr>
                <a:r>
                  <a:rPr lang="en-US" sz="4800" b="1">
                    <a:solidFill>
                      <a:schemeClr val="tx1"/>
                    </a:solidFill>
                    <a:latin typeface="Cambria Math" panose="02040503050406030204" pitchFamily="18" charset="0"/>
                    <a:ea typeface="Cambria Math" panose="02040503050406030204" pitchFamily="18" charset="0"/>
                  </a:rPr>
                  <a:t>Sales</a:t>
                </a:r>
              </a:p>
            </c:rich>
          </c:tx>
          <c:overlay val="0"/>
          <c:spPr>
            <a:noFill/>
            <a:ln>
              <a:noFill/>
            </a:ln>
            <a:effectLst/>
          </c:spPr>
          <c:txPr>
            <a:bodyPr rot="0" spcFirstLastPara="1" vertOverflow="ellipsis" vert="horz" wrap="square" anchor="ctr" anchorCtr="1"/>
            <a:lstStyle/>
            <a:p>
              <a:pPr>
                <a:defRPr sz="4800" b="1" i="0" u="none" strike="noStrike" kern="1200" baseline="0">
                  <a:solidFill>
                    <a:schemeClr val="tx1"/>
                  </a:solidFill>
                  <a:latin typeface="Cambria Math" panose="02040503050406030204" pitchFamily="18" charset="0"/>
                  <a:ea typeface="Cambria Math" panose="02040503050406030204" pitchFamily="18" charset="0"/>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Cambria Math" panose="02040503050406030204" pitchFamily="18" charset="0"/>
                <a:ea typeface="Cambria Math" panose="02040503050406030204" pitchFamily="18" charset="0"/>
                <a:cs typeface="+mn-cs"/>
              </a:defRPr>
            </a:pPr>
            <a:endParaRPr lang="en-PK"/>
          </a:p>
        </c:txPr>
        <c:crossAx val="5750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54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_xlchart.v5.8</cx:f>
        <cx:nf>_xlchart.v5.7</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8000" b="1">
              <a:solidFill>
                <a:schemeClr val="tx1"/>
              </a:solidFill>
              <a:latin typeface="Cambria Math" panose="02040503050406030204" pitchFamily="18" charset="0"/>
              <a:ea typeface="Cambria Math" panose="02040503050406030204" pitchFamily="18" charset="0"/>
              <a:cs typeface="Cambria Math" panose="02040503050406030204" pitchFamily="18" charset="0"/>
            </a:defRPr>
          </a:pPr>
          <a:r>
            <a:rPr lang="en-US" sz="8000" b="1" i="0" u="none" strike="noStrike" baseline="0">
              <a:solidFill>
                <a:schemeClr val="tx1"/>
              </a:solidFill>
              <a:latin typeface="Cambria Math" panose="02040503050406030204" pitchFamily="18" charset="0"/>
              <a:ea typeface="Cambria Math" panose="02040503050406030204" pitchFamily="18" charset="0"/>
            </a:rPr>
            <a:t>Sales by State</a:t>
          </a:r>
        </a:p>
      </cx:txPr>
    </cx:title>
    <cx:plotArea>
      <cx:plotAreaRegion>
        <cx:plotSurface>
          <cx:spPr>
            <a:ln>
              <a:noFill/>
              <a:prstDash val="solid"/>
            </a:ln>
          </cx:spPr>
        </cx:plotSurface>
        <cx:series layoutId="regionMap" uniqueId="{2B11A4EF-459E-4452-991F-241EB693C2F6}">
          <cx:tx>
            <cx:txData>
              <cx:f>_xlchart.v5.7</cx:f>
              <cx:v>Sales</cx:v>
            </cx:txData>
          </cx:tx>
          <cx:dataLabels>
            <cx:txPr>
              <a:bodyPr spcFirstLastPara="1" vertOverflow="ellipsis" horzOverflow="overflow" wrap="square" lIns="0" tIns="0" rIns="0" bIns="0" anchor="ctr" anchorCtr="1"/>
              <a:lstStyle/>
              <a:p>
                <a:pPr algn="ctr" rtl="0">
                  <a:defRPr sz="3600" b="1">
                    <a:solidFill>
                      <a:schemeClr val="bg1"/>
                    </a:solidFill>
                    <a:latin typeface="Cambria Math" panose="02040503050406030204" pitchFamily="18" charset="0"/>
                    <a:ea typeface="Cambria Math" panose="02040503050406030204" pitchFamily="18" charset="0"/>
                    <a:cs typeface="Cambria Math" panose="02040503050406030204" pitchFamily="18" charset="0"/>
                  </a:defRPr>
                </a:pPr>
                <a:endParaRPr lang="en-US" sz="3600" b="1" i="0" u="none" strike="noStrike" baseline="0">
                  <a:solidFill>
                    <a:schemeClr val="bg1"/>
                  </a:solidFill>
                  <a:latin typeface="Cambria Math" panose="02040503050406030204" pitchFamily="18" charset="0"/>
                  <a:ea typeface="Cambria Math" panose="02040503050406030204" pitchFamily="18" charset="0"/>
                </a:endParaRPr>
              </a:p>
            </cx:txPr>
            <cx:dataLabel idx="3">
              <cx:txPr>
                <a:bodyPr spcFirstLastPara="1" vertOverflow="ellipsis" horzOverflow="overflow" wrap="square" lIns="0" tIns="0" rIns="0" bIns="0" anchor="ctr" anchorCtr="1"/>
                <a:lstStyle/>
                <a:p>
                  <a:pPr algn="ctr" rtl="0">
                    <a:defRPr>
                      <a:solidFill>
                        <a:schemeClr val="tx1"/>
                      </a:solidFill>
                    </a:defRPr>
                  </a:pPr>
                  <a:r>
                    <a:rPr lang="en-US" sz="3600" b="1" i="0" u="none" strike="noStrike" baseline="0">
                      <a:solidFill>
                        <a:schemeClr val="tx1"/>
                      </a:solidFill>
                      <a:latin typeface="Cambria Math" panose="02040503050406030204" pitchFamily="18" charset="0"/>
                      <a:ea typeface="Cambria Math" panose="02040503050406030204" pitchFamily="18" charset="0"/>
                    </a:rPr>
                    <a:t>3358036.63</a:t>
                  </a:r>
                </a:p>
              </cx:txPr>
            </cx:dataLabel>
          </cx:dataLabels>
          <cx:dataId val="0"/>
          <cx:layoutPr>
            <cx:regionLabelLayout val="none"/>
            <cx:geography cultureLanguage="en-US" cultureRegion="PK" attribution="Powered by Bing">
              <cx:geoCache provider="{E9337A44-BEBE-4D9F-B70C-5C5E7DAFC167}">
                <cx:binary>1H1bc922suZfcfl56OAOcNfJqRquRcmyLPluJ/uFJcsyCQK8gyTIX396Jc4+FixHs1FTU3OSh1S0
tFpgo7/uRuPr5n/c+n/c2rub8YlvbDv949b/+rRyrv/HL79Mt9VdczM9a/Tt2E3dV/fstmt+6b5+
1bd3v3wZb1bdlr8QhNkvt9XN6O780//8D5BW3nUvu9sbp7v2zXw3bm/vptm66W8+e/CjJzdfGt0e
9eRGfevwr09fXybZ/3765K512m3vt/7u16f3fuXpk19CQT/80ScW1uXmL/Bdop5RQiXjkqR//vP0
ie3a8tvHgj9TilMq1beP5V9/+vqmga9nN7a7rWB1N+1fHzy0pj9WdPPly3g3TfBEf/w3+PK9hwg+
u+3m1p1UWII2QQU35ttf1FN3+POzQ3d6mteXfzz+L/f1/5//EfwAFBL85LstCrX32EdPfrq67/fo
3i/9u3uUPqNpKqVg/M8tUvf3SD1TmAkqCEV//MP/2oo/9+i/1fXzBT28Qf/9zXvL//9uB+7ZDmDk
sto+341PYPmVm1tTrTd/aeQh4/z3AEPZM6aEkqDuhzZDkmdIpUykKX5wM/69pT28LQ/JuKeChzXw
P2sPwc+9zv4vbht6Bi4MYZzih/wcbBtmFHOZfoOY+OtPf8PQ3NY3n//62UNW9PBWvf72vWB7/vrx
/7gteXf8Ox38e0gi4gQVyZDkf0IF/+jWUonA8f25Y0HoeafbL9XfrebhHfn2tWBDvv30//F+/DwI
/StkH2/cTf5HrP8uDv39p388N6QfwVfvpQz3HvQvJV58+fUpTtF30ekk4tv3Ho4l//rK3c3kfn0q
02ckpYJzmnKOpMLk6ZP17vSJAPwpRpAS8oRAgtOnT9pudNWvT6l8hiC48VQgkVLKU/b0ydTNp48I
fSYRJeBNuWLwOXz019O97uxWdu2/VPHt/5+0c/O6062bfn0Kcvo/f+u0zIRgJpkkjFL4+e3NW8jb
4Jfw/8L1XhmxtyLvEFEHm1ZFtu727Ds9/BvC4Ym/Fy6Enb0pQDhOmo8kZR8IG8/jRAM+vhftOspM
nTY8Z7ydM18XSZbWu4iUDvv+vXRTYL12cydyJfyrnqWXVE8WPPK/0sv/c6UQ2OzvZW8bRNBqKUU+
L8k/G88PJUqrSNmQDH0vu1rryRRzwvOOsHfWm5tpneP2koDH+V50yZKB7b4Rudw1Opi14MeV2yZy
4RBivpdOlylZGQFLKXpnD6XsLpoNCXC4MRqHHPCe8J7LbekKnsuxKQ/rzL8OdO4PccJPwPoOQGm6
rrOxoPJyYslhbxJ/nNskUukBOiUZ50G5guXp3CVvFofUBWtmt0Vqndxf+1RWYlF+5jlv5t+LZc1E
Tz/EqSXAZ7fu49T0IFo2W51xN7xs2HARJztApx1ta3cy8bzvyz7bScGzEQ6fUcJPvvj7/Szq2Rdj
0cF+4vZLbYeXuhlex4kO0AlWklJ88lnlNuSFVcd1Kv48tP15ZnvAqZxM+QE3jgN07qwXE0E1z2vq
kszRan9V6nK8BPd7Fbf4AKEVrZIab5rnBKMLiZLLcv0SJzmA587GdF9RxXO8ihcjX2760sX5cRyA
c1mqgZe25HnaoPWiUYW5nDF5FbfuAJxiq4fCosLnC2Uvxd48bwaXx4kOgLmvK0fdCfdsMXlFyAuD
1udxogNg4mLWiCSK50Mi1ItSJtPXlMr6Q5z0AJqMkwX1NUgnxfaJzeO14CxOJygAJhHNvBVIb3mC
yJd9TcuMJ/j3qGWjAJmV2Vru53LLV+W3M7706ZFQNsS5WRSAs1W9GMpl8rnl4nWR8vNdD+/jFh6g
MmndPtDNs1z35MPK2RddqPoYJzvApWWGlrOefa4Hfsksv17M8iJOdIDLZhdzYvW65bO2NCtcfW3X
9Euc7ACWG23SpUMry1tdVplalnNO55s42QEuCRLVILT34E/YdBhk+jVp9kidBMCcxrXrO7ds+YjW
uz6ZPpb0n3GrDkDZMI/3tAZtj7i5nrv5GpVJGWXbUIq7Hy5xTVmfmtHng3HNZavF/H4mXRnlv2ka
4FKMW0JM3/t8perWcvausekjEfNkaj9GTJoGoBw7PmxmnbeciC3JUIVftEWlopJCmgawXHasKV46
nxfzeo4n8nZqfRQq4Sx5X+Gm8CqZ037LaULeUFVloqiirJuezprfpz624PswlgMENDlvmeb6ZTVX
ZeS6A1jW5VgI3o9b3mvzWyvsJW50VGSgaYDKUqWlVScrMW1ij+kCB1nV8jHSwgNcFqovpgIsMVfl
QrK5sntW10sUNOmpwPC9ymlLGmUGMJRlTi50S38r67gcgqoAmWViFpZgMHDD0JKPra8O1JqoVJaq
AJi14e2QUAchrXe/oU7wbEboZYy7oipAph32amQSXEo3+vLQSnrctYkLalQFyBw6ifDQQ1ATW//W
ldVvsxFxZqgCZNZ4XIoK9JxTSGbfJpNePtV2jHNXKsDmQKlhyjVbXhXte+7F272ycc5KBcj0dScn
WTanOG+abFvUHeORWxkgk7VeuGmyPpcrfdGkLMOWvo+zkgCWFRUKzcT4fOItz3zfvK/MHik7QGVp
eJ9gDRrplN5z6/DB2q45i1q4DHAJmSBTPDWQ+4zya+0dzqxb2kjhAS5Xt0hTUg02SJYyE2V7M7Tb
m7iFB7isyFCtAwKNV9hdUYNzPumo/JvKAJXpjKitVA0muCd3fk1vGdrjgCMDVFYdn2TFpi2v5YKO
hSQ0GxL9Nk4lASoXvPWOw+khV+321qRQQZHGXMfJDmA52ob0GkNoYIwMZ56L9YI0axIHehkgUyI3
1qoAE3cVSvNyne1xS1odFx5kAE5p6oT29bDn6+7R7xa79KYo1vUiTjMBPGvhcaMm7vO94x+QqN9K
FwcfEWDTUTzXvuRQVU7cmV41zUaaxFXbwD/dj/XTaAc07qAU0rM37aaPzdg+cnY44eSBZFYE0ExI
vQiNhi1Hs877BeXIrZ/XpjlirY9RShcBRJm2Ztrmbs/9UJ1hXp4hheNsUQQQFbxI5zKB1Zekb7Ok
nz+sUFGJW3aA0NKTUvZ7t+Vy7pOcmd1nC0/u4oQHEDVo3ITpxj3vqPtYj+s/h/48TnIAz0LaiiyE
gh9f7Rfr5B2cZessTnYAzgopPtZ+9zlqut87UrxG1ec4yQEwt732KN0LCG21ez3V7adqL+NshAfI
tGjUQ7uDv5rKaTn4dOLHbYyriVEeIJPu1G71Csjc9faubPt3yKk8SiU8QKasBrXIPtnytm+es1a8
m1gf56x4iMimFwo8CskHl0CGVYg1J9HrDjC5uCQp+AKYHAbyAhXofbpFpuA8gGS1O5yOHG0535dP
kDS/EI5FWkkAyM4itaaoh41s5Lu6FDd7JyO9FA8gKTTU2aQWPh8TP2dMyDHTFfsQZyYBJsu9Zsag
nuS895deoTd7OkcV7ikPQanHXiMGFtjQ/n0yTCYv54XHKZwFsKy7cmC9J1u+dfoKrryfJ6V7G6US
FoBSOKU71IBo3JLfNPPvFGtQnAtkASp1lTJDOEDHE90cBNQfpZo/xa07gOWCJirYtsHhQW+3tt9/
V4kd4oIwC1CZpkJP3kCdOt3Mq65slmyDg0/cugNYWmBxtqToCERKe9YWy/OeVo94qpNaH0hPWABL
oUy792KH9KS29LNeikM74uey7DIJ0OdMRcKIBRgl42aTqYNKp6T295XMR+uKL3HqCRBaOGLQvoM5
Ijh4C88+7EL9Fic6QKhEk98kA/WUlXtrfHtIujRONA3wWYp5UamCamGJ5lelSI+2HSJFB/ismd6m
ScOqe92vh47XUF/q4spiNMDn6OQ0Vabec133/ljbzV+0XbI9ki2fLPoBc6QBQu1ULsrKETxisrnf
az9OV02hp0eM/WfSA4z6TXEsSzhwtgLflq4uM7aImyhLoQFGWcPX3p0y5b5p3sy+qbN1TOP8VsgE
8iyVXqRwnQl1ziqzZlgyxNs4h0sDYE4uqVEHDjGXi7wi/XIoKY2LbzQAJrWkEFULOllt8XJbRJ+N
k3kfp+8AmasV+zqnFSS09l2rhpvGpb9HSQ5ZQBDvp0LScs/d2qrzBqiSl4Vw+yM6OdnaAxZOAmwS
traI9qBup6upO5aV9a8s393bqUqr6hj3CAFIt75rpVNwrVkMuM0W1N3Om45zLiSAqEOiscMK9WWC
3HmN1Rmhj5XIfqabAJ9txRHeO4ihaqq7C871Yal8JkVSxLkXEoB07kZh9VZDqbYz7yqSfNg39SVO
5UEgldJ4zKoWLn/amV8wupSHRJf+PE56ANIZFazsLdSYbTXdpZqPB7u3cZfglAQwZaudkiKFgwqq
+iEr9vZDiepHzP2k2YfMPYDpVCu62e1kiTp9s9rxvPAi8von5AP5pGy7TYB7SZOkyXAlblfR6Lj0
GYc4rYmVisPCm2qrDqWvz5opkgxIQ06Qm+cOlxsUsIua8gwBqWaYGhbn0HEA0CpJ3VIZsJXWrcth
ahrwADSJM0QcQLRe5TYtHJwjV8Nlv6lPuFeRogNwVj0dIUWswO9u+CYZk+t6I3EFWxyAc5qw6xYB
PmtF2/OybfJmXF5HIfNEHf7+mnBF9bA1EoyQoP4wpPOLxdQf40QHuBR2IVovkGrtiasOXND6uJMq
rviOA2A6Q1dP4co6HwvzSrrpeuSRXjakA5W24rZtQduDqD9jSFQw4m+iVBKygYBJp3Q6wKr7qjj3
sJlWJRdxooOYiU27dZ1cfY43YENv8yUwHOLCDgoQKcTiZd1iQCTbz4rJXM91eha36gCPXTHpWW3t
nsuEthlUQi4XaSOXHQAyGTsgRWq+QV15OTS+eDdV3bu4ZQeALJoJM4QB6wUQZ5/LYq8u1LzGuW4U
QLLbEun6NAXXzZPzfkufD0mZx607gOTQdz4dK3DcK/P99bJqcmEHH+dKUADJaqc1ZkByzectqbKp
2aqsbbsovEMT2H0/BQeIZKikgjR/wFdobC+LboxSCgmpQL6C295hpJC2Ue8y4M9/lW3c6YSEXCBV
U1G7AWywX/m109NlCoSGv99LctLrj7kJCalAFKlKuB7KhlyYcs9SaITtshbr9AVibHq3MIuu5O7V
mwRvB7HZ9Qqref9UMbJeDnM5DRm3QpCzxVM2n/ul7a9Wsk6vKBIJHHUcKi6gOF692VaUdFHMVhJy
jFK5mn6v4K5HrMVLy5cXZYof2caTy3hIHQHc4Qa5HxwCVatkqj+OCbjDbBoUthlpu/6RP/JwPghd
N/fNsHNu8hifbEXST4wUl7xvn//9fv5MdAB7UixiBKbektfYfiSjuyiMi+sMIWmA+63q297SZsn3
9HM/iDdujzvHQq/ffYWsGO6nXQL63Rqc6209ElXHKSSkGVk/Qv8D9n0uW/OyHyhUsEVUakJCklGy
6FYUHirXayKaIxm0zoxco4IDCVlGlXSAl2nv80JOw4EVymbQ9BPXQERCmpGu1tIZB1oZUNOc7UV5
RMqQR3LYU0R/AEMh0YjYAuGigd30wEB/m3bLJ+W2gyHyrLFjGnVxSkLC0SSLoQPqZZ/vq9MoXwuX
XkMBdORxGA1ZR8WW6nYiQw9NHG47LmsjspRvcWxDogKYdmk9McPHPp8KozMr3Xln9fsoF6BCmO4b
x8TAytGcnBtEztp6+Gec6ACn+7Ji7YcJlJ7arJunF8nQR51OSEg7apJS4wEoKnltJ24zOaasyjzQ
aqNWLoOTbDHypIOFMyAaSnZcoZJ9aBJCoxJQIoO0edClcI0ATjfd1k+k9lk14rjrcBJyj3azt3aC
ymq+o/ElrkaV7YjF7WdIPtrKnqtWGehUMnOdLzAs4mA9jxQehFKGzLC5seV5xYXOnN6vRt5FnVOI
DCJoKZlfpAKlrON+Oy3thdQqzvGGzKOB0cEYtUMXVJJMmV2nNVunLa6RkPzAPGqoHfUE0jUxebLV
LzRdH3G7Pwn9MgBnp4td1vPGoSlUfaqEeKl8XKMs9PTej894ktKzAvpNq3SesqpM7woJkToKmiHv
qIZuNqxGWDeaywvp5NVCI3EZ8o7GAk+GGmjbpCNJ8qFuDpVs1DFu3afw911nJbODm5ulF/m07+o5
0uTdyjYbqRR+X7jZiQdaRg3C+/7jvOBPe7vEZUQiwOUykLpfeyCR7at+Pwh8KNO4uw4iAlhqLRZE
NdiJaBt93BZ2xriNK+kREcRMtktBmgl6t6CHeD/QyXwgnRgjNzMImnwvTSkKCUZYomvVorM9QZFb
GeByheDA+bCL3EMZ68KNjgEztSJxXjYkHsFmooWVsHBfLB+hsv+pH8WHKAMPaUfVwjfCBQHRq1wy
2Y0HPcq4eBzyjpSyvd+YFbnu+ku0DZd2kHH6DnlH66bqeqpXaGCXuMyX0bxxluBHzss/cbI8wGVp
vJ2XDnRi9uRSy2XKeobijrU/EI8QByr6DAtHajdHBBX3rUvi+sAJD6ApddmwXXueb34+CNle86Z7
HWcnATDdzEVT6oXnydq9LPYkNzKOwEx4AMsqMYXYgcOcD4DO85NDKfEWx30jIfPIldZOFQOV8HX8
WMzonIzNmyiVhLwj0c/bxujKc2jPaTOXHPzSd3EmGBKP5IyIWRfQidqAqNvU6ONSNf1vcQsPMtli
nVRlJezl6K3PuLEoG3sXZ+AsiJgKJ+3iDTTdJ4O6arb0/Ro5iYCEzCMEDXhd0ywib+buvK71a61U
XHLPgniZaIkSYFmfRgX0ss04Fim0m3bViziNB8Asy2p29cnEN+bOuEc2T0oc16BIQsKRT7Ccug3W
zpKPxLVVliZz3M0jYQE2MRDotbNw4N4KduMNlJeXJo3j0BMWBE2uHFrTk6nMybq/15qLc4TKPi7a
h7QjiGke8QQmNGDsrymzV3vcBQqhwTkTe+BjAIhEnozzi31bnxeuj8vbQtLRNKBuovUscmbJ1ULK
HHhpkfoIgInglk2rU+1EMtE9J3TSZ6Mf4s4lNAiZnSeOTHslckvKy2Ku35vNRqokgGZTthpLpyG/
58krasyW1aacDlHADAlH+NT4WLSQoki96/N0Ki+2cZSRGg9i5tJJn5AeNN4Kbw9N5/XnTSdpXHYV
co6qbgQ3zmDoS99X8sDp1LyGu7cickMDbPYd9lWJQOu43vhZAeW+V7Pp+OcotYfMo2Je2DoDjwFG
BlBymJTpM7ZNcXWDkHhUbL7y0wzCTVfceonnrFn3OHsJJxD1BO6pdAlHNtKtPluRaaGtkD92ajuh
5YGiasg48iyRcI0CDrFhtLradV1Cs29D6ZJ5sfRxmRwJoDr0bIBngI5TU1TX1TBmDk1xV28h60jU
poFgcfICI8eHZiyXwyq2PY8zmiCIEtJB7bcHk7QVpIemGOxh9juLywBIANa+BeEOC0j6R/5CO/He
t/L3uIUHQdQ0pdxGDmqhi2DXlWj6j86s1bs46QFSa2izSq0Bk6SK/760+3nfTnH12pB3VCcWkpYW
xoS5ce4OVhPIFvsusugZEo+k72UJdi5yaJ71h8KZOVvFHqfzkHg0dnZxHnrC87mY+bEnHiiwaq/i
vGPIPErGlkidQHmlqvlLyGOeCx7HIyMh78iuOlmphYXzU1UFV2aCm30ceSsZDiNafTlOaQ81VSFY
ptlOMug1LOIOLSH5iNm9MG0JiWhasvJYEAzDiSPv4UL2Ue1FtQsPZ/JiWy4xzGYrtscaF0+JxANe
FwfwrBI+fzOVtDnzC/2KluVtFDZD7pH1aZkUBFZtRNGcyUrftqoWceoO2UdDSfuFWwqW4vaLVAOB
FLPu698v/CeRKKQf8WRrGqA0wwwlX1Uf+70tXkJ00mfdssTNJyHhRCJP4LivWtDNxKB5nhjpXqSj
G+OyxpCJpFIvdNsi0PxcXBsY++aFissvUBBAq8EQmuwgWiEJfW/qc90sUSRSgoJcF0ugwWkJOuET
ulqg0CeL3sSlLigIn4j1pp0l3Eok02ZerH5XZ9y0cfNPSEhFqmASRwUDQnluE/XRt1AISZGMG/AD
s9zvF8rbkjccWnfgQsVu9qIjwH2Fs8wUaSpBAE3rgjXk5FpSTW9Ks47QwkiGKOEwWfX+0ldWqU47
EF4pd9SOXirzGLXsYYzikI3U67ks4RqH5aWBAfFZy8h069tEdRl1Dsc5dRzykjZfDAWZ4K+sZV2/
HNtkOTBv4wbE4JCZ1HX1ONQEjNLTbTvMi1iPJeGPZLo/U1AA1A6o6qgZwUGuydK+3apbWYujnQR7
RP7DgQP/MKtI9lCWL06LL+d3oh8uEI5rzcAhe4ixImnK5VRb7MmYdQO5qFU6RQUOHM4qGktcbA6X
PHd9e5V2+/OKqjd/Hzd+ppIAqUDybnovYN26rSmQqtyQQR0wqrT4xyTk7y/jhg6ojlsLtdwCCGt5
06IXbbLHkapwyCGq8eDc2sFmzl135XD7Stg0rtUThyQiRNiSdCyBcXCpvhasfC7jBs3hkEG022lH
Dp2cumJvZ95cqVaaODMJ+UMEl2piDMrEvuplVs/DJ7/Ncck/DvlDPhlHaNUHlSzr9q5y1UXa9XFF
SxzShjhL+mFLYOGT37NibN4lnYmz75AxhDGD0RwreEPZkhM3dj9LYIxgVITGIWGIsqItF3jLRK4U
DJ0SKMnnftojdzNAJq4Gr4oWLGUsqjdLM7/qK/whCvQqCKBwcmYdHwGXQEZ4uyE05TW0CB3/XvhP
nHjIGTKmAToCEFagSEw+FaTKoBfuvBn3uPgccoaAnV0t4wgDQkXlNpi50Lq3PV1NVKqIQ86QG4al
LxzsqLOeHZcyBcJWRZqocgsOWUOJQK1BJ9U0ZngLL4m5ECjuwgKHpKGkndbBFAAhY/oiqyv+ulxS
FWeKMshy0xISaL3C6XkZ7Iu6tR/3Ko68hkPOUOKBs2xS2M65SftM72t/8HKJA3/IGmrZYkc8Qi7X
r8lxcN3l1tLIrQzQKZIOTnMSUhXa7W1Gp9ocar7d/T2EfhKUQ9KQrQt4iwOFdZPUXJXDby2jUbUn
uBS7n90agZa9Pp3hlHZH2fEdaI5rHCMeh5whpGgiMdQp8h4nV0370bP+fZRCQsoQ+FgkpKQgORWf
61Herbv8HCc6uGVZsGXrCANJc2hOSzNq3JIvkSPKoBh5X91W0ZmWHTvl4vIt3EKdTXqMG9uPQ8bQ
vCyi6iYCjnBpEXB7DMmAgB9FYMEhZ6hKl8WLGbRScnRgrXvVziLOgYeMIUf0WJINs3wXO3Cz3fhm
8i7q2haLAJWoqkaqKOhbu3rL+p5mG+2auGgvgqjJ1GzgvSKnyGOG8U1tqH2vNldEig85Q8lisCt6
0Evd0IM25KpJ4wrxOOQMjUs5Nxi4D+BPtg5nCbzS4FKtQBuMiw8hb2hKExgFxxDLt329ZlN1TCsV
52dD3hAe2W4UHeFKbk66rNur24puH6OgH9KGdp7CfSoFjTekul6QQJcKdyLOFEPe0DJglCIPC5+F
vHaJegfDx/O4dQeFIW4LgsYZiM2LMwvKXDnMF7X09WPtRz8JP+HQIi62kosCqF9yWj5a0lRwA93E
2koA0V0AdbqpgI3oC5UPtLwu1rixbTikDsHg16RlA9wN98NCXoi5QAfMmu0R+P8krw3ZQy4Rxq39
CDxBUrFDWvf0riS601nqqipuZ0MWUTWPMNAJ3gkCUwBWlQ1yzZZEdo88wE+2NZxfhKpth7MmsCCQ
HdhVl8BMYmg4iWv3hNfn3Q91ndpgzsgM6oHy2eVm6Od0aNrIlQdhdMKi1nqCG9CBj+qAjLoY6245
RqEpZBIhuP9sUgvJ7TaJ41IV9YEZscR5xnCIEYfXaagKnTocDNZ9Vk8a+pHmco3zjiGTqJmmpRnI
AK98mPUZKpt3+x7XyoNDIlG/4GSFaTpwlVgok5W66bJii5uvCg21943FNLbE4HSBkJNu7qDsPh0n
pSN39AcikUd+WSW8CEPI8pCO6Ssk4i7M8Q9MogHKw8ZgKJcJW2ZgmF9WF2cqIZOoGVZjyhXoIU2d
Dtlua5PbMom7AMXh+KKtFEPqlQTPwtYqo0hfJm6OG9OBQzJRa43cSoxE3sKg6WvWlnM+inKMQ384
vwiTaabcY5BO3JghvVx3w/g2CvwhnWhvfd3DJGUBLLnNv5C7U5n2eozLAcIBRgOvaE2bU4o+3pI6
/c2quHeP4JBLNPhWlMNwYiVvxY0V1QSlsypuGBWmATrh7NkMe2ehZlbuQJSVehtfJsKnH6J0HnKJ
0j5pzAj3Q9AeCGQW5PhzmN3Rx6Eo5BL1At7v1hbD6QqBnsPA0nx+tIPyJ/EzpBIVvWot3JrBIXTm
xdXeuM+KFibuVBQyiRwkFwbPkIvSeUhy1M1fp87tUewH/AODaJlKV4wGiixzqvNaDDWwN9K4eTQ4
JBGZwZsxVSC9baajqdmWrV1kezMm9H6kIK7qNvgXSk87dlmN6e+0WqLYMjhkEHXdbFIxw4Gud+jS
DORGlSZS40GWi+GVQCk/1RFxUbw+iRZ8PYuDT4DOtExb5Abw5M6nR9XXVyXr46qfIX3I0lYkfFVw
NC8Wd/CQCqUWDXFuPGQPdVMzD/sAfTatqV8X7XC1PnaO+0lmHlKHynJKxV7vkJlrinJ4PR3/PE8J
VHP2ak3fR2k9JBBtXYGSBI5YOVAeLoqJmkxDHTROdpDeJmhtetNUsKOVcW+s2fE50KHaR/JbBUj5
kS0DFx73EdQ2A6dFC4dzW/j6ZduPxXs+LkCwhEaLxGapJfKllQx/9b2gkcWpkFnkmmKph6WEo/XU
vNxPNZgCZrM94uNPxcqHnojcf6JRUHhHm4awCs3D6H0z8obkdapG6An1ME0uH1bPk6wdd3jZeVFI
BgMPaTJFGkKA7G5r0kmrhMK04FIe4CWrHwfH6SN7ddqTh54swDbS0FK8NLBXPRGf4GWv5oBxETf6
GcoP99VG59GytCxo7qfVZLtk5GjTWcbBOyQgwcV6orcNjJjX6BXrd/JcbAOLc0wh9QimM/sidbD0
YRsvlh74ngWOC7wh78j7lrUJrk83PlBgAnNd3wBf2D4yEOEn4AupRwJew5v29aRyD40Nba4VVh+Q
6eDKd3EaXskJIRMNZ7K1G9x7zI0a40JbyEtCU+fhXZFQwklnxuFlISxJXxa4nVCcof7ATYL7SHiR
B6BA1EuftT1eswSbOH8YUpP2dHJIFlbmtG/I+4XN9Su9jHUdaakBgqlGpUk0GJMU1WEq1Z5NPY68
KgsnJZHekbUsQTF2XevjVtEXfVnFVRNQyE0SIkmt2kA4Tuv/4uzbmivF0Wz/Ske904MkBGJiuh8A
74vt9C2dznS+KPLiBCFAgJAE/PqzXNPnzJSne+qEIyqiwult9t6gy6e11rfWdIij/tuyb+/TDcVv
1Uk4Y0Wzj14XtkbIYzc8WWaGd5VDSCD/49LjISsZmw3bgcztvdF9f0t0TN6lwYvfSpLs6+Ku6g4x
prFH7ZmKr699OP/71vzPS4v4ranRasjWafzzBW8m9x1BRG1coDCfWLWM3fbxf3+Tf77qv2Zy/6Fn
3eqx0XGEu6Oj9QkF9FKQgbzrgAvW8I/Xji3aiDaPZTlOZ132CsLkoePvG+3xW2FSGve5WS0Wz5Sz
ujDwvTzMtG//5Ob/q/vyZqKurFfpgggrVC7hO5X6Gi7pf7J+Efo7B/c/91qA8X+8M3Uu9rj2AKLR
GSLkdW1TuxRKtDQq3OLqrFBznz6o2ummJKnh5jQYtprxSP3i/F6M2w5nVchV2o3g31Zo7duENGfl
su3XpoYsL6Bp1VVd5+7szUK3Q8MjvVTjNkAjuiF43MH82sHEi4dogPOJU1kh07F/Mnubios8qLWv
2t1LXVI3yO/cb+NQKa3DpzUedf0BorDMFVJMzVRum3cPYfN79ovqXjaw9Wn1fDmYPtxuCFtLbtpG
i/QaFkN7fb1zWOVf6WhoaoSL7vPwBE4oC1dbaI3pi0D4IvdCzPO4Ip46Rkxbti49zPwQyyPWAwKP
dw3VoiGQdbFOLieEZ2p1NAGwxGe70S0/IrO8o+VsZ1l/QrredNcblOO3u+BdV2iWDuoyj5M2vhna
mbAyH4ExXkem6cMdn6dhZUUDsxKOYUVMDqiqQ4ZmX3a6Y/7azfmqvgZCyXiuN506gtaedFb3EUP2
yXVDdwcvHOLizNy7xNUjyDQC8WxBXfDkfnbxYM+os2pR9KsRFjks3bYfkPmJKOSKz7KzF0lTG/51
GaIwZcXcOtptlY0zKwR8qLUN8KF3vc5/hHGS5Bf87+fpkWXQo1yPHQ/DbZRkUX41hyjvb53YPR6A
8AhaL5Cl6wdeool6218/JMiVvsygNW8efeu4ua1bLtqkTCYEIY1FvxCzXMPhPRVPms6gA5zVu2xO
bYy7DOW+qg+i2aUZixTam4facRJul77H0TAbGt+WoQ+D/ZmbIGd3sUwDHNfZPNkr6E/FwlDzcJHG
aEJd/cdBtkB7YZ3TkcdONoxWo6lFNdsxbqto7wmeOk9iZKcNiWnKeA/tDtC8X26mjE43tVcJjOrq
Pn+WiRjry1RkM+pvK+t5xxeK2g4V+ZSYMhX9680ZjwZ3gVSMhNlWi+bqc7wbY48s76NL4ERzBPCs
6eOLbR6TOzL15LwIz6Zy6E1LC7L1LjsYVmtR5AlCfgsxdUguzBMuTeF9B8Swg+n+c6+GsBWiFjUp
+ggsgrbxfBSILjjAGCt7RkMumLRx3k05NIvqqkSGeSuI6MfjPAb2JczpxgvLx1FDPqpEqJBAW7vj
yBP2Uy0+Qj5lm37M5twYZPW2u6x4ltTmZKYR2Lmf97qIPc8f2cZtNeRpWA8WJhTNzVrn0SGC3/5w
hujLPk8TqS+Va5pvVBN8Kq1hwlZ2IQ3svORSmYcxQrBS2RA4nVR71095QcY+n++nTej7zqB7uZiD
JHer1KKpbBvHoko70X6bWGwuF5rMHvpDmT3aNvd3Tb7xrqyJcp/W3TpVQHWbXec7rb/3co7RpOAT
Uo1gRcxFu3k5HeNomq621cuz63TACIqS6HO0yLov+e4wCjGqqf6M9M75ImkttoZWwhIVZr/Qr1/J
dsx9ZQ3jFYb5eMx1l/jbbWmZgRvMPu9HlloxljZe0uFHglywvURmMU5xnZ79TSRZ26O3FH13Reqc
Gp77qTb2aoiowKEvcUVDO1eYKMgrmnZpVyjTylKCrx8qvsq9Pe51kAUar2c0p8T9M4mn/cmlPn8a
0iUVVcNxUirkirTe1QT6kFCQzxf5uNjnV79Ufj3hXVQ5tPtLZOh+2WQTWnOgZHhsFHowKubG2hXL
3MAiUwS6bRVCEhkr9pWANNjq1X0iSrukpLHMM4yjxaYENG7rf2xdJvuvGQ1RVk4mccldkyFQrKUh
Scp9DKm9wB2n+00nBTnm49CJcpv9lylk8/c5mngo6jC0Lz6hMLOehNhUQTSZ6GEVzoTj5kj4uAeS
7ZDkwSj0lEyrksUMTX1frMsiHhDlyoey0YqlVzkMQUTJsEGcAI31w6VJJ3PB0vwRPnXp5yUg3r0U
ynZLwaIoVefNjdQWs3T2CjxJ2h5G1o3tGcG26VOWzczi229aF0bo+VH4lCFNgWF2cOnQ7YENNYF9
+JqEJ95x8zLTNI6LJnRKXcDfY/mpk3XDRMj6AzOhduXUJ40pxdgjdmBKJb2OE9UctyHzfWGowACZ
pnlF5LLyxc5Swgu2jflazoPYarRqtVOJPF/alSO0yxrhuC65mtM5PCOezyWHOec7hnK+RHE51QQm
mg08QOrDEu15f5lNuaAFghsyexWAdZBiDX7aryfhSF7ofI+bI099fUPpaug19WMMbwUkjeiPC/Oj
ulJ62Rys2HfjKtpF8sLl615Kn9xSAEzVazdyW7huEIecGJsUOZxM24NqVWYr0rB6LCXco0WRhqG7
JJHyvuiNnG61mrq9cvNi73bXenfLAoLsC4v5mhWOZYm4QqURfZZDtERnqnUzFLLnq3gxSwMSqshN
oqOS9Nant+sK4/tiX5Cy9iESuVk+5j6i83UYs9DdziET+iZxhtmysdNwkyMYI/oguvkw0a3/guyZ
xh+9rqU/RqNd9rvaROwhieh2NJ7Un8ZdLE9uy9TPPok30Lrz+KhZ2QN+HKJ2/LWJtSnkFBQkjaIT
VTu2plTY9vaTesx1c9S0Wm1B5+e47QuNegIY0Pw9E1ibdhxNPzdqhcm4/W45j5Fe33bFJqfS9OsD
3/LnPHflUGNPzkLSnYcQXW4H2Olh8k6v5jqqueJ6IZXzEqd2nRaLqX9RGBJh5kZJ6SHoLIDa7xWL
EmwNKjqaJs+nsvUZiwucVHBWSLL7MUM0EzpWitzv6Sm1xv/I926dCtK6LC9lLvl5VGxEnkBYPyQ2
dg9Ru2leDvvZzPAKFAO4ozTlB+u9H4okmP4KcE5dLuixKy1bN4y9JS2zRoqrYjX7EldBpAg7FHhp
+zzaZvyaoMX3TpuxwahK5JiaKjGRrx+gIbPJaWZ7PBRrZuPm0HY6b8s2dJ5XE3XpM5F5CvA9WjA+
scUkEWaXm8iTHKyT1ZrraLquu72By167m4O2UiVHKLHasWB7b6+6xMLqPd5Je8a4jXQZCZdMBdz5
spNp2n0p4VYxNyeh8+wDguYmLN8q6tYjb1qVXDLlyehKxf0Bqz4UesUcb5bdtvW13ISgZRgQbVRh
H6nvu2lMp2q0sXqs6Wy7IpaBLaVtsUYNDsFhxZymOtxEbZ7hkjbXZzN0fX+1ZtneHZdMR/YhErHu
Cp9HXxaiUQATXUHFA5ZQ5NPFYsl+rrGwsoMQY2ROqm0zgEYu6QssDz974ofhMHPe2irnNbnUq2nV
USD6ZrowIVZVlwpbssSj5ream8+93qa2GPv4+2JRrBQb6Z47MedXCg3lBaxo71o9IQdXsZaiJEEH
jq7aSAw4qu/XvmMPFBVysaLelFjgCIrKejdrOSjaXqxd0xcq1iFGrLg/bepm17o7ZNgCCmYIKzw+
AcJyxHVgh9WpL9uIHGI2tO61dfC4DvJkxgnQbTSmINPZglLMJS2sfaMVgvf7JXY9v5Su4XXp19G6
D8s+S1+mtkZS0zg1UXpg44S+1Rq9g9QVqMPrcCbxkE1lt/StLla6r/owinSZbphvnCuXpWf1yewa
ZsWrypvscslQUmM1H737tdGO50Wyd8gM9J3tQmVlEF01TTWNS0VQ/sLYfY3nz6KRka0mIqSrTI0E
UHyg1T4CgBtVucPV+nqGXaE/MS79z+AEjG9MImNVBo0xeJViib8B1LvLY8RxPjh2xvLtMZ/njmMG
0BBj8Vi2/m5qPPsy8pFiZm2RQZGdy2gqBbxhexDu1KjKWnjHHVkEe4MDNtSEnBEy2eUVE3FdP9Ro
qopveuw3WYGKtj71A4ko7kBPlxuBMqGvmhBkXo5dTj67LFo1QD2V6uEUOcR3FoPC0avMuerZDUqI
pCm1smjo8avVt54u4FebBO4QRbpDA3jieaO7q6kR5BGgv89KHEOHY0aJuG3XLV6qNh2VfdjJHB7w
uePvTEi4LRq4KahzvCMKoYB7rPA/dr8JeoGYcACAa7+ErWozZbMndC2n8ynF09dZOWckr7+7fkHk
6q5A/xb1OuSPXJi1hdtyk8YXEdJ2VblFSzwc6gG2t6/7l9uuYF7l5jKpBzpVnYNFXolza3yt6mH1
OMDZbrjqYaD1GRYsIi7M6GBqOY3LCsfSbFy/5XRYSQP1SgjDyXrkY55QrAzmws4abXf4rD5HcH3L
G6gunQNbzKaou0WMpl4/Gofmpat9ayJV0HXT/XldeU6rOUMYVCVXsouKoJhGYUbSKTmpQIUrZ08b
eIEvy7acyJ7CNTW0iFV+wjNn/AoR5f38Mg6DpygOkn36plGj5iWKk3q923izkXvmI9dcwH9Iimpo
4/6QJhn5YihZbhrGsKpQMjlehLhf0FjB0K1cdckk9yofjHOn0a4tq0TSDtE5byDju8dZirkSCZ5q
/iT6fRw/aNjI4dDghxWYSrPMhxhXvhnkjjNS3zes+9RS3rvrduBZ/iXqeGK+eNrH6S1ZlyBOGxHs
0TPORoyzbrw1fubqNCM4iFc4GRJdTggSGC5Wlw+0RFdFnL8wBtGiKRTZA/SEm4uuoyyVy2Uygk8p
927qRsyY0ezF1PIc0uAMWr7sEqM+x/2HM1B0q2IpozsETiEzuZURZhAedtukHfq08JwObIu3AE4G
rmoFSRcXo2pI5sdk6VIMOjSkr+Z5NK4NP3K4W8ofi5Zk/5l7jFz7i1JM1Pg1BLKbgbLkIpWl62js
ii0zK7uw02v2nFJ5uHLazm3VrdjzCj3XwGdqtahvSZ+mX1Ykg73C/WMdp+WQZZgBoJ9CfXA9dtoN
pQL+L5EuoF1Yr2QSJrPdEURnNluZ44DkxwprQTPgoToBr5UW535T0dbiAL40G4XfH8jN/AL+wVZX
TOnNlghYoHEBiU89YlVYYT/igRc9eY1udqDb6Hnss4oCu4SLfJpJqIwL4bst+UJoy7KqhddnVCZN
p+pbTwKrX7DMTkMVcoylQ+OmTJwF9yNiHHi+ziibmpnaB9cA5HoYTDZ2peXpUOOgXDskFHcMi1+G
dVRecEJqlUM5trD9Ax5rqq52xMB8pEOq2iPxzE+3kWWEVh4rTHtpzITzCesQBTsOrknuR6U9CifA
XfGL4ywhF1mMnsUT1FJ+L+cmGfxHu9nYF6jV++5yswG1ZmMJA3+201+QDIUYgoR6/RajO+GjcLVD
nwmK0RmWqY4NVWdcMl5lIaiXYdikHQtLYVqGIs5ojEKC7ER9CF2ctfiWAiECdrzpR2FOmITuSxPj
JFYw78SJprv41cYZEJc07lAkbmBh7AXTKus+LHgqY1voyQH+LralN12xt4HhSbid3yFWG910256s
RYzHWwW7JL6ifKJ3ab7Q4YqBB2SomLC9FXU38BnK0M5ReBpbbHqI1MzZgU4wa8U5lTL9YyX14C5g
WGoT5CY2JMfc6jDDxnEGYYMTDbpWVpyybmmO3Lw7jsAcUzLg20O5A+fpKrUvtrnaV8Ut1reuYQVU
2Og+V4BQljODM/yHzbm6LRCyFcS1TbYZAsfIMGULxNWmn3lnxU+2RvHyHBNr19smQ4vfAWgx3Gqp
4RJfYR04IsYge2vKFAn397jExK+9iMSCdYgQh1sOezoYFfdTq09xGnoksTthUlbCFIM8kRjgabHC
w+KjJhmARWTFSIAla2rEGfsN+hQTqLDOgOxNisQ0zXJAkvB2KIFhzAoaBCxzcJDxq0Q66xgn1SQN
BHKuryd5NZNhR8Q5ySQtNVaMh9BMeYbCPoihHIVVX1K4rZ0XI2da1rQXn6QTkGFPY948TvWUftYu
Qx1PYq2+oa9s/yiQP4EPGbChw103yQvfsPwu9VJ9zWLXkSoKejjjTbY7trHoAgurvtd1u1AUS2vo
SyeFPfJ6XeJz326QZicCQ6McNUcSSuuRC3XYUQbUB7h0jzX2OYcwriCxZF5GczDNx/pVUfx11CPK
HAqKJ/mFft+6+dhDt4+CkmCXAuQoRFoqCaz4RudLd203nJ5aF8EfSOF2TBfz3GrxALfdOJQZTnMB
59bIDa4CL89lNTscCSYMsIgADY66ueArgNByX5sebtYA+Aqu1gudmxvKs+1ToNqd6k7E29VSm2H+
YddYYrPol6W+jDbbo70yForlvmjRq3O3xox1Za6nfiqSDNjDHZu25sPCGhGX9TJm512skTzbYYWx
uNGyVp/6GrF8d1KohKJGJX4tnarr+zijCKTKretvuPUMySadNNuHdcriM5sCcC5JE1fi3AX7Ii6x
kS444um7IUnEd9J3nap0hsqkMFzlHxHgri/BsY/wx3J+RpXp1foEmHEAQRqhgxYHotYsV9GcpWB8
57B9jk0IZxnNOyu6XLY3ozf9rw6tidNQwisZq4Xcur2/6j3OjFd+FjlQgZ24tdz02gLSGroIrlMc
z+wo2s7bpoA/j5IfM16P4ipqI3XZjboL5ZzoNbqk0rkRdzNbXpBOqOsCbipNVpA92aZjAveqZyfW
1Zeo4+StooFeJzK/d66BKhVOemKtsGzuHyxTI73uwJ6/oEM/uxdwNnjeBI4al0NDOnmaSRfzY5yk
mzsiP2ZecKgO6oGj7/E+WWQzASfKtmf0Q2Zf6BCGS72w4SIe/GFrpvPAhx+BYUoUibXhSwywvgAq
gmoNMgCsnCa+qXEqvWWgcBAlZqE9uPAon54asq/nCXvnPZpzbHTu0xUof5fKcJ/kAOu8zbgCCJB3
l/V4/DHuoVg2YGVrEocqOy45PCvK9JXMaEhbf6Rd3XwhAoNLCTVAFJVwd0QoJfr9Zugix3LpNR5F
i3yjm63u6E1a79s3CZz6U8+lvQXetJBTPpCnHADoFuZfvPaPe9cRcCNLXV+2fNcjUGsOrGFqmjMe
TFSMFuktEOiEfqsWO4e+wO3nn2S0r75KUTzPpYs6BRESYOJfbAdWhNnAQKMgIjJ/yHHUvlW5E7cR
sFKLXWerLYCsSWOe2q27b+Ow+sM+skRfNGoDdeDjZHpGPExMsXMzBoKpj+5JHi1n6EMXZMbIACyW
79uL2IBkAfLd+IQtoRe/Blis/Uy4b/Gn6eR1KbHuSuijwC4BTG/oR1qDY0HvXnDPEx16WoSBwSWh
m+dFVibP2rmgNZcrisNtvXbrqtqSg2J6hLyGrYfVR0N9uzobvgLlHoeDTyfxgolFT2m63wyAEAE8
Ef2B7bPXRToydzulef0By3X2XfdIOf8TOce/YCTfeg7AMHqxI1fQ22eentEUu5WM5e8z2Infug50
MQARqgdIUTDEI49yq6PR87s45re+A7Ua1eRbMLUAYU6tx3JEaHhfBk38P4wHJFL8BMzoL/xKSmTZ
3pg6eZeEGmeUP7K0GUEHr2Gvn3uP0WqjaopgFPs+w8f4rfHAkliTmQ6dAt3OQiGgcyabfJ8s4a3z
gNljLFotnAeixT4iHe7WZDhIvu9pvlHA9fuQAqDoX5ttdARnXXGhgLn/icD0d2XgP2HG32aV7GpZ
WuUT9JL3wEdOro5DVkR5EyXHHnjL3QA8YitMDj1KKRqVfYrgx+MrwuErX0y9bhzgstd2cfR59PQQ
Rknf5wgfv3UumHyijEXu9QVwaSw340gv1O6id7XTxG+tCwgzWyNRsAGJl0ScVBrvlxREVfsnd/Zf
LB9vvQvQcNGCHYQqOIT0IZbXNG+/vGtAvPUt2LYWEF+zQziY2GKv07sope9b896aFoCJR8/SgFWp
ruX3MYAum8WfaVP/1Q15M7vdkHWSNbg2r+VnK/ayzd6XIhlnr2/534IglFUdb1dMkSYavvIepH/t
v77vZr/R1DDs5AzmFvDkGxBGwkPKoBh5ed+138xstkxNDvwBvgI9fdnBRucTWd+3aryNOQHPjp6u
6bXDOIu+I+dwqUjdJe/SUcZvPQtwhl57xtFjDAOntmoB1TxBbzC9bxt461vAkk3X1L4OQkfkNQEo
NrL9vRd/FW/+t6HSoF4IvTbQEzt7k25tSUf7LgckmBT88dKwO42lStH/lyzrE0DsMl2bz+8aKWn6
x0uLBcKCiKD3T84bu1O6SYqw1+59C8pb5wJoSNJ8bxoYRURGXIQpOmdt8z4TsfitdQEPMbixeIT3
HAMLkIUa+wUQnPfdlzez09erzHY40EE9mj/5iV3ngILfee03s7NfES4BmgV7+kxPXeYuuoG8b+95
a13g032SmcDHBmtwAIX/Ndfm2/vuyBul2wwH2JS/ekNmzO1lYHo7KWv36l1Xf+tbIDaosGrwx8AH
covM+7kiyFX5kx3zdZ78k1LkrXMBB2II12m0c3XB4ZRSM4ks4DleoVFjI0Q0AFBbPZ76lKz/SIH7
tx/rv9cv5u4/r27//h/4+YcZgU4hXuzNj39/ND3++4/Xv/l/r/njX/z9+GJuvvUv9u2L/vA3uO4/
3rf6tnz7ww/IuobQ+969zNvDi0WQ5+/Xxyd8feX/7y//8vL7VR638eVvv337CTFTpewyqx/Lb//4
1fnn337LKFItX9vt/u2/v8c/XvD6Jf7221WzfX+Z/3L3TTeLG3QTMMT+89p/uMDLN7vgeslfCUtY
AhWGYHGcvRaK4eX338R/xawmSZbjTA2TM+zrA9oVmr/9xtK/5nHKIUTNQXIl8av9hzVAGPAr8le8
NuZQE7KYw8JI/PZ/P+cfntZ/Pb2/DK6/Mzh227/9lv9eC/7XmEmhvkgprPEzgkCvFJ/wzULQZkQz
D3jpIKM2fDKp5h/7ELUelPBSN+iCr2dfwfG9npEsT/h8fI1ZfRgnyz70WrNbpdcRIYOOc3HU0rYV
4peprRyJ9IHtRN0wqca23OoefB23ID1itEqCnm90XszDYm5qeBsdJPA4DsR5Dw8zmK0B8r0aKR6m
C7spZgal+7Fpfdpe2MHOv/RaJ2vVWze+CoCi6BryUbB5g4XJQ7nFswIJpLL8BVVw/gIAmPoiGmi6
FoCxvovFKpDrc9CfMg6wrFy7HNqVdNnUgyEJfxQKclDQeMpfZo7shyT3uD257ZsKfvrickwQI4xW
Hd6+ZHNDKRw2fQN0Ik/HuuykI9cZwpHrAnIkSE4shCdF07H8Ba1dCsR6niYvOYxMPmmo8yoHuwEI
XFMQk1ncD03lVbSaotGRdxVPkhiCDYDbp2HIh89DK7aKtzPHuX7SjzMia29W2rwK10YJNyEQ8U3R
q1Ff56Gr71i66WszOa3KxNjlEomfnJesacJZqS67AS7Bjw3PlSsGCplcORipomLvo/DUZLa+GQIM
zwYPed02rbsoYJg/0MLobqrLMRp2emHjHpnBAdT2dYwmcg4mwIdPHQzwP1Au3MUK4zfIDecVvQPw
3DUgQfbIXSQakjZhOGQUy2yqXvjGVhCl100F4p3fBt6v0PKofbgHcp7+mmEGfNwQTUiK2bIUoOzO
2BehWwBkCpxRZUZoiKJ+ttDPgbiGiX1EQT51xoMSbUgPerRvm2PGvbyAexkGIEASulaSOPEMwiC7
T6yH9d2y2+ssCrO8gsRXmcJNgfIC8DxuXI/mDVkpt4jStbyFNITk5Kdp1uHbvrtsuYiVxUNr8rg/
qR3fCfLllRZzs7IPcEsKExQ7/TLeDHYbP+wcrwJq1H0gZuPHbZ/6EWLFtD/h1qw/ZVCAj3gDyULE
Bf0gB5afp2lYvs3gT2Gim4eqraP6LLt+8dXII3pLNrWXGQSGx5y1oZANkMUpxgZwGBXfd3DsOP/i
W7D2sk+1usdBC2I0hGCLglNw48D2RQve/3VWucmA00unmI8wpQWfZuawLwXlOFoWGtNyLOI2Q6YE
8bB+g7sHBVjfNqP2JVmSHQi8U7CIimCzBseeuMyS/ClH2BdQ2Y3xr2ne9de5g/FL7DsI6ULEr90O
Z92oZ23hk/zrgiztUjdxfAfnqf609qb+Oo7A/oc9NtcuY9DKyAGrczH3Un3aWkXKZo5MKFizQIeD
NMH+TnUkuoxAbt1tidlvorz1B8zz8F1AtfSdBOueJmogXGm7ZqmLHFxxNcJ86iPLkwXKHygx0kj6
8SLFzugLTJzVVET55Yr2s4zKuRWUlQMsNpNitQv5rNMlv2VjDZWL2eRyhKQZ0hmu23O3bPU3XrP1
yWRwt4W4hyR3m6uhyAlqurZuXR5MmnannRj+g9ZJcu7X9QcNvbxu6ho6K/aKcMLklF/O9ZCBZXSh
mSuwLiQu1m0y5xbM2+2Ms/lVIL6GInHLK0sZe1hMPOuCJ830wNa+e2r61p2szoDm9GafE0CfGtnX
usdoHalavnHPoZv34hbsfaBgQzmF/AVakg+s47Ep10WB2qWrnJ+Hbl5fWE0zepgtaPJyTHAnMDaz
vS9bOourzg41xJm+9wQMtWu3A8uCh86XI0K6Jw25sWHh3UH1+wzFSCrVwS/zLM+ijZCINLlmVpei
gWNspb1lxcizkMO2KtVt0c4snQqh5HzPSQuqV9Y0XDM45hwl+i4AAEP1shQggUNd4IybzwCRh/5b
lKP4ioCVPtlOi0Nq7AozBsjEdBtf7Wm6rUXUQidXyS2APQmzWB43NXcY9eNmo1LuDvNA/B/2zqw5
biTZ0r8IbYEdeM1M5EIyKYmbRL3AqA37vgXw6+8HqXqKBHMyrXrG7sPM7YfqtqpWeQYiwsOXc44H
zfgtMvX6Y1gH6S8AEsq2FtH4qDLJbpe0sXxKO6OOVoEdKl8H4PhfdUWbXdbQhM+BqaNLpNuuABs4
ghwLTBtJG6d7BgKuAgvqorrDu5U2gH5f0W+UsAo/qIEW/Bx71ajp147ysctlMq6VNHW+xpWj44vH
PG5WRmGHOyeYbE8mcXAbj2DA1nCt5VGNguojANTme+9o7QMkAXMdTXb5tXGHYm2OPUCTumrs70wb
sW8nXRlebMccN2lgfM3DxM5WIJ3DLxJ2x42T2dFuMtvyMU0CYz+GGjVIklAIs42af3JErG1gbOg/
DJBqKypmubqmJWbv9Sx17kY/qj9U7UAJ1wGW/N0JNHcTll3zpQ07p1r1WWNc204bo4xv6jfQD9Mr
3dKLu5HHDxTkSI8nhda6AxgMuqAoS66JkEHB91DNqlwxpljyBEETPhZBITaU5Nsbyubyxoiiut4Q
XOR3LVCw+0Do9gGFuPKKdgKdip4Z59sy7d2PdeQC1GJuXro1eoe4wEcK55DW4nswiE99NzP6Gzvc
Js6YrlGaaj3NgDhqK7TbCppY+5Yx5sm6x71v4kqv0hX9mXA1Tag5rJkyfQeliVCh1l5SxIW9cKDx
rlrjVuVi3DiVm187edfEcG5SQpswGw3mvqj5ttBE9VHpAa9FblDTtkRtHjiCswbk8b2ZFYRXDoOv
1tYUdrvYYsz3ygI5ezQm4CjcruYehF65KgErh6skd3wICvh9JUkhxbRR9Rceje5NcKv6lXtNd6dq
UENMnE/ULtX9JFLzQYSNla9CG+b0OunS8jYWk/JFKGXhQ3Bw6itgEfmvyC6+2HY5vgSFb1z7ifCf
1azUv6GWMT1MpQVISTYqTb88ePSjJF/rWV9fD7Errv9A3Yqp/6Q6A2CEKSTEoqO5agKz3Qjg6CsA
rnm8/oODc1FC27ONuMuEzLkMp2YfwFtMIWQUkv7coO4VTTOfgVmX6Qp0oHZTD5ATIG/QuTONRP+V
dWH6zQhi566jnIu/kMYuLQ2QU2aUxh8sOoFEg2r5CXmOOCce8au9YH7tt0mLA3qDQ3sdVTZDlJmo
nNw2beU/RNokmm3RDpuM15gp8ea+hgLiGsO0cv00MYF9ThnqauNVxJu2MzP+TbbfTSuD8oVX+Eq6
RQhIpU1fA9Qt42+N7n/W9XrctWopHmwnHo6g/4GsLLF7ZefLjxYvgRmqGzoa/rpOix2S0+rO0SNt
JfT8VqEb+BhaEohGiSMYTRRYYPlEj/Sy23UtR2UvJ85XMqjtbiqaYd90wP4VP805usweBVEZ+TYq
aECQfWX4kYRRtO3s2N7qeZvs43qsd35Xjf5aG3PzGXD+99YsdPYZ74mnTZOvYEWKe8uHng5GuV4l
oXbj08f4zNh164Wv4H7hCadF2avWajCU5C5MK91z8im6ThW33NsTQNdUTbthy+QYd6u6DQ2WGaid
Zp+hglSfh17+ItK7tl078+IqnzZSpSM9BEr9HaAlwJs+O/RGahKYRM+2M9r3baWau84trVVCvLml
ULoOfdP8xHPxvQ1sf23ltrKeOvmJL5Ff5SIn/jCJ5w5d5X8A/8Q1cSlBrYkkJFuOY54CWW7DonRf
XDUy12GfTAzfFcawHQY3/wCBhrhLptN4i3vbBl3du8dUie3577krAPbpvUz73BsmneFyY/kQ2EoC
qiaMjo4fyhtAOcle6Y3+KyNt1fXgCh6+lNlIM5XDChEvd8QxDBlosqpEX/K4uy1IUHdqml2n+dYe
0MRIA9LPD3o7DB2wQOHuDFKyvZ0r7lVja3LdxjT5VpPiTB0HLuKN7wuHkwI0rwFzZmg3cSvwY0E+
HOzR/JVGbfLIAMX+bvIt5aOjmwCIHEFwUAJ8sMEAxeQYk2nYt5wxuQPG47yMqmndxo3fHW1mCn8w
VaXZ9Sr959qKwyslRxYnrwqAZ0Oqg0U1P3f0ZHZlWLW7RshbNQO/Esr+66SC/bFM52lScmVjqZW5
s1r1tutaaz/Wc5AfAPF56YeWP2jZfC8tn+JNBM7nBuBQc9TLuP4mGsflGRNlsC1SYvC1DZtonwfJ
aG8BZ4t0ZTmDfouUaUV4lEWe1SjKDqgSly0bx2MTADFpp7w7aEVdr5ssdaGCAntaa4DexUppi/zb
1KnjbTiRnjpJm+2Z0Dw8Zzw6IMR9WRwK+ATgQoTvCcN1aS41wc82ngDWVQlpG7Nu94h5WHuGy4VX
cIHaQ+bAtKsAdK+zxAZ4ozbRvdEl8U+ZiGtQ4/bKNYcgWSW9ER/TUGQ/1Wbs7zot65qb3u6KB9HX
w0+Q3gCIlNaxjhVFQ7HW2rj7DqAuJWdkYHK5kZauwDdBN6+1CvEAudncUXKNiW6nYQN2hiZYXFsb
0fAXYIMvkes2m0AAfG2F+6z5Ad5AMe+HEPAD2c22SXLpTUgxfI9zMkSlMz+7g/us9sm3qY3iQxVb
xZcwV621pTTpo+Y6KkMQkm+82ZTu3WYCyRHo6oYvY4PmCLJ93EzxoZ/y9qGFpLSBEwWixBT1T45c
n4J09pOHMQa/SI8O0c9EdmAJquZHTQK3Id1Qr8BmN7sitz6Db+SiRA5iW726U+zKGECytDlrDIuN
kPb0TTL9cVM64V3SdeNHsw+/Wjn4J6cAD+y4PtiNuObPdwrQ7jx2R29ofv8NgP/1VrOV59hxnutS
U38YWUM+m6AFtRaF1u7TYNJVTwdav87HQuyJ5XJAAWk13LqwZHboRQGQ65kcjNeulE1ems6DrFyk
jHu1ezCLCYdUml3zXSi12AMVftS6tlk30hw+2jxEu4gQ6HaIImVTq4Pc5NnY3EoUKK9l1A2HLub8
dlUZ7KVT+gfNKrjBvlspIVcxCb7YU83Q2JgoOanV/hEsjp2vo36SK4gTxgbSpDw0TVFnG7MqADqR
M/NLTRHvpE1Aq5mavbPqNI5X+SSdu1RLSgYMJv0W5BPYf+cljuJwFZaW3AM0MneJ4tfqFtSQllMq
sf1pG/tl/gPpiOnPB7JJNo+FLOMNlBt1mw5xD84p1nBQ5CrPsT6Em7x10mbNvNEu3jRgAx3w2GmR
3TuiVK9A/yUQPXE9LhHvepqsHJQpF1TXG/PeitKMKoz85ZPQrps0Mg8+Q+c3WhBmtILZsWj0px0R
afzoGCUMHA2ObrTuBos77A6xw0s0TYC88wYf0TVN0F0FBeN3oGzUqryOa44SSWUK+Qxon/XNLIGx
hWiwkwypTmDvSaokWYo+8VdYCvd1ZITtCt3WeDhoEjrjJjcTmWzSfOjcjaHbvb4h2zOIGfrW+KbQ
8tL/FP//Py4Mq0JDEXAWNP7fV4ZXL2n3PaSq/JK/Lgn//Uf/qgmLf2lADhmDpuuaALhL6fdPTdgS
/3IcQwMdYruM1dFmdal/F4W1fwlbd2yXsB0YvD73EP4qCmsGf4pyMcViVajCRuLyHxSFzd+s/jdF
YUHlSdccTYP/5L6bTCRo3viNBVTlD3iOOG9Ox0yYYS+wg/z26KeD4dzHY+u0O6lpAXNFRq3VtyiE
4tYdHGr0EDdu764TawjUTeyqmX5MC4OqpWah9t2uA0MJqgPaeQwRBCaRkZzzoAlzOkIrhNnHKq3k
EAYAyObHvnKIohx1tKgY5un0Oapa0N+9ppjxdd0A29lM4IUBM1IqBOSbl1pwI+tgcqhXmrrmfygA
cfcbwklzeMlMCH4bSHhTdEOFPMULjZGb1WgP9N2DpcB6oTBFuhfM1MKk768axbR9GBW9A003NMYP
DfQeCpeKBZiU4oYm4S45dX9dCCa2f4g73WkeI11jUS5l8Ho3hH4jb3wRU5A00CNVt+DJiZkU6i27
UZmC9DrOaLA+uDpDq0fXCZNdSeWs/eCGZpd4fpyomddNPoLDTOmrPopmrHSIF+mob6hyVD90dfJv
0jJ3hmMt0rheqTJzPuSWNoDGnCz8TmmOerI2dOCdq0IgFntdA6u7bcGWFfYKlPtjPQ6En6o55ek2
sAwIV2qeqelKOip/P0TfwV4LK7NMgt4OFGjhDsPPMAqa/goeaqx4cSCjZCcQGms/+E6nhFdRMJJ9
GGGHtk5XJsNGdnqRHcuilfYhlKXh76uSND1qQ1eDO+WLZj/MgH2Pl3sKv8IX5URVfZ7t1EZJVLiY
Y6Cs2qYq4n2q8iztYRdomwlaqwSnV2nVY972qT+TLsSG6QOJdmRebdr8GCcd+pzaGe3XbuqTfPOe
UNKQao0rs9UEJICZUQIRMdyFgTsqvAuZFt393+eSxFbNDO1AyIyK/XRs6VJX0PCG0GtHwmUvxfFr
vOpAEcMriLcJ8M6CTgiTzz4bUbnJ+DbdyrQBJCGhMUHIr8n3y20JBXJawYBAZAOwuRnuhkBLvlJv
KTXw2pBT3DCIv8vCMK9fEVT4Naha1CPYpvUgZPrTam0k0P6wVChbqqS/PcDD6xhNAPkTnlgMUcJq
P+tZc7DS9ic4872VV0DADe3OLsRnC82cequHdf/5D5sF1pX1FI/OkUkf5hOkP7i6WlnUa9EONnX/
oncoyDvQioGF5RuNeClbAczQNOJYJaaLUkzpDaHd4PlI2QNKriDD3hQ11y002uTXX7yXUgr4yHqV
IO2xcmN9BvhPqbqNXVb4hwcDD8W2V4XR+89RFsaflcwKBOUbM94kcK5oJwSi664IxIIjnZvruFcz
E16XLZutId2UhFeyL8ewDwuiMnVQm4M+VEO4E6XdOT9qUMK6+QvKdVYT0L7mzZR8Pki11CP+zZvp
VNRCvF6IsiF4ekuZgcruhtshCloHzusryoyTwfM+mCUXrbo9x5jpm5K0PIj0xH0YKSbA8uNztZkN
0pYgak9pKKaWY2pPkYuXciLyKhJntAKr727Wf1RJQeBHF7Ds4um7JUmNZZX/zEtUEZDixUFYqkGh
oWlWxeBKl3qUbx20oBaAjolsolw5gka3uF92DccYqHC60ww3PhrOUD6Al668AAh+Kyt8ZGF+sulC
3JeVnV6BlrlSIIF5GgSTvpbOJ01DiMwqxxZFapL8uOw3rq4EcmU1WvQlh1bxcRiZQbAOQO+49yl5
odyHpexLNFeAdqtKJ2EFKy41funa6s5WR3tVUSH9XFa5uhmhdOCo+2HvaJV5kE0+wceAmKjyJNjq
T6q715mmi3tjgtDzgTqYCK5Gi8YLzRikU4gfccxlmtpfuMqo3rTFR812PzY2fvruPyQQ2Ukx+VvO
CBErZEMEbd4QiIwBUgp8BXQhNn5RR/rNP6MRtcB2qXJViZqeoBEleiPz+7qubebl/gMakRG6IQVP
v4YoHUbQDK61SBufO7pbQKabczQimlL+rRboNl2ACzQi4NjtwFjv3i9u3tKIUorPdGBjSXfDNBVw
3f9DI/rvphHpjdN9iNRksDf/QyMK/x+iETnIpV733eCnV/+QRuT77rCFhx981IyGF/a/mVAUdlp8
E04ZhdF/SCh6lR/+hch5g8B5g9kin9M1XlTd+P0f3TIX8m2D6uSwBIvSGzMV4b9+1fEylsy0aMYv
Y7Ud6y92fkmDeoZq/p3e/dum5TjCYBwfwk1vQZEapQzVz7CZaFO9S6fIXzPtjqKOOn1y2nGdaDbC
aPWlIQkzTnlpFqM6byTZKjybt2ZTiFxdosrSs/PkpqR674ubzJefzn/Qk1ZcIFLgmTSYZIsPGtqt
UIpmKj3fbqq14dP7QYJqlgwPduct/f7B7xb0ytQC6Ehb2woLyYKYKQc5qJMb+LYfXFqJFaqfm8kP
Npk6mBsfyVL2tENRxn+KLPN7CVPvwm95Cw7/s6e2ME1TpW9uU1h4+3Eb26+KpCxLLzNmjmzqMxgh
ErS725ZGy1DUzlYdDG2LMpW+ElXg0qcIfnQhvzMc6KlErl6jE1Pq0jv/y96CEv/6YUxTQsOV0gVI
src/rCvqtGto4KA2Fr5krXUP07/atG7xGIXGlZIq/2z0zG+DjqA/S51Qo4ayVJMdmaisagkGbY6y
hGmXIA4DEfwCrn1GDi82HzOG7ThwqQUYurfrmvpBjWTVlN6EiF5ail0oYezad2XdHM5/QXWGnp4z
tfiEhRs3Br3s0utL9DLqajfMtA7S78Ga8TTKWtOLdTYZaxjkf8p4b+Cdr93Te9sGJEoLVj9FEqFR
dnq7TCMFKsxUFunl6k9RZDtRpfs5StSCJ6X5NVbhVmRsJ2nohUXP/+I3i54N2xYIaspklKjme/4K
b547SNQEPbgMoIurXJHMPlFWI0gomW6KaFflWwfRgMR8KsudCL9l7QU/QjXtvX0Qm5TULF0Dp/nW
PppwgzqBJGPmb3CQYISwY2TH0c3vlKYH4DAiiHUJMv3uUM2LfmV04VGQ7490tS/42lxdkOXbVrMO
g+Q1yOWFD3zJ1GJjVRjCpZuQk1a0mq5DDWBBHdG/RStiogFUXPKW7x6deWmurhsuDDLbNhb7yTDP
up0QR/JIlG9ERAXftTbsIu7JY04HlMtfF07QO8+DRUcIDQCUjsDI8iUIEhPof5RJz1LUKywVIt9L
v/fsqH5KW3VtJPQcq60Vxx/5L1F/4DChBDL/KMUvrifAQud/0akj9foHLXZXUmVr7IAfFBUA4Yzh
6Mx1ePNJK76inpCWxdowL/CRLplc7LKRS6ttGDTraQ5CWCg65tq3HvmXQpHI+pGW6RQ72u35darv
3uDFl1/4RrU3DGtAFMrrwJ25QjmUFsNjmivGF6MF1zI8G/RSfHSbX+Uk1xbvgaTiqowvUfh8/qf8
npOydCOOILCyBTBqqLBvr3FM79MPa3qJKMbPAjXXCfRykwIh1czh+6AeXD197sU2N7/Mh9IGHdNx
3wwwNYVb7jJQmwk5fQNhfD4URR3/XkE1mLedDkosNK8c2jjYWbfFD6WmPJzWF9gO6uxrzixiObMt
9c2pqtEc9HrAmyvN/WRmAUpf0Q21hNuWgp/FUebsSJqr81268A3n7TpnfuEKA8dFdaDEFdZT/2hb
kzfp7KUjD4Xheprqb9XxyR7KTcBXbdvjEFOX7NCewGGaNzZN4FnrJkZmrJfVroZaq9KdMoqvoOU3
jX1hx0/5mVcbvpzLh8hL5iQVLhRhLHx34bGzSpbtAu3esr4jEnEhvlHnW/v+69joOoOuh8axeJ1D
rQqHSnDYp+aYVmgWo5nUFLcut4s14llC/StqC6t6EltbyS+ZP705f5ufv8erd1IiMFDHdszmhOlV
63+zm12OnuV81eZLxeUuJn3dIsoyjk8yQjKk/WQPFxhnpz+CqlMBdTXc/DL8TKsprJFtkp6SqZ9p
66PDaG9KvFzhfMSztlwVflidbxuGmmyS4cf5I3r6hqi2ASdKzO/14oj6jmFWreR1yYVFDybfY0o1
aQijSlNa93p9DDN1naTOCtWezQXjJ48cPTuyDdsEJL3wMTX83TJSOXKKrWyr+NZgbHCEm0Hz+LlR
x31tvRCxmGO0BglloGuTe/y8srNvok5cAXdADTgt1pff+JNn4+8ftlTvtkULQtnnwWlD4XoB80c3
o5JHHy+s/1QoAbvBoGHoug5o0LdHMIVwAZzqr4c20L+B8ltZtX07xkcuQqdnR304DgOwm62eqB5O
gQ7hLQ/fWA/787/lxIpdfgpDhJEkmf/H259C3yulBO9LrwSEVVXFje9HF27cexOkzAi8kGo5rmos
E5qwTQttSCSBEyh2ZFPdX0VRXljG+9SSHjDTilV7jl1UVCvfriOksZmLquNW51tb/OrtAZLIV0IG
uzM2+JRBmCvL/x0wUGpfg9k9/x3fH2mifYFINbQgSgTL2ClMwOnJLhhJJ2HIULN/gFfwwpTGx3IM
tvFYvVDTuDSqZl7UW086G6VC4BD0C2P5ViOG1wflEI2eaIBemc7txDjYVas7/4hnSobIx9V0d05r
TAKD5SHRlFI3RIfwZ1W1qzExDsKK785/vxN5EzYsWzNJmmjILtOXJnZ0WrOkL4Zd3NZjudLap6y4
Ap2xwh+yg2hAv1yMvE5u2yur80199RgEJVAT35qtmtmHMjG27NZV1sY3cx4xdrAfguT+/Epn5/Zu
02xhORaBNtiDhcmWdjDQIzzvnKf1hE6x6mzpVq785Nef7AwffN7kyVXiZwBjuIIcf3E5tFhLcUKs
kkmzG+gwHhojH3AugYy3QHx+EMCfN/g+k2AzXTAR2kzY05a3oY2kiuD//Lr08ccoatfz0zL7tPoL
uPcL0d7JW/DK2GJ1TaO2Be1UVifGfZBnnj2Za/R9dufXdMqMjo8BNeKYlr502j13zDLGUXpFNH5P
y+m5oFVl982P82ZOecvXZhbHA26aWTNhUHoiK54LVFrJ1c9bmP8NywOoU/AydQqarGURf/k2gpW9
pkuPoQY/mMp86zrVAUVFhLEYv3De1snVQNV0sGMAj1nsDaMGuhiJYx7UaEJUy7LrVZNVn84bOXW8
wQWBDbJNNshdLKi086ytrEGitzWuSU2GsbwOpk9aUe2qOXiOLtg7+QGBE2FJI4B699bQ9lWNmLcm
Tqwr2KiPJe83Yz8ekSy6cLZPxGngnRxh6XOdDqTTIlRKfOkoAKpHzzLEek7FJOmg7oRgTnKYEeAc
ZQ6HbVuXu4vO8eTmuRBw8cqINC3DtBiwPwI8yejJgYZgLFsVidVsuuArToTCLPFvM8ugq9IZxuK0
yKXZfg1mOp8zXVKheSPrL6ZZQX5E9np8MsdbnoHzR+fUVgIWZ20ayZOxnL4ZxtkI6S4ePcTNPwtf
PNQMsCzd8Qo13sN5U6d8ogEV2YKpDFBteWoyBrMgrjWMXkLdoiohYzHq4XZ+Y4xq2rtFsjlv7+TS
Xtlb3IrB0QctnO3ZjKDviu62rvytY2QfRiW6IEZ0ydR8QV+/on5eAtTuRi9E2WctQvWqC4uvmoDP
BxHl/2hZS7mRPoBj3pf96JWNc0x4Kt2i22d1AWeheTpv6pRfMdBdMRx45TzVC+cVM2nCMst6RJ0y
Waehv47A03AyeaUdpouogNbPGzz5HV8ZnP/5q+/oAw9ufAuDluV0f0okg76GXgMqKb6kM3PyPBrA
Kg1X1Vz0DN8aAzfNcD113jSgwrk6HGEkdLDYmSqO8jKqncmFtOfk58RrAgNzQIYu21mA4eB9Gc3o
MUkBEkvmAAcmq0vgEcGc32ht71nqeKGed/KTOkLDhWqmai7zXEYFREitEpej5f7BHRuUdWS1r53q
G8rgF7bvlL80HHpJNG1I7ZYPq7BHocQIzpFLUdiZizthSGXh/Bk5uW1U9+kIGhZ6fYszkoc8gVPB
giRd0FWaNF9Jp921BfpobWhhQsFA1S98xJMLe2Vz4UogccTExdgUmQ5+a8of0ez+T9zjKxsLH6I2
KL1NdsjpUH86udiQxyF3vJlMLoJUH89/xFMxOHX1f3/E5SzqpoWsCl199Jx2S3th66AaQMVhlumt
DAQ5QfdfLPmc2jiSbNtyDLp7xtL/67UIDTvidIS9uRdlubHb5vZ3IR98WhhOF4qQp5ZogvAThk5a
/06nAlSXE7kV5sijAv2rVvR7E0lwagksdJrbCZZ74cU5mcO9tjmfo1f+qwlTetaOKz1GM6xM3VpT
yVODpyxmUKu4IY0b8081MxDOb+bJDwvsjfgSTDciH2+tBgh22+VU4MjK4cEMnD1gNkqJCQSKPkHf
wHbbC9/2ZMhiagRktPkQrV36ThirudDJHT0902lVk6SKXdVbnBpjbmqjobwKwlSiQjy1d4z2cJ/n
d2tdUmm5U0OYHv/JF/j75yy+u9SYoxWORDH0jleMv/jYTJTOkCbuVBS6U3EhgTjlDoAjUObQAGPQ
8Hv7wTveiKBMCdjSsPnpRibTdSbgiufXdMpxk6NopkUOSV1lPt+vzpJlwg4JlGr0Ao1p8XUp1o6v
3XdDgNSQccG/XbD1+1y/sgV6GzH2Hluo/q2NFBIKgtkEg6kSXtipU2/gq1X9DvdfWUJjg2aSwJJA
7qHshQeA9xtaBCuFOodFL0WNoku38qRNIk/ScJP/WjYSbeYJqkaYs7o4/Fq59ZfRSpF5TkCdWsZG
GeIrEOM3jKDy5jwmMxOv0odvbZjfzBGc6kb3OW0L/v/XU5Dvz+/yyaP06rctXrPA6npSR9IbQMMf
AjxSmldfzpuYr/8y3UUj0vxdiEABSH97kBAORRUI4QGapup3p3du0GS7Nnrr5byZ0yv528zSC7Uo
GkUZO5u78nbsLebmTdndeRsnz+mrpSy+1qTToKBuP3qgAzddKD5RuvI6maEAkl4CH518P17ZWtw/
hlH0TmoTi06DPmz7qOz2utHg62TdHJlBhnS2Pg8HKXr4D2llXji1J536rLSEopOtUTx+u2uo+bd9
mMwa2kaLXGGYH4kar5oMFRM9z0mBVeZLnf+6Jw4K76ULkciiHwZ16K1JrR5T5mjNCRMdzkHrNlFt
PtQ8JefNnLiOgG10FTauiVbV0ntaKJXUac6HNaRzDZvtStjFc5wQwqnFVdfKK8TmL1UR3gFiuGI0
m+g1WEIln18EcMiH58gGTLidONW/RT34NajW8+SJxD+24ERSqWSIplsWsizNpbj49Ir/tj7/81dO
L5xa1a1NgZR2fDf3feEiMNRhR6f5ChDDVP/zajXz6HWDU2PP33hxdJoq6DRz0EaPF/zoqNqeovYF
EyePyisTixX1Silg+WDCqORTZMj7Juwf/EjbnT8qJ3wKK4ER5ZqEN5Q43344tcojFOtH7mCbelXA
nKzCjC89SSeNUHVHLwxtm3e1Wls0EulbzgZKdndzNUkp3C//wTqgiOnQGUAZLotYEXoSVoeWvidG
f1O53VVuahdGkp9wjTNKUpDL4ix+69G9PmN+qyUwcdkREabrRHQ32QwIYgiSot6fX8zJvXcdbpMK
RoJD8HZTkNjxuzpSOM1SOTbZZyO37p1LI+lPhdKq+srK4hCPUyyFOzGLytL745g+ETzX2Wf+SsWj
yjUPi0T151d2qtj4xujCTSDYU0bCYGmZXsKrCzfIex3UdrqORbCfUR4KsiW21Q9rZCUCBnjYn8//
glPflkCF2ys4jCRob7+tbzmpbJiO7dkd+MecSY+mvy6Yi33ezKnDojF5BwaojZVlbKnUhasjJkEO
DS9Yzpr4VXbTWSjq+/n6vKlTt2uOkkkTuMQ44bcr0ofIRbhMp1yFiHk5tDM/yvp13sYp/6rBugIU
TXYpxCIeb2oGZtRTNXm6hGlFthMiBTZzpQNmAPiWuuuHC47pkkXt7aoYnqog8oDFIoV0BozV2iS+
knzK7aa96crqBRnWaeP7zKA4v9RTO6cTyqEzODcwlp3IKTYa39aDyTPH7IeVyHBvjHnwDEGm9hSI
OBd275K5xV2vGWLThEyKJXQuJaJnozx0nRltVbh1+4AZOd755Z06/ygy0csAlaG9m2hvMIC3Gbti
4mCG2942dsw129NsvrCs+R4vQmKY2f82AwP67fYVqXDQOSknDzmwT4FsbkSbXNfEIoxFBW5gJO6F
mOfULdBtmp5Ami1i5EUwGQ/22CCRxrY51TVDgT6rpXPhSJ7cqlnnEzQ37QR9XvOrIKMdjRHdj/lO
I3E0p/wxzOMWyq5FlHN+l05+Ph4A0AYGUcbSS9nSUqoQvRuvB8nsWPFO1Pm1jI/MZ7qMDTy9Lpuv
B7AAqeeFA0FGuiYsBZhUD4h85NE3pVZuw2BWKuz/A7cIX/5/mVp437brCjVAE9FDbf9JuDTCKdxY
ruJVDaPPzn/DS8tabJePUDianywrjtrOC7llK4NeIfJ8U3hwuuHCiT95sQDScuxniPsy6FbyRmVE
DkvT21wckXDUDm6sHEhuLyGSL1lauEYr7bUo6nEZYHfDdSFGBtwq7WbSwktB/XxLl7eYb8RzaSGY
S2j19sTrDDQb4wEnnMXDWpW3ZIYeHbOc8ZYNo/7on1UZZU2nXl8MsU/5/1eml/jKRNRQRZmExsmI
V1KZ9qb1NMMqY1pbeZpvq/LC7T6BkJ2jAqqZhJHo/y5r64XfRJ0z5tPvZf1uDtKIAUY5pT9jpmzl
wJN5B+a6JrA5lepqoqABcAki/f7m00VAABhJCbAU3JS3nzzg/UkSwXiIxFR2PdOepSM+jSFli+65
0y4kGe8/8ltj8z9/5dFSQFW5xih5D6RGnD9PrVzpNH1zv98X8ZeEYTjnr+QslbE4UBicFTvoOBOw
LC8JOr+abKZa8/xkWksNDXh9lvndEj6U5YHR9d6Ifi64NJE+ARI1ihhxVAmfOL2K3fColtxh8yZh
Oy78sPfp69sftrhTnMRMyUx+WAkgG/d/JaWCcuWHGF0Ga26imnKbIA5WTb/OW37vpWyNfaYIwZsC
JH5xxWyt7iqnpSUWhrHuCdEyiBKdiVEJ7Gsj64jmztt7/05ij2cFYRKDW/0bnP1qy4H2G0nsonpu
mDk0a1j5sPAn68Jlen+wsAKKy3RnS+RMbw9W34eVGaSIwocRQ/AstC7WRlV5CBwwaKVP7pADkghS
XzrPJ3Ia7DoWKA9CDtLZRTTllFKxJDxxD8nNTU1+ZhifZbVNw2TTjMcif46UR+nfnf+k7/3xW6Pz
Fr/6pHkRVSpaAyy2zB8ketxNLY8lahX/iRnXnQtHpJ9LxNPEbELCwRi9er2FdmPr7Q2zCIfDpAbB
Bcd/6pBAeYH3AlfD4kF7uyLNbIzKsQrTyybtIU6rG+7H4fxqTm6VQwmFohGC0+8cXUqFKp20xvQq
jfHVhnKQYPuNXGw7I9k7k/bCqDXPNOsDw7Z+nrc9//y3zxrNUx2rLpmR/q7rnqBOiO4Ed8BXEVpt
yXblWnUSpqQfu7DkeTnoiriwe7+P3jujhkF/eGbdvXN9xTDVTVZ2pqcCHM3K9KH3P2nGtInltja/
YFqOAdkw8npPM9/UscK1cqnjcSL9ZuWvfoS22FhUkJUKFTVQ+A0V3Wpv1scgMneY74vbhvXHzjaR
20m5NDro/buGZaDYVMLwtO/IkEnB+LWx8hlRZMc/MwPcvVCuNYToECW+Qs7tUj5wco9f2Vt4AhcV
nI6N5giXDbql1qpkvmU77LJ8+NJP7Q6JEvS+GJx9/midcuevlzn7ile+YBz/i70zW47bSLf1q/QL
wIF5uGwUaiCrOE+ibhCURCYSMxIznn5/qHbvtmS1Fb47J86JcPSF2yQIIJH5D+tfn+/6Cfn31lEH
kKXPxeRs4mY+YT/6iyv9bNf545V+2HVqqTlz23ODqZudJqZM8yl784NfCUZ+thWgXFrryZie/Cnp
qWcPHBFjqgBsnHcfsnqhD69//cx+dYkfohBMUpfGmrG2Ym7iaXTsbzL20+ivr/HT7WatDDpEVpx9
q2fYH1/MMo64ZK/nrCWArAdf+uo+K07j+ICZXTSTZdX9CBfpF7Kln7wkdMtUWMlJKc78GFM2lQlc
0yhdQDSMGtRD/jTl4qW22l8kHz95hN9d54dHmBsSbnXMdUAiPiPFwfxZ/WK9/WRlWxR/PNtgqoJK
7g9ZIt5gjb1MhbsFnjqEZcvwmmqYJjHM8fPo4If01y/sp0+O4R1iLdJtBk6/f18AriUI9crd+u50
U9vBUVoNRPnlF4HKry7zw4ZoIc1jBJsHF9ddvhFedWFr/rxJm2L71/fzs613VVk6a2aBiduPxzcH
w4DIxQe+ZcJ8HoLduhCT8ZtXU0WzGYtGaYkjewj5OlLTL07bn728P178h9s0sP7XUVo6WxMb20if
0SxgUsusH5btQDFy6xfr/ie7PVJSjjoH+RNEkx++tiowa4IhSHrIKW6mJd/pqMBaBr+rxb7uoYP9
9cP982bPFgXZiYYX58ufRkxGDe6poaphiy3mltEe148fRQ1XiqN2TMwDok7NbX6xpfz5mXLRgOPU
o9W2ljS+X6EzN1jn2GIzbf6lbtw7T/UXevMwlnd/fXPnpOj7yIEZXWJ2xiLoLZOdfn+hQhPSaLJg
2PrLgKH7su00aLQnY1RgTjDcp1LjV9qG1tdCTS9OwM4blnkgNSVBX9Wu66TkVJX3SohIeP2FU1y5
Ql0wFygT4yngZ5usXDWHg1u+Bkyz1E67LatL/o09dNBOsp0jtc/QRNaRCZ/fmObLMUj7rZf84maN
nzxVhxsl/UVSRya8vuo/HKCW7iduh5EoTW6RYsXNgDumwoYMLplOaR/0pYdCkrilXWMrZo7Hphct
LuE5UcdumCy7308gWK5Gc2xvsPvCeJ5ZqOQOEz2t+kX2/Oe9IyBPd2jQMEL95zZr1XXtxLmJxMuz
XqrkXVfq5NS/0i/85ORijgvdMHMVa+/pR1UXk4x10+mUHf1q8CKxdMG+KvBEH2oLK123+jYkZn+R
wUM4SpcRv674FTX2J++ElWfQy6BRyFDJ+iD+8E4Cb8zqJaFm3IhyMw5+lDvD5VS+cOL84kP+077h
8CR5qAZTAwGiiR92fW2QpQsSZ+2xac82YN3MMe4Z+r/zxwFc9fjw15/Wny/nYOvJdbAi5un+OCca
K0er8IuAcmdgU4bd8G2Z5bdzUkapOVwWmmntzhf8WxasV/Krqtrqo/uRvPUdrAt8F//8+J/8Hwjn
+t1IlTf13z1Yd+/f3tVbns//+OfK+MKM9V29f/vHo5Jf3vJ//FNhwfoTb1Z+5e/erMZvnBOs/LWH
jHxiBQz/7s0a4NrK3MDaZ2PIlfbUf7xZ7d/4bni/OhkH/826av8D7ILzuBYKLNYZX67zt7xZ9e+/
D4432m4WJwGUMjvw/3S0d32n2rEy3Z2Ov93eqefi0OaxyrdanOaPCbMN6Et8EC/Y76EKyvRgussc
aRz9tHbuJydjLllR0NixnejqsNhaB0J5NQPmMMCPgJwFj2CYNfgFW2fv4PbsI9yePYWZoH2Yzj7D
w9lzuDn7D8uzF7G72hLDS8Gh2LMngrQSC4CIJNCcjmPn42fcT0HS48fCDDBcayfd1loSLGAJYJwc
JITrJRJBlX6NE5xGGqOR+ZGZjTKKGwlPivDhkTaPgQf9as1c+N5SfVWG1b8uZbG01IyH9LGAWCTg
M1nVFNJHrA3MtC0wDbay++LCHfzqOsnpwmJTOuxMo/DUZYxdKZZ20mizLS62UmwR78rkOK8e1laG
yWFYW27B9h8sw73RmONFUbXFvPc1q60vVD/VyaYzpN6F0hrsN72aigaXCQsVLmJWQ26DgrbDXuGO
X+290hn8PRMojXOP5hpyfdaq8Ws5We1eOo1QoShqLPaSvli0aK6T7spvg3avt6unjVkHy/LqLrX+
0k6eLaOOg+BT0KjSusIijzn7Yf2rVdeKagsew79Ehdx91c0RIJkDmH6MZivunuOu6HBoHzsLD5VG
n6/V2dddzYV3lXU2bu/gncb3cbWAt1s8cMOcqW6kCMWEYVfgvk7SxDk2iWEFZcU7CoX0KvbGNloW
h7Kp0Y94NrqQk+rEs+dtqqUmyy6GShbWuNYH3qIRLMl7WSpnl3TQVYrV175eHe7ZiqsLUBDNVV5I
GvbKo3le6C/SmjE1GjR3M0r3Q55t8ovEjNI0TiPR45/f696LWwneueHVd0j23ROu7F8QWqQ33eq4
b63e+yDX+ou2apoQQvOMEMuGMoTX74FupdymDrRNPFOt6w63KjpgVrPAseCdHuwWeezGlnYjdr6n
4m9pOqsvBgbsV7IbrFNfQgzCVJ1HTcmw24+cpG9z5YIYMJWBY3yaHQYUPgd9JRGU+CDv8yktLpsz
s2CZ29Oysgz4Tp8QpvtPSnOwHHeLbq/hU3ljEXRe0cvyrhNmPN7Qz057EJtE140j92imYSh0Yyf8
TaCDVggsB/23vgIXqhW9kLQie6r8ETiX3rqnbMU0tGdiQ3GmNzQryEE/Mx3Am8F36FbUw6R399LO
/JduUMHLzMl87zbTXO6sfg6mKJduVh60Hv1niFsjCrpClfnJtHw5bExhuNEyV1CJGpBOeVilotxm
uL9aoeFW1kc9ltlzYuvSpdWiGQmutJ7+QM0eow13sPZ2pwx8zO1Yv/Qm/3V2Bu0zu4z2ONkEbbJR
2qsnxRvSb2dT9X6598gSbtJp1ruICZjlk9l56THQKcO0mNvczPo8vZZ6lp7sQRuwRvf0L/hozkVY
JMMwRbJzFtR/vfWoL/QoQ2/pKHUk9VKHkPfiZBNMlY9rsGbg8jmb2qGXNba8pq+CcCroJBQtPJME
nXUSsrcslyWDKsTpgXoeAzazxlGxszFHlasw6GfXxSdf8wCrxJOehCleNUdEXjYYKpgqF0khm4Jd
Y5GHVJPT+huNV1J7vLgTu56zcJwMrJDWYb22yi6kTm2NtRkVc7qD67w1hP5i40obxXmiPdldfUMR
/LYIsKjokHVDL/8CWWOPJzOJoNu23qZsLP21n6fq4NT9/GL0VfUB0qm49p2CNuMab6IcSG5mE5xQ
4rsHz8FEPzf9OPSLIKF6WvrgMdzi2Z9Mzw8lSfshrYzpJogL7Pk5OwsgAfC8pDASnKRBb6UOzkqW
AQUhn+5FUYKEyqBQrWQycVGpADAETmVTWPiGeszTLr73i9bEzm3Q7ga/lADgdDF+OM5UnNzO10+V
3Rv9rkl6/diK2MCOeG62edwyeaRp6hJ1csD7XuT0grS/2zrgFRjLTsbLPKD5EqIPujCWLLnSRGac
mkFeGkJF6Wwk98woFtd6F+Rob0eWZJCjIQLPVGJz3inTiPyhzrf4wMlt7uZ1RD9TYegHXScMEkvf
E+827Ohpel/XtjgaojJ1Du8OkxKgPNUzhYk88ienXouHJk4vgwdTbFuncfGw5G38rPo6P0LTtY9u
m7lGOLSmecB7PN8FfVdMmxRuEEZ0uHi3u2XQ8k+piiVIyU5U9maZEw2fXskYaauGr4IzcgkzGEJ3
tVGgKuQYi6apVFvwcpjmOV0sD9VZnOrp/nS5ZE16O89djNPMoICRECA8FXBCHvifDL4d9ZqdHBnH
Zt4Edmck9cG4HgPclYKum7uDIVr2IzdXhRcOPms19Yv5wTC8eCu6QEZWCgSM/78djwTP5qurjOxO
aFV1lKzxi7oY592QlOWmy+ckDXW7y7st8vMHvWq8faoSbHp0TsONwCI6BBSMh7xRJM+cye0DW2eu
bbzK6Psw8NuuZT3BcINW1MKtaMtBfPVTqd/OIsieDKct2Tn7Ro8WrynijdWm+f1gdtmDVXtQ8+Ih
zp8dL+/f4M3BfGKW+grak1tuWuoFuNx2gPnaZK4Pia0V6UGS7uwKZQfvc1wwncYcbrvPijJ7oCYS
J1HV2U+aBBSHY4HUN0Xe6unFaOPNPk5yarfFWHrXOa7e5RaviPRVBVb/GOcDXlaGx5o1HThIuJv0
K9bEdR5FgtF7GI+++7UW0zeTgYrDCMPn1R7NtNxxJuYQJVZLdr0v2+M0MgMWmr17DM6W7UDeJnzn
RTw8taKAfJmUkEv/f3JC7dWhifVXycle5kLSMXvL0er8iRLx75//PRPxfqNxtHrg+bwbhorJUX4n
B5u/MbCiMzZJge9f+Ih/QyI8IBGYH+iktqvwe4UK/zsRsX+jFRIwjO85DEGTovwNRsSatvyxr6Uh
X/BAWNBP+z4/F64zLGaWB/B4JVJ2bxi9YKtnfomxTV24H8JzKfg5zVh+NrK2vHUapayNBweIrwOa
0xTpAGi+EQV71p07eo0fFoaaL1PRWHXUd3HlXmlxBkirw/W9iDB8B++ViMa8KMq5uUp8KR8z0gyx
HYXFsI4apf7JrOziIDIwBxinyow5DyNp+kNCCkEIt6StDDO9SK/6rDY+N6oSMLFHYy/LQoiNlw9K
p3BVDs7RlaM/PWcGkxxhk2sAU72cCJrpWBX07cYSPPIolr7dviblUL8vtj3fdZX4KBtdh74S29VF
2THEFRox+ytHJszAXB8rJtScwQmH1HO3QAWGr8GSk1kYae8Fm25euqs8y+d7u9X7e5navrupq16K
UHmVN8A5nKe91StM3BL620ad6xdeEvvH1NQyIIWTeeU0GOupUsOEKXBLeK+6LQVnSOvCQnDsSl2N
cUny19udAw+509R8WsCvOqEd124VcaYX0AmLzGwuCUv7XdbLBiZtqhWfStV2RyAT3aVMrOJCcOhd
aKJsTZ62lX/SGt06pWOOw3fDNvJqxByloQVppw99k/N19jNbCxXMnZNhgAEJO0d65JpDTfQDJkq7
WFboSbgErfeS+FX7ZMdDs+xFviQvSZNTBQx6pIph0hilF1r2kExhbZojcZVrXJlCA8/Qg00Arcci
0ufhWV+M9CKxmAve6CmRKohi7zJpUtA9jJTBpS8F6GmXCJ8WahoGsy2iumoNtfOzwLuyCm/08Qew
J480WPjssa6jIsXQkRG2C4EIvKpSN48J6LIxGhqOeXK+TsOBvp6H6WDmDHZdKMrf1k3d1LQ+8dmV
4VgyuRt5wgwYYPfyL1Miko8ECW9Ut7p8FKZqoWfmlkKHCpp0nzYxEvlcVB5+fQiBNrBf5YHWdS8i
6knTpT00UwLMAAfmfhzcZeMMK88kr0Brw98EnsHBK6IBp+bbsW6sJdJmLdsPRaKjhY77CMxXbm+m
wkB1gnlBerKUoRGlVp3FXKeV7Ifphhx3gSNHpQkfM0DJpzmlCdgzvgK6sLH1DIugIv3iUdoFGW4d
ObZAx6V5z0/BVmjuaqwPX+YMEvConFNBx3Q7mFBcWq3f9CIOwi5Igifd6LIvk0p4M3PncC5n+oCF
2KjLKHd9vj57KDdFmznVS5HN0EnqYkVC5Ysbzkb+mhOHEyykIrQxGkmzhhWVlEF+mVhr+mukqski
2QL9CqtlKU/cJoi25TTk1r1pgFr2c42kE04B9Q+32hOuWddF4WuXYoH4XUpom1OeQEAt2+6+jPvh
w85yubdEZ132oL8ulj7IDwN/X2Rr6YeJ9eITImbr4Iy66sKO8tB7cwaKVitbtKegu8vOwNHF8+tL
g6wc1LDsD/Al8RexzpTScQWWLlbTncoVYhoMcXaVn8mm6Vg2xN9n4in2l1ofdmcSajJoxh6kHnzU
RYJKXWRb3RPH55cTi/Lkr0jVJZD2sT9zVmXdt58CVmTUOqX/1Z3jNVQv7ebGXjGtZaETxJ/ZrXYd
x6E5aea3YEW7xivktUmDjJ1ykfa2WCGwugMOVi91uR9XRGwVNMmn4syNHc1saUO58jUM2JDXZRa4
Xw1yLoCzK3sW8Ej9uQPQs1m6pntsABl8nYRR37od3NoS4KsP5w+abeu03tZaCbf0WWXLsGFNirlg
CPy5wMxk3lR9Pj25JOoqdDgo3iElJDfFytBN/4XTLfhew7HuwOx2Vd+/DvYMV2do/AfNXqm8jR6L
V09fQSxCDtNnzQXgm51ZvumK9a2D1N0nfu3d4I5hXQbTmH3w96rbdTLvS0BkWYWQjajETGdqMBC0
7jHg0OKEaEfYIpaQPuxFZ57vfIE3M5TE8XlBpbfzVj4xCnT6H/UZW9ydEcax6kq1MVeyMa9qPKHD
6dhHVvKxpNLShBXlsRTCYA4c2awmJmzqMznZO1OUqRpCVK5Vp4uItMfNd/mZvEwi8mJ6K47ZpGM2
7+QZ08zUM8hmROj+UZ5BzhWgtC4axkAlEFR0DAV7E/szDIdH9TqeadBKJpCh5QqJlhhzV5HTuckF
KyRgzGeFSovE41QcgYveZ4PH82fqD26eWGHU5oqltldAdd1A8QsVoz336QxNZFhR1pqpe0e54q2N
qdff6VCRoLAKGBxRzliyVZp9PoaZr5yHOe9lspVz4uGPzLhbuRVyqWVkaJ5v35LIDvFuHCjCeLlZ
VVEGbn3Fipa+FZEjdMOVKVuo5bwFIoMpqLy9a3Rg6HKzbqIlGP0F6lFuf6SFFjhRGWg0tZzVutTX
9G8+lN7+gPwGTnWGlohkY0o5vJq+meoNTDvKCS062sTOxYcpKnnfLXW6mYPakLtGtguIN/bQt2JM
HfMAun1uThNF4Plf3aS/1Rr4edH/u77A/r26five2/8LOgNrm9uwqNX/98bAbV+mb1/+WPv/3x/6
PeB2frPoIxursRPDCq5D7f1/S/+I4Oje0Pjl0yPm/mPpX4fU5jPhYKEE/GPEbXq/kRqbJnsA824I
wN2/E3Izx/tdyI255XoNJHLI2NjLaEF+H3rnlMQaPKNGErjRPYkJGuRGz+I8aquydPeBm6QKfoAF
VSgppkAHSt2I+BLGVhHs22URBmpbpw8uUq+uAMVgJltGCVFbHI12qXVf1TAPF+mcfp4DmERpo/In
0U6LdVWradjkrZNbiJHN+k1mDOi/D7ql+i3Z5IIjmuJcrEez3GF5H1u7MdfyF3htIiz6HpyRSORV
mhfOezzI7L4oXdltYZzFPsdyAmJ8iuNHzcBDNLTMhB28632x1YLZ0rYjG1m90TTbm1HLLo3c5V03
ZDDl9TlgNyTM3XWqSLVbjMYsSkpZEdzL2pEFyl9zSqOcIxNNUT7GRuiVyZBuQPgl+q3vQt+0FoIp
ghTLfO8LHSPLcFFZSUFrEsJlDCJYiW9ZLqjViWaRoQ1k+Nq3M1ivYNKPttn6nRXmZA2SQfNS9JHZ
Ntali9FmHXpNnGOwZlHgDLRpeCjjFOnfIIbxlPv+GMrqtGQO4i2i1DGvcrFxmpxd3GW/CvrNMOkv
JlrxOMzjxDKJT4UfzZU0R3ACvrhUZgmutnLElR9ozSaOHXuvBqhvid6WIQSj9JKKXH7o24B0wFya
w1jnEvRjr+78TOWRst340NcaUuRGYzDClOnOqlWyNYbRinIPwlCrUvdGz2OiHku/zgLFq+hKu4Sa
5Np7t0I6aGgCJaWuL5Flj+l1la+8Urv9Ys+oaSYH8GeMKGLpNRyv9J0psiF0xRhcDrSY43K6q80Z
l35P25fEUn0Z79LRfLD7ANJzPD2PIxbDmKam1ZOgCbIxU4O6XFeU0cRcDPW6FW85uCKSCSs6hIeX
PqvJfrJigSXAOrrgUpw8qrHeJ9a7aHiUoe0Z43FMmsc0i5/j3E13MJaxguy8Kya1+40Bu6mSDiDv
eo462mcvrgIDXzRWFrmDFlx5Io9ML7k2xzE+WthWhgmNntARhhE2oy8iSvC8TKucya6Wr1M+fxQd
UPRh1nV/Ywhb3we1l320Hu42KAyCKpxVbd8aTWFcdPiC8+CLYbwPpOofjLnoPYxdcvPGtbuCMl8t
mXaW8lpiNnwzVd540XSxGQ3D6L+3ZtBs3UQ5n0WSpl+Mpm2O08JkvWhc896clHUkYPZfm8mKKdbO
cqfXibubylEZoWUlH4WGLD1rdbX3kevvpKuXiKEKF1djOgyim8brOMidQ5k6LYOccOXoFd3r1Yi1
me2nG3j0cjtRI94MWT/cIbRnlMLwi5op6dH61MyJ/TpT1noe2MbCxnC0UAS18zxi7YQl2lR9MZXQ
IlsM4orUbzr0TqwfvKRtL4qCz77ubT/yEP28sIaDNyqtLf7cKHBqx7a+0YnRPpVu6j6Yo28e3WFB
i5maMjnRdSnemOldcmLmzj61BVOZjG9m941fVx91YXh7pfz826BIW/TBCR6tGQpYGo/W15jOYJSJ
oD/C0q4vTFVb164w4/uW0D1C3tSgyemcO3MsqmNDm47tItB2WDU4Jx07zK0pVbujr5SQKjXa3hS9
FoeBUk1EpaJ9bRpDXMo+Sd5E0dINS5vmVsyFOEmTBgB4DgV3wV/aS9y1dScUcy/oRBnu3ajFxTbJ
Ne3dJnPY0CjCUW+IzeZNjSbwwGDxP3GuaC/KrLWTm6nuc5kY9Z5EVAD/hirRdjY4CSxtAarRjjtl
wBpJza3ECm05smZ7IU40TdXWnoPkWFGx3jVk9Hd5JQRdPbbV2xmD8K8p1cvdHHjJPbF2fHBT1LCY
SOmbbprS5zq149e884p9DHzmogqW+s7Renerez3Y20VPL4EuuPsqX6bb1BDZiblMSWGALSbsbD/Z
Y2Zcb7uyvVcjjTF/NIwjMWt/jIcM4nGiXOuiGWJrs+RK7pIs0QtUg624sWRAJpA0IntTmuVdEu1n
e0wH+Wprox0oYDvzTqce/L7WyC/NpTR3JoD6UPU+lOSBOk7ezlWwoWiwMvxiugBBY75rc+WRD2dW
fU2+W16mcQyLu6ApFI5BUbHRF/CJiQvWHNflO6MH/pqNlRWVaVZtmE0TG0G6urEabzr5XutsJvo1
Jp+DZbQh7fjlzaisub1KDYDR/qje3b6m/uB6LbagmjeUISDjqNUGIcLRaCwifD/ZzTRELmyqxSFq
2vgSlzCXwFtp9nWSNSPbTedGvdN5p5Ti3V21yjDDuDS0nYgtIHiIgIrDrC/+JvYDrPmLwn0xKUy8
iU7xKwBVb4QxBl+sesL8aEit+DFLM8GwfZV8OHE3PQddO5c3KtCLy7EVWOjrEA3DvIvdu1plFDgI
lYJjnAZU+a12eO5cv9o4fVElUWwJ81j2bnJvV2Z70LJs/jLNPHAJxx18K2aKxYQiIRoHVtGmgY56
qGzBW+vFhLuLLg9zMaUHsxQxtYBm2DqNHVB8Sy3Wezrdc2onVxNF7X7UD9Ju7Vu0282+UpU/bajh
xZHrp2zElWrvQXGOZLma4nENxo1wsuWqdQZ5HRhzsIEDy/hF4fQMMXETTarZr4rhgksvRRmFJzxb
1eipbacPKxSwHMG3Zm5kL1V2cFvpb5aWmMFGKnGBgl/f03xkrtqEimNbZfoVwd+08ZwhoOPj1Y8u
UtGS8CWtdgnMobDh29w4WXoU9ovRtsF9E1cFQ+Z5/KTlnf7GKUTzstX0BjR9a+Tepm1c/zjbdddt
Fxd4uebJ+dB7ZnyiHU+GVFqyziPIPAXNnfSypw1BXNQ91qYmKPSZHndFjDLiZewXJLilGhe6s9ak
Nk3i24AThLFQ8EsXKLGEOOkjqqukCuXsJn5I4p1c9IOT3MXdkF52JbBEqjad2KREWrdVvTDu3Fiy
CHapM9kPQpv4nB3NvNHyokOQJTRxQaI6RZpR4CHgGZTXZ3rjrLJb4frmVekk1HD6DNBDljnTt7yS
5WFZmqKmmDU7+2mJ8ysmbosDqoaaUnCr6uu8Cx4cZxhe58kRlGPZ50NSOX/YSH4xZqstfvEIAb0O
KcNUvjlGYHyLS19WUaNX/sYszDSOlDdDS41dRKM8FpObnops0kNLSy1tI2LhbYZuaU/I6xbKZtK7
62fhv5aBMqdIDTVvdhjreDtWvtjXIybGm1ojaYwGLJailPkeFGNrry4kxKM8DVSZv3WxrE9Dxc6y
mRsEZ2HjdMsetrHzUZtledcGif65LZbhwTfGFmcdJvxaQOJFFXmVk+DFbmP+qDv9thvrMt9g32/4
4WJLT7HuvPQRx/rxycd5jRIxda+T0ukLhY1WLsSLWd6QmOdxadJrmxY/xFenPUqvFdd6oY3Pyiml
FlZmj+5HOoHsw9LVGfOdXPfaTJLxIpg0vkKrartLLBFSuTHdOcMZPhe3uayzU5HlGUj5VNeojMvF
jzAFqq4XM0gf3VQ57xUt+Uj5Q/nSpkDW86JEb2PgXNLT2u44zAa7KfBhrFxUCaYrvY1PiS5y6jR7
onbh2u95T1tL5FbwnrBOiQpGSmTIu6gVJnVu4KyUoSVCyZDUoSYzy0SG4qTvlV2v1cCi8S/NhOcS
AeH1doPdLztbc/rLQFbU/EfqFY8ugx/3pP2avrHGmEXlGVwdpzy5CnWyL2ktXU6uQCLThqIavAvp
Be9uMonummZ63XM+FDZOa5WmnXq1flg+XE96KK3ffFBnQkNVjo0b7+noLRUs2jYDSlL6XonMthrv
C1oivL1mXG02qAiXqQQGLOnz0lJokQvJKUaZZCuGHxHmTHjwFsauM7Rsl6SesQY/bRotHcDIfZpN
RMNx5Zg3XYkgq6ZPeq8tBkNo/qQhXNKblcOtu50mtjEqD+5ptm2OV2t4SqhYk1E6zmM6VGWz4Vkn
dI/oUz6qs3wtMDl1sky5NGV4LXpppflm0dXw4Pa2DpA4UGugvwKnS2wHk9AXLetnRJES5bZih+lm
CYO2pkOXh0JUlIerdPCupaXIRyqjZjs5461jV3+KDeyQJ2IX27pqVgi21dbVt1zBkt1ZZ0C2U6WS
sKSkRlTLFpkW7Wamg2E6QAXXz2htJEgqdBNEVAdNJR22KZO1EW5GFqLxqdB/1oLKOpZpIJpbk9wW
+VaqF6icYBRvgzge3F1Vd2xayxh7M57LlIVDfwWAl5NhLmGc6023l76rjlrDIHCMi2kVxYMpvsYr
N5yebr0jSmINWWemeOGsAZvNSP+ORoJOHVnSug9qExpLy4jiHn9sGMkT1l5jyDex6Psxc4s7jqQB
MaHm0/UCDkiClvSmMijW+/JqKAeERqb0y0+etXaOW6fwK1R73XzTToq7yvX+qi6X7Iiqjii9A/lz
ayE/CbCe0ybGP4dJfai6bm6RCBnpEU9hvk/VFgbvyyyrHL/PCakQ09/jpqxAcyMhm/rHavS91zJu
2VubZWrmfVybDsNsg4PcL1AjjUbkTdSPOZOt+sGrYa4vSfDgTm0voyLnzNkISwtswuDBf5qcuY5q
BSsY6clCGTozYwK/NqhhBFa1MhA862xtOTXFG9eNS2s/ekN9R8U3vyBRIlUq9dSivbBoSf2vMcj/
p0typHsOmvr/XpL75/L27R/HtzYppPq+MPf7j/5emEN5G8BwWm1SHH1tXv+7MOdZv62+OtjU6pwe
9lmt++9WuPMb3rEB886kfec++X9a4eZvlkW519BpYOOvZHt/pzBnnV1v/jM08a9euMd1+LP+qFVn
xHJqNNcZ971MVTStIXMgEeTadrd4YbCG1OU5uk68tqKFqM/OLTkd1u6lpcbPWdIbT2av6RSkqgF0
FK3a9mTSQqb37MfNybIn/6Eg3LkmYOmMvd3WDBcmVc123veL1E71ZMCOpwUeX+gFOtspt62nPli8
o09q422w8gg+UsGQ/IUsKfyHVVYseySN+U4SK/K1j6l+33j6vDzVJYJCzy7FqafT+wnPm/Krwdfz
tZbTXO9GU4yQjTK/vU+6JvmclotTbuK0KO84KNsT2PLgZp5qHOd8jy7pQVkJKaRos6oMhdOjaQ2o
0JvA2zl3N6TkJk3yhmLn/5B3HktuI2ubvpWJ2eMEvFnMhiRYZHmnqpY2CFl473H1/5OlntMsFIII
9SynNx0dilYyE2k+8xpuWXqfb51i54IoRd5Ffpj0FzCTp2f6qP1dZVrlr2rIxxvZj23FVXrDA55s
a/lLQQnrie5rE+1IJut8i1fA8I34hgIW9yPZEtocAWvbTArqOrRCdfaDRB9KhvWuGp03bXtJmZ5i
eZR+4gQCBjrMgv7GC5pA30rA4ciyrFD/1o+qNhIO2IRhdaTrB8zQI/AGtY2OvZU7Q3sDoVCLXQoJ
/Y8ETBGisV2CwB/oa4V0et+lUfXijB3RwVjZkDZNs6Fi20fWdZ3ppr6RosxH/D4gotoCBCOWp3lq
9FunzuyfhllRWIypA13xlsj0TL1I7rZRQ2V058V+iLudMJJVw7EAM6fQd0jeehDFWz/CeetNRKJN
4Rk0LKZgUiiSQdTa5ZKi/ZId0dtAiiUn7JzSugf6assSXUjRD4FOSG8kfeuTJG89E8pRvI2DaKU4
b10V9a3DErx1W4CIAfUco4HcHSheELg0Z40nLbTifqMVGHIBARD9GzJbejmqaOv0QPOOUhMqwFjT
CdAdDBAr4yn1jEtlpLMG1NBxHpNh+K7KnX4cldz4rmdTcuDFbx4H3yiu8ayJd5NS6vd0WBwdpnUx
vAxS5H/VgaQeU7OKj8XoNReV2mrpJjEb586KHRWD+DplrlPAU5n2nUPnzkuaKyWaemLGsQpxrjMd
CkZ9NbUHJ5D8J0ctKPZ2hfOzUnMMIlGwbl4cKwy+hVPUf/O9CL+V0qPoWfj9PSRo6bIZjfQ+4pJr
Nn4lgXHRlVH/AhIDPl5jaahBpgQB1IYleUchyf/CX5IeokCW7+sIFaxed77EWUwXKSvM66lLsq3d
VjCsOzu5bkbN+GLrPmiGrPVDlEOiErQcdDy3sKZpGwZF3G0V3DyxlVAN45hyfi5BGpP1gaUnAwTx
611HkTUcRpEgBlUqF+5Q2N41sSIZZPWWTZaVhe0pqyN/NSBLfjK1NnVlkYKihPgwZlm/9UWGSsyY
7YkpSG4GoyWDFbksZPRhi2Zk+D0XmW4rcl65a+UL7rrkSDEhdA2RG2siS1bhHcP/CXqS+LLflSKb
zqde22RjjE+jyLVNIBqfE79Oxg1+stWF0WugMcckvJWQTL5JZVO5c0QGHxgesanI6g2R3+Mt6u2y
t6S/E/m/2Qf6PZFm/KyACPypWBlFA5BEndtCxbjC3So60J8JD23GfZ+JikMhag8g6rJ8i8wbJYmi
B2HkG2kfu4rWT998yakPUUwKkEoBgL6heXAmmoc7NQp1UB6i/qGJSkj+VhQxjNF8mESlpHsrmpSi
foKKCaUUXVRVIlFfiUSlhR6P96y+lV8kmUqML2oyUk11RhF1ml5UbE6e5fvfb9mpD+xv64ilN040
pU74WHrS5LESN8Eh6a103ypkToC1e9/Z2kUKOVdzsukKXzv7otWq+hJNEesyV+2g3XRCy6QvEA7a
ZDYbfxe14XToJ3IEJYgA2Y+xCqOgbmV6PL6puEmUOW6nF8EVhyrkAMLqODSaH33RkKG/8/wg/WFM
RfOgeil6fVI12RYPWjQGO7RFsJqEduB9Ka1WAdqfpPneoZLrsA/TpNg76iS99mVHEywmuyXi602/
3te6SmxPsya4Lf1Cu7Aqe+Lm4/M/GWbn3w6FZfjbVImMqyZQFYoXcnPPoZed5x551fjJxyBLITlQ
gbxWpDyR1JjlVgqnnLrBGBh3XqffqcCPd9Y4GXc2QJjLNgEn7Sh5reOTV2nRvpy6+FuaiZqjAmap
2NaRH11FhWNeZ7yNe7PPkktFCjuBi/bKu0GXKV52da49MV78iR/iTddGlbX0DYbOszZ6EEDAVPXa
bLdDkQafMtBKV74ilfGFGseozfq9Vnlbr7ED/S7BsvNmiJuc3MQJ043jFCH47MFXswsn12Npaxi5
/BqVLZY0lZNCIpBbraXtVg5/6UMU3HQ1uIBtbHXttMlKv0J42pPt5uBQwaiubTwSP8vekKKw0Vt2
fKtl0nTR8b5v4V7bn4K6zG4NNQR6EdvgJvap7RXfoPsG3UWSJE2/l3MzuhQMamqrQwuAy88l7VGX
1PEiR7zxUzHZzUvcFEWCcFKqP6eq04QbKQ90ki6g5RgT5tyJfQnBdTNxDexryOC3Obi0G9KVHIxI
o9afJyiJiOIUkg7YjyTMxMkvSEEByklGbjTC/RTlF9BJV5JqlvImesMJAGQDTNhI3PAxAEOQCuFN
FkwgesM3BKL6hkaMQ7qe8ClDUIqq0qeHjsT2r+4NxVgPFD5cB4+T57bIQSEpgXrM3rCPRGPgIAGy
8V5QFMnMm86p1WKXEmtemkMCgpIPY2gPGCmUP4CLgLGkWzpm8MD6UtuqAoZJCSX70uspKVNYqcYv
20lBbGpebTou6Slx0/iGMyjfMAfZG/6g8X31dbLy6gFuRU2RqwIzBRnf3I9pCIhFJ0l1ncC2N7bc
xmC3zdr76vSl+ihnrLzbKgHvaJU6RsIrYg5Akv1E+pXAbNpDYK6OxKkJ5aOuzHHcpbReWRqFehhp
8o6cq1XcEl+Dr5pTFup91PmJS8Y8bPiv4T6Xk2LcZkXeqxu5qOjpgXBRt15aBvceAcpRi23/Dswn
jN7RpM2GxqcKqaXSelGG4a/0P3EL85uUSiteKNTa9a50vORXnoTqY4UYGZwnmXpt4pXtTopgylvt
AOCkGiQupapxTU+jPES6jPrO6Ffyzs8ordLIABdThLGxMTikX2nNVFfxMKmoaynTdJAaxfk16pZH
Niul1nCjRKH0DB2Fv8UOauPocz6wquWmVS8arfUuc/A138cEiP8WlKT/CN6w8GmTh84VDbrsWDQy
wpjDkGsXslTTNUYpYU/sNrh+pdIKxEVj2GSRNR31COC8RL/FhYcNMwFNjxt+tCg4q/JfoBdL14md
bE+IoEkAeJJ8Y/XeRJ+qK5NtRMuRizZuH6FYSCDotSSvN16ZlJx4OXyw5ClxFV5F4l4It1ckJIZb
G7Hnqqb3bQDMfEEVn35429Qucjn+F7VKm280iCDNSKHi7fxRjb/4dW49+JNSD5tQT1Fzz6XkYiJi
3I70Hp+HwYM02yifFTkJHoywAiMEkSejEmAMl3bZ9Qe9SPwr0yxi1t0ML+0gcYLtYEE5yGNZfS2r
yQIvFeamvAmlVNsTXgG0RRyxICr1I6C5cSh/M4A7HUKp9t0YEE99wxXcsom0aNfSY882qhRGzc7X
puSY5yLekimKP+d+YO8TzAruTZMqNsV+7QgiGg4W1CC3N3OhhhCZ3XMpERVSalbVo+nbtmsNXfAM
DMj7HJjqBMzKawugWiRCyN910OwT6pu3GYTAS80LzPtOV82KNNHGkkUz5fjGkDQAz+Bzb0N1Gmw6
OlF0h5aqP+6oeUu7QG6tI8WrsQYLGzVPo5qEn9qk7e4dyTe+c3aVeyWonJ9lHdT7yoF1Ah+BhtgG
1QrlVW1yIMpKHB2N0oxusFtGwE3uiLHTBuxU2LZqs2ntNDpyUwa7NsNz17NL6I0gH46QNwt4SPpw
hTOA7fIClybkiwy4BeQUFGwSrX2tgN1hs9yXSDiAhIFB0iRPnprYz03QAtUY20KtN0XQm/syjoAm
a+pwk5O8CGfXvsUlzwqyZ1hS0d7UcerLdfWXZVVazfEc4xjtwLh6HlqpuR6B9b4YXmvax3GydBwf
Br1/MRIjJ5ZHUA7wluyFu9yhnd12efMj1ofxN/38/+uCj2oAgDqJLHdfm6//62fWhM0ogGT/538/
hdmP4H2l5+//5+9Kj/IfRYW6YMoqxZ7fROq/IVjmf6BGoiEnI6clyBAUW/6u9Kj2fwzyFeFrpYsy
kar9t9KjakCwwEwhvgV6wJQd/U8qPR/lEQyDmhGiNMKriIrTTDACPmii9RwHDHXbm7Hcw8tNhn0E
Ew4dq5Loz4KnN3FkT9ZoIfp+z7XgqqbyZVgaAYkQkoaV/j4Gn+IJDxgdDTHq4ddY6MF4HK8mWV8R
zH5PLf8wzNxGiHK2wWGLUY0JQm+jlf6tkWHTR7F3T7j215/PyYQwD6ZOFyKNszn5UMQ7y2ZOJNTf
6y472lF5NSZ/rF/K0p0M8/ZFT9KXwhuaeCBnc23ZcmvbOeLceDP2a65/S0sHeltVNZ11RJT1/Rca
ba2ZRow6XdwhbwJ1eM6H6SnpKaL4kHP/xXYApygj8qQKDxSxXU7mBOVzsqJ2NIi9uvuOsCAwzWsb
FuD5LyS+wD8Z3+/tcDqMmPPJMBbvewUk1XDBgQF7u7DAoZhWjKcJN+XF5AQuhrbnh1za6KdDzshF
0BVzhfKa4UJvOJrwfirb2EeFurKAHxSsuCxYOHi4mA1bylzvieIrFuFRx8ym9tKbJNf3whUB/4WZ
vBuC2+p08QIp9mDpU5t15F+FCUlg7PS9r4y2+8cr9m6c2V6wWlmN+45x7LHQH/wuSPbqSF7QBWmx
cmJnZe63DcFYuN3JNlYUXLfv52TCCR51rTcw1vkS9HslkGHV6xv1ppG2QXFZ5R7BJoWzcp9mn3sY
zeenCph3vh9Ph58ba2oArfIppp3kaRms2uAgLtxUfmlL4rLEAsG+8g3XBpwdalisOG/pDFhfJvIO
bzUvMu7Vqd7l6SOh68P56S3uGFNHjQgVERUI8vvV9fqaQNViU1YDfk2SnDyXAOgrmoHnx1nc/Cfj
zI41PBH6eTGyjFJp36QjdYxVYcKldxJpnX/mMjvHFmFzGYrdHznt3hjkxDXk8aIGBkdrDfZvdxtA
cqY0+BqOyc/z8/uo6sTpRqgFojzQa9DSRAOnR09ByT9skBdxR0//mmsyKBqorVJnPKRDfD15xnHU
VBiDwB2pSO5lNXMhMl2AeCw2GopXcVZdJ0a8cnqWNhMisYqIH9AGtGeft/KQF9FixN9qLfpW6hSd
Bm/clEiSV+I/rMr6RO/5/FKITzm7wRH5/WdM8ZtObnAaQNagQ6h0A7iLlPadn0mjfS6mT7Farz20
S2PBNsbT1yBA4RV8PxYugKMwPzNcy/I+t5MKxgQQS6i9OGuyXWLzzGd1OtJsA2uAfTRQCKhthuNV
RwmyNBUwyC88USa40fNLuPTZoGO/Oe8Qjr4p7Z0soQUFDS0ZpgWY5irw9c8eeQaWg8R7+ui5lvbH
WqKiHamR3IvHiYWc7ZM2HICaxbbhasqwH/R6K3vXA7VNA/U1u74wYdxZ0DLPz3Lx450MOlvSigjJ
SnyLYMzWXuViuBkCYJRqckstbmVBF++G0wnO7gb0aEw1rZmgJ/wbdfshz5oDPZ5jHNluG2a3GOVt
W4qiIHeqfzW4Ybw5YsGGnt8NUmjJkiYRYIxxcWwVTEaxUZOOqlPAlbP628QKH2NZ2RnUua/0JA/+
PMDRLSYIKxVGnjWP5DUraPVciky3UbW7OHMOhHIX/y76sGyiagGk5DjMDiM0pGIY9cR0JzveFYl6
IY/lVVJa7vlts3g4HJlRiOENIGbvzzzinA3wrsJ0fZwpyXs+Ob2cbeVQfcq65sWytuNIjeL8mItb
9WRM8bydHEgDBU3aa9xpU4FIUQaI6C2yMgHfp+g8nR9sIQSG5E5gD7XHEgZc7wfjOhtkQ0I3us8f
o6glyAKDSsElA8Pq5Tlg+OgwScfzg35Ubxa57Mmos2vbsBuaOuKFBpVmCCT2jWcnz72FTgtNQzA0
crsPY/lTbbWvnQzHWyoCyjsNXe8UEgBCICs/6INgvfhBIvZCWVaREdF5vwyDpIBfGDk1uvSSp3ek
vEqOPk3zOkyfNenFyLJvq/6y4jvOb3kEUSykbFWKAeZsC8s4T4T2xCtu6WZ+ULU63FdDeXF+Zovf
lyFAgSCloMuzQbrcgsxaiFAhbK6VRPnM9H8OfnDR2tH4XSngC5uU5JHxCH6cH3lpelwCfGZLExnq
bEn70Y6iOupNt7UU3+2q+IEWkrKyfRfvWszZuXCopyI1NptfHyLXgJTT2z1w9H19uq6dEGCs/Sz3
dOAkXblD8WsH+u9XoxTKv4hoHZo0KOWJB3RuNxDIRp0MLXNUgi/0uVXRD9uOubT2ei2sJYIXsmGQ
OiJbac7WUngrJUnamW4Hr0EJgk/0EQ/nP9fCrQMlUMj+ATGi/jQbIq28FHBaYLqSH21tOX5Wa2Rb
QvuC4vrKnhQP/GzjvxtKfX/YUh+4iNWEpqsZ0l2HOGrY4L5J23dNx3lpIMgHDKYh5UF56f1AUW70
0Il4JBq/lFyn9o9lq1q79ehi4ZQZXKECg8U4HyTwlQFFQdIbhKnt23D62sDmK61+MyDNK1maiKZQ
kl65sxaeJsYkZ4UxqYqI6v3kAig8Dsxi2CXJq07hnoqFuLasW8CTLsKAK8N9NHQxsILnboSyL4Bq
cxOlQZcspF+5s1uv3umIs7Y6O8WEzrHJ+iQ8SHbhbRs6Khe2Gh8sSTvGZWw99uFo7YtsTCA0NdbW
SpOV3bRwNjAclVGk5QaAwzrbuP3gV+AbKbOZwItCfVLhQPhrjiYLp8OxCKds/NspVjqzxQZNlKae
GRju4GtoTQ9q+1BMGXGrLoX7vOvsldVenBR5MhI3zApc2ezj0r6la40cfYG8ICy7Or23osxbWbqF
8+FQ6+BisTglXCLvRykyHBgbRN7duDIuOYTP6hAf03ZYCaJE4Xp+4N+NI2Z7EtFIVaaSMJPPQHcV
mpVbT3sIU3mXyaLOholIY8h0f15i+WLyVqyiF47mu7HFGpyMXQE4BirPHLWQ1iDF7Quw+C8jfREz
i462lX7OMvVSt6dgZXHF5TK75bCDBH1D7ZdS5jyyQjtD76nh0PkJQJW00I6i8hU2cEJGvAGmdzx/
fy9+y5PhZiHV4GRAB7K/7291in7o1nSHyOdKeL+0MU9nNduYBVJ3gY+coatEo7H3Ek++a+Pc+HZ+
MkuFOBZPl+loaGi8z0tFvZKnsZGRRXSW9W3I4C87un+QBwTsJdMlNf7u1IorBc0lzu5Am+VrVvW2
Qhvw/A9ZuGQxF0ENl6OPeeH84TXBNlFoYVXLjvyp9YHV1T407/YVV7dqk3pCQDJSVhZ56bY5HXX2
QKpqzsGEOOHCN3qQrDhDLpH2tJ8muZuPUPDOT3Jx60D7V1HfFuz/2REpCx3GZxibbmalu0Ipd0FZ
bRq5XrHBWTyJxEhAHMimPrzGSR9KvZZwEg0j0TdxkF+MQb+Li9KdVO+7rkAMwIJoWyAC5J6f4OKm
pSL19jyLN/P9HWABcfJ1TRzFzBgABMVIo5jT5/ODLH60k0Fml1yc+tYIVZiopjOBqUWJf4ng1rRF
EhdghaH3+/PjLX61k/FmXy2SkqhoMrxRTF16jprqAVQHIr9FHm3OD7S8eshyEmjgcDt3GYvkpncS
KBguD+PnLkNPM1urQy/Ohdcb6X+MDuiOvv9AaBNU4CwHHogw2fXByEdSla8IzN2fn8rSOFTufie7
FElmt1ebdFbB4y3gpFQnO9VVsKjQJOnPY2nhhWRbKqkbmddsOsng+JJH0OZWXXOjSAUevEH43fbM
n62Tu/9iSiaSHkRAiNrPv45EoaAfRk6V5FmPYQwhrdBvMidbGWZpd1PUpWIHsgWlD/HnJ8+oUNQJ
uYYJFVrvlpaERGmLNgiYl+P5+SztttOBZmtX+lrRgZXglkCm1AlRQVP0/Nf5MZae5tMx5m+lWlJh
zfg+tU6xUY2t5tKsppfOl69Dq3z10bFbOUOLIdDJkMbMwiMoY1WTJtZPdGnpqxOnE63r5FginK7V
W726EamCz9WrGv9qTXnAaK+j1zIPkWW9iLNW9G6lGh2KHi7j3oizNW+jj54sZAgItiPaqBvEyPMG
gGLhoxlaLOvYGSIdaaF9ONZwXyo/KSaDJKD8L5uo5Kntygdd3J0nI892p24EqgfigipWkR7VUv+r
ipwHr5LcXOl+nt87HyMC0DGCpgPxBiOi+VqOg1d6ag3hCl9ByhoTlExThmU8wbW2NKG7Zt8C9G5W
zt/asLOQoAiRKAAEgshLDPFnk+lq/b1wFDp2WRVfFjUUei0IC+xSG7REzk/545FkyhZWMJYt67/x
L+/OPnxI344l3c2b5AHOyHGEQLcyxscj+W6Meesz1yxfoXKtu/3YPAaOd930yjaAKduYyatJ7Hd+
Sgt1o/fjzbLGyocH3ShYKibqTyU3t3Y57kXmo0zRBonfbS41l6M5EeGtePksLiY+jrplCrzLPLJF
9T1owVewf5A3YOtIblfQ4Tk/vY/ngdmxRTny1KV4gd7f1jhowRXp2S0VEIFN0ho72JX7Xp/2ktlK
K+HjQrAuRrNNTgRcJmseJDclwbHXMKUGkNkO8re3wbVi30HJ3sBn/OzjWtAC2W18bWeb1o1axz+q
KTB2OvDp8xNf3EYnP2V2TPAoDrqqMnRXzpVkmwZBerQabbpEVQmDgSZrHgutj1eu16XVxlmLpRZs
PN7196stDVjnxEBZ3L4vXogxdmlRPNle8zRY3cP5+a0NNbvoHNhTVQJIzLVq47MxThcikZU9D/Rz
tJKELG1UETIrtmPSxpl/1cTWWg1VbWblW48UuPZ1WK0BHpY+1+kYs8/Vdh31oxrj2qCVA/SbkOcp
7a2ZxUCea/sIEHJ/fv3Ep3iflFOIPpnU/GCEMcW/iPUrUGPFKAxx0LZMd4YTvZ4fSESS84FoF+Fm
Is4gzmvv90TV+W2qACZxdQWlx8C2ktsEQCx18KDAUyuRdp2sq5c5ZJ6HqCy6lXOw9PFUkjnKkaId
Pw90G7R4fHVUdHQwwDTFZAf10KxskOUp/ncMaxbSpIWplsj6MUVJ25ZRuMHzUqj8t/wLQ3otqCA/
6rvz67p4cZ/MbO5pRODRqBFtQbeSx41kKDviijR7wa1ig+blRvblnTfQ6vzzdgaITVITzjfgIHPe
cMQ8JDXMiQ5RmIzgoVX8Lmnf1P/mu4mWkI1GH2nybNs0I8niVBBC6Y1CWVy7wivtj9NwMZF/hpid
uTxHJDZSCQabtPphSv2dXlr5RtKKbYe8Cl7ol7LZ//RVYyX3Wrq6TsedHT3Q1jr8XaaG7Mll62uv
fozlmia12Q6O6tfz22TpYhG+V4iEA8n4YLk7IEAvdwFALorjjR3eEm6j03opl0/NGg5ucV7/DDU/
Bqri27Wud8yrG24wvXmM2vK1deovjbLm4rh4qk+Gmu0OXYdP4XfMile12uQIhke2U6/EDktX5MnS
WbP9EWkGpG+TQRCAgmSh9Ju6bMoNWKoVmNbaQLMNgUuFg80KSb+nJ7KLuMnlECTo/yfOSsi1PBAd
OiD1BLLzdDxHUAqNV7Hjh/RmaqHtYNlXReHaa7Y2jv3+zofo2zR9zjgFwWNZKI+0I18MvJDO7+21
YcS9fJKKJ1YBN9hjGK9DfXV0Ls2iPBKZfD4/zNIRgknOZUfFDli5+Bknw9Ab0HOj4vOAu330S6fd
jbCZEy9/VeTgkMXBChZx6RxpAhMvGtVc4LNpeZo3+aSPutvVOLxkL3kiPeDcaVv/6gkR/rsmiHkV
l5bZzAKn6wazJQjwDXmLmYlIv6tsX49/QVvcDI+mfy1Za5XkxYcLCAnZN7Z/mObOtvtkOHT3Eedz
KyW7GPvmUquDr2JJJ0kvERlLfpJRIqttR4c6XPWqXro6NJ4tiAe4yFPKfv815SCoEBMgmgubaNwU
BcpUGgqp57fM4ic8GWR2deh2G8OUIBA247J6iGItec4dC62bXsqlTdQk+sqbsrBHKRjScBWOg0xt
NivkA1S5amErdE0MsxJTEzxpVHRa0wwbQvQfm72NHNq389MU53gW2/Gq0BMwdRAzqimW4eRkVEZd
qF1bsX8G6VKmzhtb8rGJqr/GWPs2OsbBDPECOz/m0kxPxpy/Mo1kxmhYMaYBqXwryVr6K0bBbhf6
E6Y2hYkUq9MgQvD/NupsfYO2imPZr9k1eniXZEhae3nsYruH2zkqMVMmr3TrFmpIdFl0Yh+hUwwi
aXYLGKGPvp/Mx8trlG+n4EbDQ2eT0sjCz2bYSynWSikE4IOGzuumT42cJkm/EiItVOve/Yo5T4RC
CvL/1JFwmKq3toZJD8CkbC/6+FBiUNxo09cejqthok2oJSvHaOGCJ2LnDRYIOvBIs5sC4Yu0nPJE
d7MsuoVUiscEQnbVtWQOzqc//8CkKHR/VbKED/2tEh5+A6+cagSyvvowPFpD/kWXk4vILCM6JZDU
zw+4cEWgJU0KBo4FB+/5943LIa4cvDLcLK13lLNRTG0/DXlOENA8nB9KbJXZMSUDE5AAEDofuz7o
BqRFnEKPbtv2Dk8KZVsjWPF29/FpD0iWfUviSbmgRZytZSniYHwYWzVV6iJiJ8/7971aS14PBsJF
adO1nAoBlgE6bf61Q7es8fxPVo/VRtZe0EE81D7KFOfnvrDMYMr+O/7bY3RyRTWp10UoAeBYUKfX
Ya5/LZTiKvCC+ylbSzUXhwLgZQOwoVowBxHgE9mWU9nwRePofhpfWrPbBShy9OPLn89JofBq25Cq
QGPOjkVhDdg9SY7mShKCG2FaPokX1JSqbeOjEnN+sIU7HgMgTSYJA2v/ARBYDUHbmBObp5SwJPQk
REIdV/dMrgPbP5LZo/YcZsfzgy480gwKq0AmQ4ODN7v8QF6luHN67Bq92dY+YjUshbbykqwMMq+0
4i86eE7DIOVYHbsC4Ien/HkWyzyA4zERTG3m0AdZkuwg89n9UtRL2zHQLq0Y0Y/zi7VwS74bZBZt
G2MJ8idgkEKX682gtd/RcgZZ0vx1fpyFl5eXXgYmgyQ8RfDZG4iQIMrxSiSqmxLiFVpcHZQRMZxi
NLONJmt3BmI6K8d38RvxbeFRgFqy5uUbk22e2CNzU5yo3MtS+hXy3VpZfykixS0ScIWA/9B5nW23
Fvhd1UmMMuTSAdc6eZNNbDd45ejE6glyIbq9KSTsF9E+PiBGu9YxWjxkPHPAN21Mo+d9+Y68sghG
binPqWnXNMeuRiRPtqgc4Vv0aSi6owJWfSUdnL0LoDl+13BICGHGfVjc3LIQTajoMJqx/1WOOGVQ
nzHGDb5bEaPn6pcyw0l1yDRr5VKZr/jvoWnDkedQLUf5/H3kiEbGYHuoirkEE2mtHUAbV8ZfdtFt
ch+lksHfZfpw0JzH81t4dkV/GFZst5PXIMYuoAWoKpgrxpNk7T3C09YJLtJqWjn5iyPpUJh1QJcm
1Jz3I6Wy32WRRzHELsKtVoz4xcN5SCOky7Dg+7Mb4Pe0/hls3lNNRqwhYJJRkpNQHvaVg6Fp5IvW
ypxmh/H3MA68Hx5zKkrz8gGCG6iCdqDXzMa+jLLkBcmN1/MfaHaXvQ2hkZ5Zhs3eoP3zftkQR62a
QDSkW9JsSamf8fm91CJYgOfHWdyApwOJE3myEzK9SyqlYqA+/4FeBKrr8oGodmpilF0FGE+PP6d/
2kD8PT1hEILkKPgBYzaqEnujNg6VIRKm20ayn0YS3fMzW9p4cOP/7xDmrBg9ZDkyTQZDyGnwQAZ4
a/fhtd3o+8TTn84PJX7tSWz3ezbEOpZCtKPr80qwKeVgFMC8u5XqXfjjGzF55zQmrtC9dd155ZfI
GH+eH3PpztJOxpyd4CTyyAq4VdwBVwKUSbriLtF10AJ/6b585TU/reP5ARd2JChfChWw8mG/zDFh
oRdYkmd6osxebUBQIuTv3GF2sDLM7HEVawnxxID3D3TAQOfy/X4sjYBdntIAMqvvpdztoYIhgLAD
BYqwzsp3W5ySBYQMmodGTDe7fCvLaNEnosDUOvHeq9InTQ6vQhsJ5j9fOoeHhZuG4F+d+0fK4AVT
3COAQdQmNTMP3lBp7/TYXOvyLlxMmsOZokCnk2nMNyJ3sKRHsQKLJkOmr3f+qhXzx/m5zPPxtw/E
Q0XOxukykBp4/4HY1U2stFStGm98wEjnCKEEnzfZu7Kt4EbO219mjoiOwlL6/vg5Nbw12uUceP77
J9hUIoFTYQkq9FZP7yyvsDNaZ5Trhi677vr0UpVTzNTBEEpO94o3tRtkweWE0I5sAIUf7F3mj1cj
nXUgzxeENcPKB15cd8Q2+Li8cB9a+DGKfIldUuZy1OoxLtWvPirx59d96VyI1qFFlYm4aF4s9H1s
dqdootwTarIbmJ3xzTBa/3PZBuFVLqXefgp65/n8oMrCzYb2N7UXnjkO5Ly3huC3oXkZvbWEFtp1
7xjxcehiXE76jM875QV2wigsbRDnCl5ly9T23I8oGaMQuEsR6tl3UtRuiTWQ7enLYTOaePoNiWO4
ZZyuYfkWbnwo0BxjlJbYF/PjnFZj51Q1x1kV4aL0YhfRTRZ/dzJ5f35ZFj73u4HEn5+8ma2URXpe
A2/IdftJfG7FL3b/ZggTVIgjSu1zEF+iZYg84w7jTl7XIAsIbgph7O35QVSVHzp7uMhmeSiQ74Aw
Mj/Llal1XRBy2eZlLT+nWdog22cl5RZr+Hhrm6F8g6xvjp8H+Dc1NDqXMo7yXMRDVm2Al2MIahU2
/glD+BoE6F8VZIBfLCSfNtRftE99W5s4iFjd0+T3yqZPBmul5bz4zU9mMPsUMnJZRpeyQQvVfB26
hmp9nj5odQvWI1lr4S8NRm4C8knkJ+b8o+AprqhVQAkgGX0Et9XXALhAXdh36OWvtMKWrlmW8p+x
ZhMLolSp+5ax7IK6KtqlB4x7s02FOl+rFm6g+r8mWPxCLMROypeq7S7Ob47lyQrxH5zhaJTNstw8
44FB+psfECGShaPCUMTNrinBLkeN/y8GozTHzQ6liCLV7EZvmy6xEjmHk2Hr0wZr5WPPZ6wM+zCt
MgSX7rSTseaVsMKM0AH0Sl5jw0blbY9zOAqUXzBSc8EKbAzsls6vpPhU81PGpS1gsgRQYDDeXxeS
MaghmtMEu4l9iSomJjmqttL3WJoU5AgA2UItiTfi/Rh1r0l16CeGm3X2oZW1W+ImtY5cs6guhZiM
rK4MuDQpSm6CgYi5tjoPNarBl7BLhUkHVk29NFtP3ip6+rdgGI6L/s/8/vcinWqwLkRoxNO8rNCe
6FHN0Q+qX1UWxqJA2mEh++bwPcEDGAe+laBzaa9zx75xHQWMc7b9iJKiEMMD0x3U4NpqsKETWzBD
jjfKgrUqy8JLjrU4iSPPIXOb73U5GKfMiqEGykmp30hJG10gM+gdkzZj69ch9hZjH6xc9WIG8z1o
EIESMIl/5jOM08RXUhUugm5mP0LZ++bZGP4pw3AxjM4hj+BaBBpgUcBPK7t/6RMagpNoCFGyD0F2
0SlSHwiygGn72ypQXrD3wLVjnFZaNEvfUFC2Sf9ROtIssewnj3KK30fs9xDk0sgpMV7q6VbY0YPv
hJmbNMX+/JlemhX4PoccSyYpmtcAp2yICtTBTTdqRnVvG/q9NTX2JsT7duWFm7eeRLRLXQoNVs42
D8L8pGVJbI0+YbDbS9aL5oUPDUCCPk7vomH80mWlq/XZfdPJMTRHwPFpbTjb1lsjxC9OWMggcRSR
L5ufxHQaGk9sLLdsMLiUw+62Uov7ET7r+YVd+ow04EkzBbXgQy2uHDLTL0sI1PLofU3MoHalsTt4
OUIA6Lb/Oj/Y0qTgrnHwKa1aH3IZB1H2uALF5fbY1W3kxjiUjXxHs2/lGy6MY0AYA65oY8HwYVJD
roxJzNsH869svymJFtGazptS2zVFMj6dn9TCCloEvyJXQFYQ2ar3B6H3Q27MCY+SOpeuqDD5W1kj
B+PpuKgt73/IO7PluHEsDb9KRd/Tw51gRHdFNMlctcuSbfmGoc0ASBAkwQUk7+rd+sH6Z1qullLZ
UrlrYmYiJm8csqSEiAQOcLb/o+9s70OjzbxXew6IQ3Vu7+ABvb41g1QATl0V9hW6j8uNhmbVqcfb
Ia40In/vDHhgLgNUUPrQN7Tgru3fWc2mhEo9ga5H2CH5FAnXCI8B3lGQkrW0dfX2XO5XMs+bD5yN
2fNBwavv708mrs0EOikNWRCHpueh19t+1NW+d8z54OOiUgZQ+LWgzWxkXFxXVctArO4qdYX21vwT
eNX++dAVRL1TGvPanBMkMeGVBTbSbPjbXn7Gta2zSQL2veh9+1yXfgcZfwvstUmfzSdXPTSfleAf
YRLfswOvLxovRnbslyOjaKS3tYt07RxiMKGm7UElGLU1KzvNj01Ifhvde+VNr5fYPGQYzq4vKgH2
I0+UV2AsZbiJTla2ntM6vs0Xqmg2OTPu3/68Dw0V7moEgc1D3HVefM8OkcBCMLR05qEm0DkKtyMR
Wse7CDLsBZAd1c3bwx2Ivs56R1Djg46+jVIg5+V4wmwL387lHEwBPTsYkyG9QGVi5qCuwrFO8hr6
K+xS2MY7A7++vWFcqIbiPEY+fEesef6cxSQB1ugKXO7L3FhliMjztGuWbz/dwUFQuIF8EprE/P2w
F2+48LIBgzBDfvUK60LR/uufGQLNEy/nr5YD5+hCQ+ENTe/AIrixFHkvdX9oxaNh/OkxIK36coy+
88HX5RhjJxCFA8+HbDak32NOqiRMP/Xl5dsP9drC7fqpISUHvxz1HnsDOkB1UhtwFKhGFxD6ttip
hfhW5Uz1Tx9LBCYEwRIHLhcA33sDoa4ZEibBgES9gPRVna1Tnkcgs7wzzAFjtSsbnKVcYUH3jVUe
ONTxBEJXCvriqONDUoFWdyZ78HA2FX6Ag/e9O/aBpYfCNqCYYLdxyd6PIrcuBLVLBPqhdunoiKBU
xhp/sm8HRwNmbw6bzCcDjpq92Ssn0yzMDC01RttcNTY5KwPjPdnT177CPAZA6/AdUQGwbx8A9cur
CfGIhZbQPA2qykapKogJYComo8VvbTm9F8s8YAJx0cSswemCZdpP2LVdnYVlieBWQT76bQqS73FZ
q+t22Ly9yg+tCjj6MOnoE0Kud8/U1sKlmgWo66rAy/GKcIveiAi2D4gKUB2DCJJwW5at3h700Hw+
H3Te68/sO6ucThd5OZ+bfdL6ReKPULtG9RpQt3OO4T8YbW6fh2FHEeT+VYW0ZV0Z6HhACkoUJ5kC
QNTr+iHmOXPRldu3EeRF5TuO+aEzBY7W7M3CdZ5jxS+fsXOroXA8NJogpZ2hEhDkwbyfvszuXUeq
L3TiDZiqJkCq1tKyxXt5okNbz/Yhv4RQIAyyuzf8OFlw+GrkB7LAuAOHqk0sKtz12zN7aJGiHmaW
KIAyEQ6wl89oOeXI0mCWba6hp78wnS67wJWY4tRU4E4DEpK9c5gdWq6IDyBVitg7dPv3btUO8F+h
UBBVxm6Mcv7o5F7CKzeZcCDAY4pEYJ+iO3Hx888JDxNlCXNSDCvp5XN2sybfxBhERQluclJaN6B5
bOCd8bjQ7juXykObAy2CKJ+d1UleiSII7lWT7aPj0gZVopivHpLHTWNFrAEwPnhnKx5aJ89Hm7//
bCuCapsGE5po4DiEn/raOQ6z4L1M0Xtj7E2flKlr9C7GyL3xSMvsa0j6d7bb4UlDfSq22hyp2vN/
FNQVfG/WAVKaPlKnOe1onS255aytzNgSot/zfw4+EwrGfTh5qMPfScE+mzdAmktzmEXE/YJai06o
pISw2jsfzoHMAEpAcf8FUQFSAgg8vPx0Jt62Ge9dzFyhSLHW4OksiZk6COx7lH0SYF4UoE024lzn
PfsyKQ1tSVWo67ogwR1hPLg20N0D7BFqPkVUFwD/JVVYd1nsETVcNsbIpijrGN16TSuPQ6kyOwJk
Jn/n8nFgulDKhMgoauhQUrRfq0HQzSg5QZ68LXHFJlAUlaLw3/FJD9ncOXaNYoZdcM3Zmy4xIvTp
WRVCvOG48tC1EAWaJg2UoqUHrHR5kqIYAOJfUWW9Y5cOeKiIec3JazxhiLNtXqDP1gOydj40hRDO
Bg6iBKd6QuI8YBmwnxAi7lYK2NEiolNtGYkRKguVym7hKrBTBieLlBvm6wk3qEvIWupvbxsvyGFh
7JdRRwK1CzSJI0aGG8V++SINAUiiPcK3hksGgHdBzBYRCp78W9r4TQsUSGYbUdd2NACip/AvEQgd
v0yEqyPcgEs3gVh5+xE4qklt/R4cvVgPZmYmo98J/PYgKfSL7b7t+imqQLUA9GVoHOPCcwWfOXUD
9E8y12Ibyszhchp5cTlyGYQRxCvyhNKw24TWZITJaGbTgnkGMhwBzcXHonHpBcJTw9lgm+NCuXLY
hLkEtKtVwxoYJckA7m57hFPLBopuXXczZHxapH5VfEKilq41NBY+BoUvL1Al538JNR+wYYgiZzhF
3CvbYSHgOj5FO9BYycQxGwATxyk8R7pV3xlQwTRjs576W8NLrWPlGOYZMQLAXofQvhjHvrsEGIcX
X2vel2dSDlUCqFfKltU0dUAaI9taJRJQ5jNpkJpAyIfnYLaB60EiZvB6jPLJCdeWLl0Ak9M+DgFx
SQYYFr2YPNQ1HeXQjqLn+ZgrnTilCfA0sCu+DdXmItBHiPX7QA2i4UhuOzsTRSzStPkG9LfpfPIr
3YaRiRxBPKA9beY+m5c07cG/ZdAUPKo8i5sJiNggQyl/5Jc2Gbs+VoJVQMej+vwG9aj6tofpSUSQ
leAldb59NtT5CEeP1/ekoTUcc8bNyM9NBaSjnbuxr7JxkTIQeyyuvUti1CD+ZiOB7l7vikwtAl55
yEfanvzWOkZlRKRourWcgHCJKsi6XpWp8KBDpLplUEKlOmtNeW3Z1fTJKiDQ66A/xokGm6JYpBun
r71N6nOQleWiBnvz1LR687gP3A7JZzY2DcShPGuRllheHtXZtTtNU5i4ZgdY4WjD6i7aplA3lkar
scqIXGfaBgWmCSTyURr8+XVb9uhd1cDlSCoQhfAMK/9GEciLMwWxnxh0UGKhOpNW5LMsuuKy6jpM
7IC/gVwhAduTBaQQR4Gl2kDqEFRSds9tWq87m/QgxAyGLoCVcaBXN1D3GPhiG26mLd1YtEwcIU3A
0RnkVf3xiLr/M2tC40UNYGBsC0ZufT9DEWjQBk11yhGWy1ddqUFxp6AOWpGB9uJi4SlnvAOugT9a
2iwxeci7nVYpyOhT4dLTLGWoChyyMMuTeuyx03A3uZSpkxebSVvFaac9rWIjba0t8cRwZpHegv5L
DRnzCbjyhJNQXTcuMW5RSoRFOBUQywWYJ2QiErxGPZRvGFEOYrYJ3fHKfiA6LecOoEeX1HW1dRxp
XqEvucHtXIwTJGZJ9tgVqAddu2WIzjZQlwO+KNPBXXsjaG6xZKGOhOgtH3CwofNOpACKPY8UQnXX
rvZUXDojF2dceqMGogotOmtMdLPWRdOEN9hB4X1mOF6bMJY3UPBHnnVZh0DfZpEFUNGDDDO9yRAg
7zbQ3TcjUjXX/o71bOy4z6nS4CnpHQ/aqGY2tNpxossdM7qa8dHzYrkqd0xpvJup42BGTdc76nSz
I1BDNwg06mxHpm5mSLU346rljlytRnsMV8NUGeeoBBtHqPHmeVqBiF7X9RYpTvTggbSmm8smY7qM
a3ug0wJR0u4qq2cu95SPFaKiqdf5SzOzeLnkLUuhwy5HuRVZPfJjFHj5bpJCD3xMQk+CEwG2b/2F
c9eBQkTKs3MKOaX0DLcC5WxtCof+I2lKWq94QfxrQRpg7lVFx9MMnfOfzbFLxwUk/qs+0UYOTWTV
dD64sOCueWgq4TBk7lRURykEx75QLHd/ybx6qKPJ9VwjthvRrjtXowgR2rdDuGZKEexMj45bsJL8
HICnXjlJlzXqdshtOFc86CSA81buV7HwO29AWhKyWAkutZVx0yHj2x+XDXqrTyAKPwCgRbuhju00
haxIhrtIEHW+NaGwX3ipOjKF5WCGlQiABiVNSsHwHuh1TgPkykTft1u07w+ou1MZPQ9bqK3EVTuF
jySoWqhiDXYcshytCMAOZJumDLuPNkeRVkzVSORR0OVFEIOOWMOIhfbQrAcAybYctDIRcWoA/+uN
YrjQvVk5W8vNOxwYuAA+dC5v4RZbxWcWgrYYcW5Zy5BifpFkGo4yKwBbOJd1+oALow/EM2vak6m1
jAcN/Z3ZG6P9yVAYki6mZhAXnqP5DX5cJG6qW6gsoL1hA84c307Kx8fgs/zMHFJjiHonNx9Z1uUR
wYqJ+DQVcRfyfINmeHbcG53BkrZ1ADH12nQlCbfQCaahju3k/MvEhvwcjE4zrtI0wwTyZoCOE/CO
TtoaK5PZBo2syR3rldsVzk2rCrEMJRFwjHmTnnm9KJKS9GFsju7nhnO1KFxrResUS9bgCzMtkSHO
vCkG1iE9SW0UvqlmauMqJ8E32jnTCfe0AF7NaL71SlpxqTIH19vezTdcBOW9QAvBo2j84IJAw+em
0JYfhbqDsCcqwleOPxVXYQV0Hx1RDtG32kF9p+uee3XrXSBkEC4GkGI2zTBky5YOzaIxAvfY94zy
qCx8bwPgH9iEJnSyFwDUyWs1+0Ckl03s5uH0DRlFIw5Gbn/BWZQfBymSJ2XrA3/HcaINrBq2oaI3
qvTKpACmegGEPbukeVFFadHrUzoLHqg0GG/A1tQxPEp+Zkstt3nryIUp++XI6o0ES7t1MrTuolco
sUra3CJqalwq6R8jcuZGoznc8T5L436OfqchdZMQGyeRNWkXMEUsafK0sCPCAHfWhvxSAi4YFwMN
QZFM+V2Gww1ATTZ+YtY0bGrREbBKhbciqm03jA4WUkINzhq0JmZJZYzkyASHedGDcZiE2gA/3CI6
qlFRuRJ+qi9cAFO3fROAXjSmodjSanXfgtYB0jXsemgqvmlndffBNXUSrNoQ0g+xr3OgETijACer
KpYEd4S6kGBQCsq+ILwZxkz2xWoMA7pAI4ALkcPaPe7B/4yAwtZJlmOBO4C5Jhr5owhY4s8EZMPF
WPn9wmQ4NdEmJh9rbfoJC/z7wmvDhOfaS8A1d5Z219trK3eLI8+blT2ksNdOn3kJ7R2xxF2axTK1
x8sgrfIYM1hvRirsU69S3tJLDfcUSZvmvLftewLIeoR6zQb8VtIgt6u90xDGEp5mgOtPY1oLWuil
HrMohNTGqNW3ATYkmQa0KQyD/pgaCqEu4kZBb4qoHAN/hQ5uC0WAtUYSgInjsVYyUYBsbrF78ipC
0SQ76nRloIGV6BU8OAO1hBnKuICyBKhZtOkym3IPm99tx5i3VrZyaSiOhLSHs6pKsfoMLArGkU2O
mHTMtT9IdNd1hkAsm4PC/a1zlI+iTBQXMScc76BVppKmJpUfgaBnxJkLinNoTtYZDztyBm/B3wLF
IFcFdPC3VR6aWD96uu8qp/kMkHkdd35NQKHHyke3Z7rshjBbO6hnxNk45Mt6BAQAVTjowA+8cYEo
NHgrYAMgw+JUkELBHWKseLMcVWmtS1mQeEI940rYPsWtU0vAX+XMlOQF4v8dHhyKYgnj486362C3
Ks+Jq6ZtEGAYrfMA9Tf3HHAJyMgysgpSx7n2aK1PQ7tDjlS1wwKHLaoxATxEDthsq0ilWt6HgMhH
jZodr7zJEyW0tUBZEl+LfpRLELTlGmz0dNM7rDzlvVesi4w0PKpxkYv6HkWBShjjEp4ZyNkZ969t
sAVxC6raGMD7FLdsB5IvdlGpS6/lZVzYlB+N2N8PYsqa5TRCFQn1FY9Tr8ZjIzQEjSA9ItfIM8uF
V6TWckDGInbqnscsU3rRZ8ROOHCKkSxmthTvitMKNvOmN4s+oQqeSqSlY6vIdhpyQwOr2SC7RSPJ
YDlr+I130FLJj2zcT4HZtMbh2OuN5rhGmmrl0Bz87RJHks/a+qw2puGiAbF5ObXDGLVDiGmC1FXM
5mPKo/AovGDOdbJeL1sHZVdADCFQxsO2VLix8+7O5Fl9jP8Dwbcl6TVEgb/Cojnr0OrztQdAG0l6
rKNHRwXFtkFRV1yXqI11c6dd0x41JboMuocws/IT1jNn2XFCj3HqeZGPIPZZ7Yf0RLM6uIN/DS6u
z8Zsk7Wp/N4a9f+Y2Ih6RgRTfWQK/+vXv34vRHuFbNw04h+/Ff/47e4fvz08Jzf+63ef0I3OByiU
4srrQWkAyqsBAozf0Y2B/SGAABhWqwNhnQAhwN/RjQ74jGg4QzgKnUNzkA0hqwb3Lfa3v+BbqA5B
sARlkDO50SE/g24M5/Dmi/AL/igPWQCLoDjjgPwiLHUV5KRbicwoViad2Hpwg/6kcZhzwkvrq6N9
+7Kz03bNKl+tDSgLJ0iqDajjtW2JCxd077hjyUszEImDdOUZq9mRoVDklE19Dxxa52wrRG5Opqps
TsOAg18Mdu/laDX1iYsiN1xeVH3lVx5q8AM3XZgutU6lbJ0bt+cr0xY3YJCgLhzOSewUUkepOXxW
VfMV9/oTpUq1rTpXAoOLuweoDp/BhUZuPKPkhnReHXnaAX4cYnMrFAg2Z10F7Y7et9AMnI8njYY6
La+O5n+Z6xRriM2KOA0NtkApPQVfoL12jHKTZSJAbDJo7gJBxBZxMY8vBxsI13aSGkUOkwcyj91B
lAOZQOOWUZut6oCTE1y/3c8UtVtx2Hfe7M6ifNCuqnP4h+FWtbbdw1G17W8pV/IOZHaJqJU3kdtM
tyBNsppfN46VxaVQ8JINhCEGZSN4SHCuciTDqP2VdZJFKaftJfDVSOeMjvM9QvpTW/yE3yt4I9/a
v86/dl9Wo+KUtb++/LL5/jVKN+cd8+IL+AMAnl50j2q8fER19dOvPv3oq+/inf619c5LLtur8j/7
obff6AnEejVWALHePhRcJrxpFb9vn2/rAAp92Lx7FmH3Z+2e6K13EXCv2u4Bb2/7H5CmxY5Gfdzu
hWioKCV9+rZPPszduwjQBqhlwev7eE8f0zyh/24e3n7EH9P91ny+eID7spPt/DFRXsrn04CSlz82
BXvv8GwKwg+wArPwIezX/EJ+dX8KoH8M/a3vMwSDBSP8Pz8F/3YlPBn4PzgPe2/zbB7IB2QlIZCK
2oDvr5fz4H1AQQysP4pwdq//raWw9wCPu028efjbX7AjULGLT+/FGfmzO8IxP+AJ0ToAD+rANOCM
RBPIjFh6Wi04I/9vLQdMA3ookQr+c9PgfkDVGhLxiO3tXi93BaZhLu+Y6xl/elf8ga3zu6mFEyQe
dkaWPzbPLPW7P/DD/rx+gye7Mq+Y2Xi8+MHZ5n5/6+/Lav761xcLbrfxn33zhyHYjfP0608P+Hro
F2P9eKof/7nmj+pW3bNx943x6c98F8e9W/4Hz4rfP/+33vm8k9nt3XOL+vs2+tdTvjqG/tBbH7Hx
7lH9cn6bs7aDkpq+3Rvm+zL9s8P8fbp9+OXotmEFVy8HcHHtwz74swOsuMB5aES3AlL97e3L4weG
Au0xsL1/dhS8fXfPDgywu/n/NwywfHzAAhNi/OXv850CIz2qx4dfrhS/uxW//F3BO/jxFLu98d3l
wH3gzz7ZH3BM3lzEh7bT7wfw6032425x6NdeWpD5J+7F46369Z8AAAD//w==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4800">
              <a:solidFill>
                <a:schemeClr val="tx1"/>
              </a:solidFill>
              <a:latin typeface="Cambria Math" panose="02040503050406030204" pitchFamily="18" charset="0"/>
              <a:ea typeface="Cambria Math" panose="02040503050406030204" pitchFamily="18" charset="0"/>
              <a:cs typeface="Cambria Math" panose="02040503050406030204" pitchFamily="18" charset="0"/>
            </a:defRPr>
          </a:pPr>
          <a:endParaRPr lang="en-US" sz="4800" b="0" i="0" u="none" strike="noStrike" baseline="0">
            <a:solidFill>
              <a:schemeClr val="tx1"/>
            </a:solidFill>
            <a:latin typeface="Cambria Math" panose="02040503050406030204" pitchFamily="18" charset="0"/>
            <a:ea typeface="Cambria Math" panose="02040503050406030204" pitchFamily="18" charset="0"/>
          </a:endParaRPr>
        </a:p>
      </cx:txPr>
    </cx:legend>
  </cx:chart>
  <cx:spPr>
    <a:noFill/>
    <a:ln>
      <a:noFill/>
    </a:ln>
    <a:effectLst>
      <a:softEdge rad="31750"/>
    </a:effectLst>
  </cx:spPr>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266700</xdr:colOff>
      <xdr:row>5</xdr:row>
      <xdr:rowOff>152400</xdr:rowOff>
    </xdr:from>
    <xdr:to>
      <xdr:col>5</xdr:col>
      <xdr:colOff>495300</xdr:colOff>
      <xdr:row>182</xdr:row>
      <xdr:rowOff>152400</xdr:rowOff>
    </xdr:to>
    <xdr:sp macro="" textlink="">
      <xdr:nvSpPr>
        <xdr:cNvPr id="30" name="TextBox 29">
          <a:extLst>
            <a:ext uri="{FF2B5EF4-FFF2-40B4-BE49-F238E27FC236}">
              <a16:creationId xmlns:a16="http://schemas.microsoft.com/office/drawing/2014/main" id="{9CE08ED1-2315-CA7E-EF3D-2FFD8F7A4A29}"/>
            </a:ext>
          </a:extLst>
        </xdr:cNvPr>
        <xdr:cNvSpPr txBox="1"/>
      </xdr:nvSpPr>
      <xdr:spPr>
        <a:xfrm>
          <a:off x="266700" y="1104900"/>
          <a:ext cx="3276600" cy="33718500"/>
        </a:xfrm>
        <a:prstGeom prst="roundRect">
          <a:avLst/>
        </a:prstGeom>
        <a:solidFill>
          <a:schemeClr val="bg1"/>
        </a:solidFill>
        <a:ln w="9525" cmpd="sng">
          <a:noFill/>
        </a:ln>
        <a:effectLst>
          <a:outerShdw blurRad="190500" dist="228600" dir="2700000" algn="ctr">
            <a:srgbClr val="000000">
              <a:alpha val="30000"/>
            </a:srgbClr>
          </a:outerShdw>
        </a:effectLst>
        <a:scene3d>
          <a:camera prst="perspectiveFront"/>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vert="wordArtVert" wrap="square" rtlCol="0" anchor="ctr"/>
        <a:lstStyle/>
        <a:p>
          <a:pPr algn="ctr"/>
          <a:r>
            <a:rPr lang="en-US" sz="10500" b="0" cap="none" spc="0">
              <a:ln w="0"/>
              <a:solidFill>
                <a:schemeClr val="accent3"/>
              </a:solidFill>
              <a:effectLst>
                <a:glow rad="63500">
                  <a:schemeClr val="accent6">
                    <a:satMod val="175000"/>
                    <a:alpha val="40000"/>
                  </a:schemeClr>
                </a:glow>
                <a:outerShdw blurRad="50800" dist="38100" dir="5400000" algn="t" rotWithShape="0">
                  <a:prstClr val="black">
                    <a:alpha val="40000"/>
                  </a:prstClr>
                </a:outerShdw>
              </a:effectLst>
              <a:latin typeface="Cambria Math" panose="02040503050406030204" pitchFamily="18" charset="0"/>
              <a:ea typeface="Cambria Math" panose="02040503050406030204" pitchFamily="18" charset="0"/>
            </a:rPr>
            <a:t>SALES DATA 2023</a:t>
          </a:r>
          <a:endParaRPr lang="en-PK" sz="10500" b="0" cap="none" spc="0">
            <a:ln w="0"/>
            <a:solidFill>
              <a:schemeClr val="accent3"/>
            </a:solidFill>
            <a:effectLst>
              <a:glow rad="63500">
                <a:schemeClr val="accent6">
                  <a:satMod val="175000"/>
                  <a:alpha val="40000"/>
                </a:schemeClr>
              </a:glow>
              <a:outerShdw blurRad="50800" dist="38100" dir="5400000" algn="t" rotWithShape="0">
                <a:prstClr val="black">
                  <a:alpha val="40000"/>
                </a:prstClr>
              </a:outerShdw>
            </a:effectLst>
            <a:latin typeface="Cambria Math" panose="02040503050406030204" pitchFamily="18" charset="0"/>
            <a:ea typeface="Cambria Math" panose="02040503050406030204" pitchFamily="18" charset="0"/>
          </a:endParaRPr>
        </a:p>
      </xdr:txBody>
    </xdr:sp>
    <xdr:clientData/>
  </xdr:twoCellAnchor>
  <xdr:twoCellAnchor>
    <xdr:from>
      <xdr:col>6</xdr:col>
      <xdr:colOff>412423</xdr:colOff>
      <xdr:row>58</xdr:row>
      <xdr:rowOff>114300</xdr:rowOff>
    </xdr:from>
    <xdr:to>
      <xdr:col>55</xdr:col>
      <xdr:colOff>457200</xdr:colOff>
      <xdr:row>120</xdr:row>
      <xdr:rowOff>152399</xdr:rowOff>
    </xdr:to>
    <xdr:sp macro="" textlink="">
      <xdr:nvSpPr>
        <xdr:cNvPr id="11" name="Rectangle: Rounded Corners 10">
          <a:extLst>
            <a:ext uri="{FF2B5EF4-FFF2-40B4-BE49-F238E27FC236}">
              <a16:creationId xmlns:a16="http://schemas.microsoft.com/office/drawing/2014/main" id="{BB9B885A-467A-44BE-BA4F-5E7B2BC0D8F2}"/>
            </a:ext>
          </a:extLst>
        </xdr:cNvPr>
        <xdr:cNvSpPr/>
      </xdr:nvSpPr>
      <xdr:spPr>
        <a:xfrm>
          <a:off x="4070023" y="11163300"/>
          <a:ext cx="29915177" cy="11849099"/>
        </a:xfrm>
        <a:prstGeom prst="roundRect">
          <a:avLst/>
        </a:prstGeom>
        <a:solidFill>
          <a:schemeClr val="bg1"/>
        </a:solidFill>
        <a:ln>
          <a:solidFill>
            <a:schemeClr val="bg1"/>
          </a:solidFill>
        </a:ln>
        <a:effectLst>
          <a:outerShdw blurRad="508000" dir="21540000" sx="102000" sy="102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6</xdr:col>
      <xdr:colOff>488623</xdr:colOff>
      <xdr:row>124</xdr:row>
      <xdr:rowOff>15151</xdr:rowOff>
    </xdr:from>
    <xdr:to>
      <xdr:col>26</xdr:col>
      <xdr:colOff>495300</xdr:colOff>
      <xdr:row>179</xdr:row>
      <xdr:rowOff>61050</xdr:rowOff>
    </xdr:to>
    <xdr:sp macro="" textlink="">
      <xdr:nvSpPr>
        <xdr:cNvPr id="3" name="Rectangle: Rounded Corners 2">
          <a:extLst>
            <a:ext uri="{FF2B5EF4-FFF2-40B4-BE49-F238E27FC236}">
              <a16:creationId xmlns:a16="http://schemas.microsoft.com/office/drawing/2014/main" id="{484A0638-2EE5-41EB-995D-15E7F7A9195E}"/>
            </a:ext>
          </a:extLst>
        </xdr:cNvPr>
        <xdr:cNvSpPr/>
      </xdr:nvSpPr>
      <xdr:spPr>
        <a:xfrm>
          <a:off x="4146223" y="23637151"/>
          <a:ext cx="12198677" cy="10523399"/>
        </a:xfrm>
        <a:prstGeom prst="roundRect">
          <a:avLst/>
        </a:prstGeom>
        <a:solidFill>
          <a:schemeClr val="bg1"/>
        </a:solidFill>
        <a:ln>
          <a:solidFill>
            <a:schemeClr val="bg1"/>
          </a:solidFill>
        </a:ln>
        <a:effectLst>
          <a:outerShdw blurRad="508000" dir="21540000" sx="102000" sy="102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65</xdr:col>
      <xdr:colOff>38100</xdr:colOff>
      <xdr:row>38</xdr:row>
      <xdr:rowOff>133350</xdr:rowOff>
    </xdr:from>
    <xdr:to>
      <xdr:col>82</xdr:col>
      <xdr:colOff>392442</xdr:colOff>
      <xdr:row>55</xdr:row>
      <xdr:rowOff>45030</xdr:rowOff>
    </xdr:to>
    <xdr:sp macro="" textlink="'Pivot Table'!H4">
      <xdr:nvSpPr>
        <xdr:cNvPr id="8" name="Rectangle: Rounded Corners 7">
          <a:extLst>
            <a:ext uri="{FF2B5EF4-FFF2-40B4-BE49-F238E27FC236}">
              <a16:creationId xmlns:a16="http://schemas.microsoft.com/office/drawing/2014/main" id="{39C0CC93-3831-40FD-9BD0-2B555BE3B815}"/>
            </a:ext>
          </a:extLst>
        </xdr:cNvPr>
        <xdr:cNvSpPr/>
      </xdr:nvSpPr>
      <xdr:spPr>
        <a:xfrm>
          <a:off x="39662100" y="7372350"/>
          <a:ext cx="10717542" cy="3150180"/>
        </a:xfrm>
        <a:prstGeom prst="roundRect">
          <a:avLst/>
        </a:prstGeom>
        <a:solidFill>
          <a:schemeClr val="bg1"/>
        </a:solidFill>
        <a:ln>
          <a:solidFill>
            <a:schemeClr val="bg1"/>
          </a:solidFill>
        </a:ln>
        <a:effectLst>
          <a:outerShdw blurRad="508000" dist="38100" dir="8160000" sx="105000" sy="105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AC71F40-F8C8-43A3-88A5-A315E450E67D}" type="TxLink">
            <a:rPr lang="en-US" sz="10500" b="1" i="0" u="none" strike="noStrike">
              <a:solidFill>
                <a:schemeClr val="accent6">
                  <a:lumMod val="75000"/>
                </a:schemeClr>
              </a:solidFill>
              <a:latin typeface="Cambria Math" panose="02040503050406030204" pitchFamily="18" charset="0"/>
              <a:ea typeface="Cambria Math" panose="02040503050406030204" pitchFamily="18" charset="0"/>
            </a:rPr>
            <a:t>Karachi</a:t>
          </a:fld>
          <a:endParaRPr lang="en-US" sz="10500" b="1">
            <a:solidFill>
              <a:schemeClr val="accent6">
                <a:lumMod val="75000"/>
              </a:schemeClr>
            </a:solidFill>
            <a:latin typeface="Cambria Math" panose="02040503050406030204" pitchFamily="18" charset="0"/>
            <a:ea typeface="Cambria Math" panose="02040503050406030204" pitchFamily="18" charset="0"/>
          </a:endParaRPr>
        </a:p>
      </xdr:txBody>
    </xdr:sp>
    <xdr:clientData/>
  </xdr:twoCellAnchor>
  <xdr:twoCellAnchor>
    <xdr:from>
      <xdr:col>45</xdr:col>
      <xdr:colOff>419100</xdr:colOff>
      <xdr:row>38</xdr:row>
      <xdr:rowOff>133350</xdr:rowOff>
    </xdr:from>
    <xdr:to>
      <xdr:col>63</xdr:col>
      <xdr:colOff>163842</xdr:colOff>
      <xdr:row>55</xdr:row>
      <xdr:rowOff>45030</xdr:rowOff>
    </xdr:to>
    <xdr:sp macro="" textlink="'Pivot Table'!E4">
      <xdr:nvSpPr>
        <xdr:cNvPr id="9" name="Rectangle: Rounded Corners 8">
          <a:extLst>
            <a:ext uri="{FF2B5EF4-FFF2-40B4-BE49-F238E27FC236}">
              <a16:creationId xmlns:a16="http://schemas.microsoft.com/office/drawing/2014/main" id="{9D6AE02C-7D55-4C52-A5A7-0A87B4C9CAC8}"/>
            </a:ext>
          </a:extLst>
        </xdr:cNvPr>
        <xdr:cNvSpPr/>
      </xdr:nvSpPr>
      <xdr:spPr>
        <a:xfrm>
          <a:off x="27851100" y="7372350"/>
          <a:ext cx="10717542" cy="3150180"/>
        </a:xfrm>
        <a:prstGeom prst="roundRect">
          <a:avLst/>
        </a:prstGeom>
        <a:solidFill>
          <a:schemeClr val="bg1"/>
        </a:solidFill>
        <a:ln>
          <a:solidFill>
            <a:schemeClr val="bg1"/>
          </a:solidFill>
        </a:ln>
        <a:effectLst>
          <a:outerShdw blurRad="508000" dist="38100" dir="8160000" sx="105000" sy="105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2EE206B-C617-4842-892B-D1EC4B1C314E}" type="TxLink">
            <a:rPr lang="en-US" sz="10500" b="1" i="0" u="none" strike="noStrike">
              <a:solidFill>
                <a:schemeClr val="accent6">
                  <a:lumMod val="75000"/>
                </a:schemeClr>
              </a:solidFill>
              <a:latin typeface="Cambria Math" panose="02040503050406030204" pitchFamily="18" charset="0"/>
              <a:ea typeface="Cambria Math" panose="02040503050406030204" pitchFamily="18" charset="0"/>
            </a:rPr>
            <a:t>Furniture</a:t>
          </a:fld>
          <a:endParaRPr lang="en-US" sz="10500" b="1">
            <a:solidFill>
              <a:schemeClr val="accent6">
                <a:lumMod val="75000"/>
              </a:schemeClr>
            </a:solidFill>
            <a:latin typeface="Cambria Math" panose="02040503050406030204" pitchFamily="18" charset="0"/>
            <a:ea typeface="Cambria Math" panose="02040503050406030204" pitchFamily="18" charset="0"/>
          </a:endParaRPr>
        </a:p>
      </xdr:txBody>
    </xdr:sp>
    <xdr:clientData/>
  </xdr:twoCellAnchor>
  <xdr:twoCellAnchor>
    <xdr:from>
      <xdr:col>58</xdr:col>
      <xdr:colOff>304800</xdr:colOff>
      <xdr:row>60</xdr:row>
      <xdr:rowOff>92344</xdr:rowOff>
    </xdr:from>
    <xdr:to>
      <xdr:col>82</xdr:col>
      <xdr:colOff>0</xdr:colOff>
      <xdr:row>119</xdr:row>
      <xdr:rowOff>16144</xdr:rowOff>
    </xdr:to>
    <xdr:sp macro="" textlink="">
      <xdr:nvSpPr>
        <xdr:cNvPr id="14" name="Rectangle: Rounded Corners 13">
          <a:extLst>
            <a:ext uri="{FF2B5EF4-FFF2-40B4-BE49-F238E27FC236}">
              <a16:creationId xmlns:a16="http://schemas.microsoft.com/office/drawing/2014/main" id="{685130B8-4404-499D-923E-F3CD6B6EB5C9}"/>
            </a:ext>
          </a:extLst>
        </xdr:cNvPr>
        <xdr:cNvSpPr/>
      </xdr:nvSpPr>
      <xdr:spPr>
        <a:xfrm>
          <a:off x="35661600" y="11522344"/>
          <a:ext cx="14325600" cy="11163300"/>
        </a:xfrm>
        <a:prstGeom prst="roundRect">
          <a:avLst/>
        </a:prstGeom>
        <a:solidFill>
          <a:schemeClr val="bg1"/>
        </a:solidFill>
        <a:ln>
          <a:solidFill>
            <a:schemeClr val="bg1"/>
          </a:solidFill>
        </a:ln>
        <a:effectLst>
          <a:outerShdw blurRad="508000" dir="21540000" sx="102000" sy="102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29</xdr:col>
      <xdr:colOff>266700</xdr:colOff>
      <xdr:row>123</xdr:row>
      <xdr:rowOff>133351</xdr:rowOff>
    </xdr:from>
    <xdr:to>
      <xdr:col>84</xdr:col>
      <xdr:colOff>342900</xdr:colOff>
      <xdr:row>179</xdr:row>
      <xdr:rowOff>133350</xdr:rowOff>
    </xdr:to>
    <xdr:sp macro="" textlink="">
      <xdr:nvSpPr>
        <xdr:cNvPr id="15" name="Rectangle: Rounded Corners 14">
          <a:extLst>
            <a:ext uri="{FF2B5EF4-FFF2-40B4-BE49-F238E27FC236}">
              <a16:creationId xmlns:a16="http://schemas.microsoft.com/office/drawing/2014/main" id="{24C5B832-B121-42FF-AEE0-B46066625D5D}"/>
            </a:ext>
          </a:extLst>
        </xdr:cNvPr>
        <xdr:cNvSpPr/>
      </xdr:nvSpPr>
      <xdr:spPr>
        <a:xfrm>
          <a:off x="17945100" y="23564851"/>
          <a:ext cx="33604200" cy="10667999"/>
        </a:xfrm>
        <a:prstGeom prst="roundRect">
          <a:avLst/>
        </a:prstGeom>
        <a:solidFill>
          <a:schemeClr val="bg1"/>
        </a:solidFill>
        <a:ln>
          <a:solidFill>
            <a:schemeClr val="bg1"/>
          </a:solidFill>
        </a:ln>
        <a:effectLst>
          <a:outerShdw blurRad="508000" dir="21540000" sx="102000" sy="102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84</xdr:col>
      <xdr:colOff>266700</xdr:colOff>
      <xdr:row>30</xdr:row>
      <xdr:rowOff>38100</xdr:rowOff>
    </xdr:from>
    <xdr:to>
      <xdr:col>117</xdr:col>
      <xdr:colOff>457200</xdr:colOff>
      <xdr:row>120</xdr:row>
      <xdr:rowOff>152400</xdr:rowOff>
    </xdr:to>
    <xdr:sp macro="" textlink="">
      <xdr:nvSpPr>
        <xdr:cNvPr id="16" name="Rectangle: Rounded Corners 15">
          <a:extLst>
            <a:ext uri="{FF2B5EF4-FFF2-40B4-BE49-F238E27FC236}">
              <a16:creationId xmlns:a16="http://schemas.microsoft.com/office/drawing/2014/main" id="{D5927C0C-D0BA-499C-9496-C7531F8AC062}"/>
            </a:ext>
          </a:extLst>
        </xdr:cNvPr>
        <xdr:cNvSpPr/>
      </xdr:nvSpPr>
      <xdr:spPr>
        <a:xfrm>
          <a:off x="51473100" y="5753100"/>
          <a:ext cx="20307300" cy="17259300"/>
        </a:xfrm>
        <a:prstGeom prst="roundRect">
          <a:avLst/>
        </a:prstGeom>
        <a:solidFill>
          <a:schemeClr val="bg1"/>
        </a:solidFill>
        <a:ln>
          <a:solidFill>
            <a:schemeClr val="bg1"/>
          </a:solidFill>
        </a:ln>
        <a:effectLst>
          <a:outerShdw blurRad="508000" dir="21540000" sx="102000" sy="102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87</xdr:col>
      <xdr:colOff>400050</xdr:colOff>
      <xdr:row>124</xdr:row>
      <xdr:rowOff>19050</xdr:rowOff>
    </xdr:from>
    <xdr:to>
      <xdr:col>113</xdr:col>
      <xdr:colOff>590550</xdr:colOff>
      <xdr:row>179</xdr:row>
      <xdr:rowOff>57150</xdr:rowOff>
    </xdr:to>
    <xdr:sp macro="" textlink="">
      <xdr:nvSpPr>
        <xdr:cNvPr id="17" name="Rectangle: Rounded Corners 16">
          <a:extLst>
            <a:ext uri="{FF2B5EF4-FFF2-40B4-BE49-F238E27FC236}">
              <a16:creationId xmlns:a16="http://schemas.microsoft.com/office/drawing/2014/main" id="{0537E63C-AFFD-4891-9160-940E16FF58A0}"/>
            </a:ext>
          </a:extLst>
        </xdr:cNvPr>
        <xdr:cNvSpPr/>
      </xdr:nvSpPr>
      <xdr:spPr>
        <a:xfrm>
          <a:off x="53435250" y="23641050"/>
          <a:ext cx="16040100" cy="10515600"/>
        </a:xfrm>
        <a:prstGeom prst="roundRect">
          <a:avLst/>
        </a:prstGeom>
        <a:solidFill>
          <a:schemeClr val="bg1"/>
        </a:solidFill>
        <a:ln>
          <a:solidFill>
            <a:schemeClr val="bg1"/>
          </a:solidFill>
        </a:ln>
        <a:effectLst>
          <a:outerShdw blurRad="508000" dir="21540000" sx="102000" sy="102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6</xdr:col>
      <xdr:colOff>374323</xdr:colOff>
      <xdr:row>38</xdr:row>
      <xdr:rowOff>133350</xdr:rowOff>
    </xdr:from>
    <xdr:to>
      <xdr:col>24</xdr:col>
      <xdr:colOff>119065</xdr:colOff>
      <xdr:row>55</xdr:row>
      <xdr:rowOff>45030</xdr:rowOff>
    </xdr:to>
    <xdr:grpSp>
      <xdr:nvGrpSpPr>
        <xdr:cNvPr id="5" name="Group 4">
          <a:extLst>
            <a:ext uri="{FF2B5EF4-FFF2-40B4-BE49-F238E27FC236}">
              <a16:creationId xmlns:a16="http://schemas.microsoft.com/office/drawing/2014/main" id="{0EF865F1-4E63-03C6-168A-5A90DF5BBF68}"/>
            </a:ext>
          </a:extLst>
        </xdr:cNvPr>
        <xdr:cNvGrpSpPr/>
      </xdr:nvGrpSpPr>
      <xdr:grpSpPr>
        <a:xfrm>
          <a:off x="4031923" y="7372350"/>
          <a:ext cx="10717542" cy="3150180"/>
          <a:chOff x="4031923" y="2266950"/>
          <a:chExt cx="10717542" cy="3150180"/>
        </a:xfrm>
      </xdr:grpSpPr>
      <xdr:sp macro="" textlink="'Pivot Table'!A5">
        <xdr:nvSpPr>
          <xdr:cNvPr id="2" name="Rectangle: Rounded Corners 1">
            <a:extLst>
              <a:ext uri="{FF2B5EF4-FFF2-40B4-BE49-F238E27FC236}">
                <a16:creationId xmlns:a16="http://schemas.microsoft.com/office/drawing/2014/main" id="{3C0E128F-49A7-743F-1774-CC988F41869F}"/>
              </a:ext>
            </a:extLst>
          </xdr:cNvPr>
          <xdr:cNvSpPr/>
        </xdr:nvSpPr>
        <xdr:spPr>
          <a:xfrm>
            <a:off x="4031923" y="2266950"/>
            <a:ext cx="10717542" cy="3150180"/>
          </a:xfrm>
          <a:prstGeom prst="roundRect">
            <a:avLst/>
          </a:prstGeom>
          <a:solidFill>
            <a:schemeClr val="bg1"/>
          </a:solidFill>
          <a:ln>
            <a:solidFill>
              <a:schemeClr val="bg1"/>
            </a:solidFill>
          </a:ln>
          <a:effectLst>
            <a:outerShdw blurRad="508000" dist="38100" dir="8160000" sx="105000" sy="105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0500" b="1" i="0" u="none" strike="noStrike" baseline="0">
                <a:solidFill>
                  <a:schemeClr val="accent6">
                    <a:lumMod val="75000"/>
                  </a:schemeClr>
                </a:solidFill>
                <a:latin typeface="Cambria Math" panose="02040503050406030204" pitchFamily="18" charset="0"/>
                <a:ea typeface="Cambria Math" panose="02040503050406030204" pitchFamily="18" charset="0"/>
              </a:rPr>
              <a:t>       </a:t>
            </a:r>
            <a:fld id="{CF62BC04-5F88-4C71-AD52-3A67E3D17D04}" type="TxLink">
              <a:rPr lang="en-US" sz="10500" b="1" i="0" u="none" strike="noStrike">
                <a:solidFill>
                  <a:schemeClr val="accent6">
                    <a:lumMod val="75000"/>
                  </a:schemeClr>
                </a:solidFill>
                <a:latin typeface="Cambria Math" panose="02040503050406030204" pitchFamily="18" charset="0"/>
                <a:ea typeface="Cambria Math" panose="02040503050406030204" pitchFamily="18" charset="0"/>
              </a:rPr>
              <a:pPr algn="l"/>
              <a:t>$27.34M</a:t>
            </a:fld>
            <a:endParaRPr lang="en-US" sz="10500" b="1">
              <a:solidFill>
                <a:schemeClr val="accent6">
                  <a:lumMod val="75000"/>
                </a:schemeClr>
              </a:solidFill>
              <a:latin typeface="Cambria Math" panose="02040503050406030204" pitchFamily="18" charset="0"/>
              <a:ea typeface="Cambria Math" panose="02040503050406030204" pitchFamily="18" charset="0"/>
            </a:endParaRPr>
          </a:p>
        </xdr:txBody>
      </xdr:sp>
      <xdr:pic>
        <xdr:nvPicPr>
          <xdr:cNvPr id="4" name="Graphic 3" descr="Upward trend">
            <a:extLst>
              <a:ext uri="{FF2B5EF4-FFF2-40B4-BE49-F238E27FC236}">
                <a16:creationId xmlns:a16="http://schemas.microsoft.com/office/drawing/2014/main" id="{4B9442A7-9091-4A28-BBDC-A608E6BB0F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54876" y="3681284"/>
            <a:ext cx="1538417" cy="1538416"/>
          </a:xfrm>
          <a:prstGeom prst="rect">
            <a:avLst/>
          </a:prstGeom>
          <a:effectLst>
            <a:outerShdw dist="50800" dir="5400000" sx="200000" sy="200000" algn="ctr" rotWithShape="0">
              <a:srgbClr val="000000">
                <a:alpha val="0"/>
              </a:srgbClr>
            </a:outerShdw>
          </a:effectLst>
        </xdr:spPr>
      </xdr:pic>
    </xdr:grpSp>
    <xdr:clientData/>
  </xdr:twoCellAnchor>
  <xdr:twoCellAnchor>
    <xdr:from>
      <xdr:col>8</xdr:col>
      <xdr:colOff>151444</xdr:colOff>
      <xdr:row>39</xdr:row>
      <xdr:rowOff>38100</xdr:rowOff>
    </xdr:from>
    <xdr:to>
      <xdr:col>22</xdr:col>
      <xdr:colOff>494344</xdr:colOff>
      <xdr:row>46</xdr:row>
      <xdr:rowOff>152400</xdr:rowOff>
    </xdr:to>
    <xdr:sp macro="" textlink="">
      <xdr:nvSpPr>
        <xdr:cNvPr id="6" name="Rectangle 5">
          <a:extLst>
            <a:ext uri="{FF2B5EF4-FFF2-40B4-BE49-F238E27FC236}">
              <a16:creationId xmlns:a16="http://schemas.microsoft.com/office/drawing/2014/main" id="{EC8DCDDF-F49E-4DC7-B6DE-1A85D2DEC06E}"/>
            </a:ext>
          </a:extLst>
        </xdr:cNvPr>
        <xdr:cNvSpPr/>
      </xdr:nvSpPr>
      <xdr:spPr>
        <a:xfrm>
          <a:off x="5028244" y="7467600"/>
          <a:ext cx="8877300" cy="1447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100" b="1">
              <a:solidFill>
                <a:schemeClr val="tx1"/>
              </a:solidFill>
              <a:latin typeface="Cambria Math" panose="02040503050406030204" pitchFamily="18" charset="0"/>
              <a:ea typeface="Cambria Math" panose="02040503050406030204" pitchFamily="18" charset="0"/>
            </a:rPr>
            <a:t>Total</a:t>
          </a:r>
          <a:r>
            <a:rPr lang="en-US" sz="8100" b="1" baseline="0">
              <a:solidFill>
                <a:schemeClr val="tx1"/>
              </a:solidFill>
              <a:latin typeface="Cambria Math" panose="02040503050406030204" pitchFamily="18" charset="0"/>
              <a:ea typeface="Cambria Math" panose="02040503050406030204" pitchFamily="18" charset="0"/>
            </a:rPr>
            <a:t> Sales of 2023</a:t>
          </a:r>
          <a:endParaRPr lang="en-PK" sz="8100" b="1">
            <a:solidFill>
              <a:schemeClr val="tx1"/>
            </a:solidFill>
            <a:latin typeface="Cambria Math" panose="02040503050406030204" pitchFamily="18" charset="0"/>
            <a:ea typeface="Cambria Math" panose="02040503050406030204" pitchFamily="18" charset="0"/>
          </a:endParaRPr>
        </a:p>
      </xdr:txBody>
    </xdr:sp>
    <xdr:clientData/>
  </xdr:twoCellAnchor>
  <xdr:twoCellAnchor>
    <xdr:from>
      <xdr:col>26</xdr:col>
      <xdr:colOff>38100</xdr:colOff>
      <xdr:row>38</xdr:row>
      <xdr:rowOff>133350</xdr:rowOff>
    </xdr:from>
    <xdr:to>
      <xdr:col>43</xdr:col>
      <xdr:colOff>392442</xdr:colOff>
      <xdr:row>55</xdr:row>
      <xdr:rowOff>45030</xdr:rowOff>
    </xdr:to>
    <xdr:grpSp>
      <xdr:nvGrpSpPr>
        <xdr:cNvPr id="12" name="Group 11">
          <a:extLst>
            <a:ext uri="{FF2B5EF4-FFF2-40B4-BE49-F238E27FC236}">
              <a16:creationId xmlns:a16="http://schemas.microsoft.com/office/drawing/2014/main" id="{139D566E-06EA-C454-FE1B-41B3B680DB04}"/>
            </a:ext>
          </a:extLst>
        </xdr:cNvPr>
        <xdr:cNvGrpSpPr/>
      </xdr:nvGrpSpPr>
      <xdr:grpSpPr>
        <a:xfrm>
          <a:off x="15887700" y="7372350"/>
          <a:ext cx="10717542" cy="3150180"/>
          <a:chOff x="15887700" y="2266950"/>
          <a:chExt cx="10717542" cy="3150180"/>
        </a:xfrm>
      </xdr:grpSpPr>
      <xdr:sp macro="" textlink="'Pivot Table'!C5">
        <xdr:nvSpPr>
          <xdr:cNvPr id="13" name="Rectangle: Rounded Corners 12">
            <a:extLst>
              <a:ext uri="{FF2B5EF4-FFF2-40B4-BE49-F238E27FC236}">
                <a16:creationId xmlns:a16="http://schemas.microsoft.com/office/drawing/2014/main" id="{0D8C901E-3A5E-4524-B883-FE3340A75B43}"/>
              </a:ext>
            </a:extLst>
          </xdr:cNvPr>
          <xdr:cNvSpPr/>
        </xdr:nvSpPr>
        <xdr:spPr>
          <a:xfrm>
            <a:off x="15887700" y="2266950"/>
            <a:ext cx="10717542" cy="3150180"/>
          </a:xfrm>
          <a:prstGeom prst="roundRect">
            <a:avLst/>
          </a:prstGeom>
          <a:solidFill>
            <a:schemeClr val="bg1"/>
          </a:solidFill>
          <a:ln>
            <a:solidFill>
              <a:schemeClr val="bg1"/>
            </a:solidFill>
          </a:ln>
          <a:effectLst>
            <a:outerShdw blurRad="508000" dist="38100" dir="8160000" sx="105000" sy="105000" algn="tl" rotWithShape="0">
              <a:prstClr val="black">
                <a:alpha val="15000"/>
              </a:prstClr>
            </a:outerShdw>
            <a:softEdge rad="1270000"/>
          </a:effectLst>
          <a:scene3d>
            <a:camera prst="perspectiveFront"/>
            <a:lightRig rig="glow" dir="t">
              <a:rot lat="0" lon="0" rev="4800000"/>
            </a:lightRig>
          </a:scene3d>
          <a:sp3d prstMaterial="matte">
            <a:bevelT w="127000" h="635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0500" b="1" i="0" u="none" strike="noStrike">
                <a:solidFill>
                  <a:schemeClr val="accent6">
                    <a:lumMod val="75000"/>
                  </a:schemeClr>
                </a:solidFill>
                <a:latin typeface="Cambria Math" panose="02040503050406030204" pitchFamily="18" charset="0"/>
                <a:ea typeface="Cambria Math" panose="02040503050406030204" pitchFamily="18" charset="0"/>
              </a:rPr>
              <a:t>         </a:t>
            </a:r>
            <a:fld id="{B777F885-C8AC-4B94-AC04-A93C3A3FC077}" type="TxLink">
              <a:rPr lang="en-US" sz="10500" b="1" i="0" u="none" strike="noStrike">
                <a:solidFill>
                  <a:schemeClr val="accent6">
                    <a:lumMod val="75000"/>
                  </a:schemeClr>
                </a:solidFill>
                <a:latin typeface="Cambria Math" panose="02040503050406030204" pitchFamily="18" charset="0"/>
                <a:ea typeface="Cambria Math" panose="02040503050406030204" pitchFamily="18" charset="0"/>
              </a:rPr>
              <a:pPr algn="l"/>
              <a:t>$2.73M</a:t>
            </a:fld>
            <a:endParaRPr lang="en-US" sz="10500" b="1">
              <a:solidFill>
                <a:schemeClr val="accent6">
                  <a:lumMod val="75000"/>
                </a:schemeClr>
              </a:solidFill>
              <a:latin typeface="Cambria Math" panose="02040503050406030204" pitchFamily="18" charset="0"/>
              <a:ea typeface="Cambria Math" panose="02040503050406030204" pitchFamily="18" charset="0"/>
            </a:endParaRPr>
          </a:p>
        </xdr:txBody>
      </xdr:sp>
      <xdr:pic>
        <xdr:nvPicPr>
          <xdr:cNvPr id="7" name="Graphic 6" descr="Upward trend">
            <a:extLst>
              <a:ext uri="{FF2B5EF4-FFF2-40B4-BE49-F238E27FC236}">
                <a16:creationId xmlns:a16="http://schemas.microsoft.com/office/drawing/2014/main" id="{FEB4785A-EBF6-4B38-ABC6-1C148319BD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00" y="3790950"/>
            <a:ext cx="1538417" cy="1538416"/>
          </a:xfrm>
          <a:prstGeom prst="rect">
            <a:avLst/>
          </a:prstGeom>
          <a:effectLst>
            <a:outerShdw dist="50800" dir="5400000" sx="200000" sy="200000" algn="ctr" rotWithShape="0">
              <a:srgbClr val="000000">
                <a:alpha val="0"/>
              </a:srgbClr>
            </a:outerShdw>
          </a:effectLst>
        </xdr:spPr>
      </xdr:pic>
    </xdr:grpSp>
    <xdr:clientData/>
  </xdr:twoCellAnchor>
  <xdr:twoCellAnchor>
    <xdr:from>
      <xdr:col>27</xdr:col>
      <xdr:colOff>348621</xdr:colOff>
      <xdr:row>38</xdr:row>
      <xdr:rowOff>133350</xdr:rowOff>
    </xdr:from>
    <xdr:to>
      <xdr:col>42</xdr:col>
      <xdr:colOff>81921</xdr:colOff>
      <xdr:row>46</xdr:row>
      <xdr:rowOff>57150</xdr:rowOff>
    </xdr:to>
    <xdr:sp macro="" textlink="">
      <xdr:nvSpPr>
        <xdr:cNvPr id="10" name="Rectangle 9">
          <a:extLst>
            <a:ext uri="{FF2B5EF4-FFF2-40B4-BE49-F238E27FC236}">
              <a16:creationId xmlns:a16="http://schemas.microsoft.com/office/drawing/2014/main" id="{BF23386D-0870-45E4-99BB-E853CACD8938}"/>
            </a:ext>
          </a:extLst>
        </xdr:cNvPr>
        <xdr:cNvSpPr/>
      </xdr:nvSpPr>
      <xdr:spPr>
        <a:xfrm>
          <a:off x="16807821" y="7372350"/>
          <a:ext cx="8877300" cy="1447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100" b="1">
              <a:solidFill>
                <a:schemeClr val="tx1"/>
              </a:solidFill>
              <a:latin typeface="Cambria Math" panose="02040503050406030204" pitchFamily="18" charset="0"/>
              <a:ea typeface="Cambria Math" panose="02040503050406030204" pitchFamily="18" charset="0"/>
            </a:rPr>
            <a:t>Total</a:t>
          </a:r>
          <a:r>
            <a:rPr lang="en-US" sz="8100" b="1" baseline="0">
              <a:solidFill>
                <a:schemeClr val="tx1"/>
              </a:solidFill>
              <a:latin typeface="Cambria Math" panose="02040503050406030204" pitchFamily="18" charset="0"/>
              <a:ea typeface="Cambria Math" panose="02040503050406030204" pitchFamily="18" charset="0"/>
            </a:rPr>
            <a:t> Profit of 2023</a:t>
          </a:r>
          <a:endParaRPr lang="en-PK" sz="8100" b="1">
            <a:solidFill>
              <a:schemeClr val="tx1"/>
            </a:solidFill>
            <a:latin typeface="Cambria Math" panose="02040503050406030204" pitchFamily="18" charset="0"/>
            <a:ea typeface="Cambria Math" panose="02040503050406030204" pitchFamily="18" charset="0"/>
          </a:endParaRPr>
        </a:p>
      </xdr:txBody>
    </xdr:sp>
    <xdr:clientData/>
  </xdr:twoCellAnchor>
  <xdr:twoCellAnchor>
    <xdr:from>
      <xdr:col>46</xdr:col>
      <xdr:colOff>332432</xdr:colOff>
      <xdr:row>38</xdr:row>
      <xdr:rowOff>133350</xdr:rowOff>
    </xdr:from>
    <xdr:to>
      <xdr:col>62</xdr:col>
      <xdr:colOff>250511</xdr:colOff>
      <xdr:row>46</xdr:row>
      <xdr:rowOff>57150</xdr:rowOff>
    </xdr:to>
    <xdr:sp macro="" textlink="">
      <xdr:nvSpPr>
        <xdr:cNvPr id="18" name="Rectangle 17">
          <a:extLst>
            <a:ext uri="{FF2B5EF4-FFF2-40B4-BE49-F238E27FC236}">
              <a16:creationId xmlns:a16="http://schemas.microsoft.com/office/drawing/2014/main" id="{582BC6B6-AAED-49E9-839E-50CE3B7776FE}"/>
            </a:ext>
          </a:extLst>
        </xdr:cNvPr>
        <xdr:cNvSpPr/>
      </xdr:nvSpPr>
      <xdr:spPr>
        <a:xfrm>
          <a:off x="28374032" y="7372350"/>
          <a:ext cx="9671679" cy="1447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500" b="1">
              <a:solidFill>
                <a:schemeClr val="tx1"/>
              </a:solidFill>
              <a:latin typeface="Cambria Math" panose="02040503050406030204" pitchFamily="18" charset="0"/>
              <a:ea typeface="Cambria Math" panose="02040503050406030204" pitchFamily="18" charset="0"/>
            </a:rPr>
            <a:t>Most</a:t>
          </a:r>
          <a:r>
            <a:rPr lang="en-US" sz="7500" b="1" baseline="0">
              <a:solidFill>
                <a:schemeClr val="tx1"/>
              </a:solidFill>
              <a:latin typeface="Cambria Math" panose="02040503050406030204" pitchFamily="18" charset="0"/>
              <a:ea typeface="Cambria Math" panose="02040503050406030204" pitchFamily="18" charset="0"/>
            </a:rPr>
            <a:t> Valuable Category</a:t>
          </a:r>
          <a:endParaRPr lang="en-PK" sz="7500" b="1">
            <a:solidFill>
              <a:schemeClr val="tx1"/>
            </a:solidFill>
            <a:latin typeface="Cambria Math" panose="02040503050406030204" pitchFamily="18" charset="0"/>
            <a:ea typeface="Cambria Math" panose="02040503050406030204" pitchFamily="18" charset="0"/>
          </a:endParaRPr>
        </a:p>
      </xdr:txBody>
    </xdr:sp>
    <xdr:clientData/>
  </xdr:twoCellAnchor>
  <xdr:twoCellAnchor>
    <xdr:from>
      <xdr:col>65</xdr:col>
      <xdr:colOff>561032</xdr:colOff>
      <xdr:row>38</xdr:row>
      <xdr:rowOff>133350</xdr:rowOff>
    </xdr:from>
    <xdr:to>
      <xdr:col>81</xdr:col>
      <xdr:colOff>479111</xdr:colOff>
      <xdr:row>46</xdr:row>
      <xdr:rowOff>57150</xdr:rowOff>
    </xdr:to>
    <xdr:sp macro="" textlink="">
      <xdr:nvSpPr>
        <xdr:cNvPr id="19" name="Rectangle 18">
          <a:extLst>
            <a:ext uri="{FF2B5EF4-FFF2-40B4-BE49-F238E27FC236}">
              <a16:creationId xmlns:a16="http://schemas.microsoft.com/office/drawing/2014/main" id="{17A49CB1-AA98-4157-90D7-9F19DB75A5A7}"/>
            </a:ext>
          </a:extLst>
        </xdr:cNvPr>
        <xdr:cNvSpPr/>
      </xdr:nvSpPr>
      <xdr:spPr>
        <a:xfrm>
          <a:off x="40185032" y="7372350"/>
          <a:ext cx="9671679" cy="1447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900" b="1">
              <a:solidFill>
                <a:schemeClr val="tx1"/>
              </a:solidFill>
              <a:latin typeface="Cambria Math" panose="02040503050406030204" pitchFamily="18" charset="0"/>
              <a:ea typeface="Cambria Math" panose="02040503050406030204" pitchFamily="18" charset="0"/>
            </a:rPr>
            <a:t>Most</a:t>
          </a:r>
          <a:r>
            <a:rPr lang="en-US" sz="7900" b="1" baseline="0">
              <a:solidFill>
                <a:schemeClr val="tx1"/>
              </a:solidFill>
              <a:latin typeface="Cambria Math" panose="02040503050406030204" pitchFamily="18" charset="0"/>
              <a:ea typeface="Cambria Math" panose="02040503050406030204" pitchFamily="18" charset="0"/>
            </a:rPr>
            <a:t> Valuable Market</a:t>
          </a:r>
          <a:endParaRPr lang="en-PK" sz="7900" b="1">
            <a:solidFill>
              <a:schemeClr val="tx1"/>
            </a:solidFill>
            <a:latin typeface="Cambria Math" panose="02040503050406030204" pitchFamily="18" charset="0"/>
            <a:ea typeface="Cambria Math" panose="02040503050406030204" pitchFamily="18" charset="0"/>
          </a:endParaRPr>
        </a:p>
      </xdr:txBody>
    </xdr:sp>
    <xdr:clientData/>
  </xdr:twoCellAnchor>
  <xdr:twoCellAnchor>
    <xdr:from>
      <xdr:col>85</xdr:col>
      <xdr:colOff>104774</xdr:colOff>
      <xdr:row>34</xdr:row>
      <xdr:rowOff>0</xdr:rowOff>
    </xdr:from>
    <xdr:to>
      <xdr:col>116</xdr:col>
      <xdr:colOff>114300</xdr:colOff>
      <xdr:row>118</xdr:row>
      <xdr:rowOff>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CD38B834-DF17-43A1-B5E5-2EF54E179B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1920774" y="6477000"/>
              <a:ext cx="18907126" cy="160020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68</xdr:col>
      <xdr:colOff>114301</xdr:colOff>
      <xdr:row>2</xdr:row>
      <xdr:rowOff>38100</xdr:rowOff>
    </xdr:from>
    <xdr:to>
      <xdr:col>115</xdr:col>
      <xdr:colOff>152400</xdr:colOff>
      <xdr:row>27</xdr:row>
      <xdr:rowOff>0</xdr:rowOff>
    </xdr:to>
    <mc:AlternateContent xmlns:mc="http://schemas.openxmlformats.org/markup-compatibility/2006">
      <mc:Choice xmlns:a14="http://schemas.microsoft.com/office/drawing/2010/main" Requires="a14">
        <xdr:graphicFrame macro="">
          <xdr:nvGraphicFramePr>
            <xdr:cNvPr id="23" name="State">
              <a:extLst>
                <a:ext uri="{FF2B5EF4-FFF2-40B4-BE49-F238E27FC236}">
                  <a16:creationId xmlns:a16="http://schemas.microsoft.com/office/drawing/2014/main" id="{3010BF3C-F701-4183-A732-813D813B90A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1567101" y="419100"/>
              <a:ext cx="28689299" cy="472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59</xdr:col>
      <xdr:colOff>533400</xdr:colOff>
      <xdr:row>61</xdr:row>
      <xdr:rowOff>38100</xdr:rowOff>
    </xdr:from>
    <xdr:to>
      <xdr:col>81</xdr:col>
      <xdr:colOff>342900</xdr:colOff>
      <xdr:row>116</xdr:row>
      <xdr:rowOff>0</xdr:rowOff>
    </xdr:to>
    <xdr:graphicFrame macro="">
      <xdr:nvGraphicFramePr>
        <xdr:cNvPr id="24" name="Chart 23">
          <a:extLst>
            <a:ext uri="{FF2B5EF4-FFF2-40B4-BE49-F238E27FC236}">
              <a16:creationId xmlns:a16="http://schemas.microsoft.com/office/drawing/2014/main" id="{9A3A61B9-4CEE-4186-866B-3D17FB11C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87</xdr:col>
      <xdr:colOff>400050</xdr:colOff>
      <xdr:row>124</xdr:row>
      <xdr:rowOff>19050</xdr:rowOff>
    </xdr:from>
    <xdr:to>
      <xdr:col>113</xdr:col>
      <xdr:colOff>342900</xdr:colOff>
      <xdr:row>178</xdr:row>
      <xdr:rowOff>0</xdr:rowOff>
    </xdr:to>
    <xdr:graphicFrame macro="">
      <xdr:nvGraphicFramePr>
        <xdr:cNvPr id="25" name="Chart 24">
          <a:extLst>
            <a:ext uri="{FF2B5EF4-FFF2-40B4-BE49-F238E27FC236}">
              <a16:creationId xmlns:a16="http://schemas.microsoft.com/office/drawing/2014/main" id="{1FBAF2BE-98FF-4F88-BD2D-3E9E9FB1F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488622</xdr:colOff>
      <xdr:row>124</xdr:row>
      <xdr:rowOff>15150</xdr:rowOff>
    </xdr:from>
    <xdr:to>
      <xdr:col>26</xdr:col>
      <xdr:colOff>304799</xdr:colOff>
      <xdr:row>179</xdr:row>
      <xdr:rowOff>152399</xdr:rowOff>
    </xdr:to>
    <xdr:graphicFrame macro="">
      <xdr:nvGraphicFramePr>
        <xdr:cNvPr id="26" name="Chart 25">
          <a:extLst>
            <a:ext uri="{FF2B5EF4-FFF2-40B4-BE49-F238E27FC236}">
              <a16:creationId xmlns:a16="http://schemas.microsoft.com/office/drawing/2014/main" id="{BB408BC5-1CAA-431C-B15A-574A1721B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412423</xdr:colOff>
      <xdr:row>58</xdr:row>
      <xdr:rowOff>114300</xdr:rowOff>
    </xdr:from>
    <xdr:to>
      <xdr:col>55</xdr:col>
      <xdr:colOff>38100</xdr:colOff>
      <xdr:row>120</xdr:row>
      <xdr:rowOff>114300</xdr:rowOff>
    </xdr:to>
    <xdr:graphicFrame macro="">
      <xdr:nvGraphicFramePr>
        <xdr:cNvPr id="27" name="Chart 26">
          <a:extLst>
            <a:ext uri="{FF2B5EF4-FFF2-40B4-BE49-F238E27FC236}">
              <a16:creationId xmlns:a16="http://schemas.microsoft.com/office/drawing/2014/main" id="{89F42BE5-2B25-4968-8688-22C777497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266700</xdr:colOff>
      <xdr:row>123</xdr:row>
      <xdr:rowOff>133350</xdr:rowOff>
    </xdr:from>
    <xdr:to>
      <xdr:col>83</xdr:col>
      <xdr:colOff>571500</xdr:colOff>
      <xdr:row>179</xdr:row>
      <xdr:rowOff>76199</xdr:rowOff>
    </xdr:to>
    <xdr:graphicFrame macro="">
      <xdr:nvGraphicFramePr>
        <xdr:cNvPr id="28" name="Chart 27">
          <a:extLst>
            <a:ext uri="{FF2B5EF4-FFF2-40B4-BE49-F238E27FC236}">
              <a16:creationId xmlns:a16="http://schemas.microsoft.com/office/drawing/2014/main" id="{FB318D5C-1E3E-4CD8-BD36-D3140E839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266700</xdr:colOff>
      <xdr:row>4</xdr:row>
      <xdr:rowOff>71438</xdr:rowOff>
    </xdr:from>
    <xdr:to>
      <xdr:col>59</xdr:col>
      <xdr:colOff>0</xdr:colOff>
      <xdr:row>28</xdr:row>
      <xdr:rowOff>76200</xdr:rowOff>
    </xdr:to>
    <mc:AlternateContent xmlns:mc="http://schemas.openxmlformats.org/markup-compatibility/2006">
      <mc:Choice xmlns:tsle="http://schemas.microsoft.com/office/drawing/2012/timeslicer" Requires="tsle">
        <xdr:graphicFrame macro="">
          <xdr:nvGraphicFramePr>
            <xdr:cNvPr id="33" name="Sale Date">
              <a:extLst>
                <a:ext uri="{FF2B5EF4-FFF2-40B4-BE49-F238E27FC236}">
                  <a16:creationId xmlns:a16="http://schemas.microsoft.com/office/drawing/2014/main" id="{8B883E12-8043-411F-BC37-8725DA07C5DA}"/>
                </a:ext>
              </a:extLst>
            </xdr:cNvPr>
            <xdr:cNvGraphicFramePr/>
          </xdr:nvGraphicFramePr>
          <xdr:xfrm>
            <a:off x="0" y="0"/>
            <a:ext cx="0" cy="0"/>
          </xdr:xfrm>
          <a:graphic>
            <a:graphicData uri="http://schemas.microsoft.com/office/drawing/2012/timeslicer">
              <tsle:timeslicer xmlns:tsle="http://schemas.microsoft.com/office/drawing/2012/timeslicer" name="Sale Date"/>
            </a:graphicData>
          </a:graphic>
        </xdr:graphicFrame>
      </mc:Choice>
      <mc:Fallback>
        <xdr:sp macro="" textlink="">
          <xdr:nvSpPr>
            <xdr:cNvPr id="0" name=""/>
            <xdr:cNvSpPr>
              <a:spLocks noTextEdit="1"/>
            </xdr:cNvSpPr>
          </xdr:nvSpPr>
          <xdr:spPr>
            <a:xfrm>
              <a:off x="7581900" y="833438"/>
              <a:ext cx="28384500" cy="4576762"/>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C" refreshedDate="46229.24885891204" createdVersion="8" refreshedVersion="8" minRefreshableVersion="3" recordCount="1000" xr:uid="{997AE68F-30D0-4290-8459-D7F4AD5C8E35}">
  <cacheSource type="worksheet">
    <worksheetSource name="Table2"/>
  </cacheSource>
  <cacheFields count="18">
    <cacheField name="Sale Date" numFmtId="14">
      <sharedItems containsSemiMixedTypes="0" containsNonDate="0" containsDate="1" containsString="0" minDate="2023-01-02T00:00:00" maxDate="2024-01-01T00:00:00" count="347">
        <d v="2023-06-25T00:00:00"/>
        <d v="2023-11-01T00:00:00"/>
        <d v="2023-04-06T00:00:00"/>
        <d v="2023-10-15T00:00:00"/>
        <d v="2023-08-07T00:00:00"/>
        <d v="2023-12-23T00:00:00"/>
        <d v="2023-05-01T00:00:00"/>
        <d v="2023-10-23T00:00:00"/>
        <d v="2023-11-17T00:00:00"/>
        <d v="2023-02-15T00:00:00"/>
        <d v="2023-04-21T00:00:00"/>
        <d v="2023-01-12T00:00:00"/>
        <d v="2023-01-26T00:00:00"/>
        <d v="2023-05-27T00:00:00"/>
        <d v="2023-11-28T00:00:00"/>
        <d v="2023-06-02T00:00:00"/>
        <d v="2023-02-24T00:00:00"/>
        <d v="2023-02-17T00:00:00"/>
        <d v="2023-02-19T00:00:00"/>
        <d v="2023-04-28T00:00:00"/>
        <d v="2023-12-06T00:00:00"/>
        <d v="2023-06-24T00:00:00"/>
        <d v="2023-03-27T00:00:00"/>
        <d v="2023-04-01T00:00:00"/>
        <d v="2023-12-17T00:00:00"/>
        <d v="2023-07-21T00:00:00"/>
        <d v="2023-08-29T00:00:00"/>
        <d v="2023-05-06T00:00:00"/>
        <d v="2023-01-13T00:00:00"/>
        <d v="2023-06-20T00:00:00"/>
        <d v="2023-01-11T00:00:00"/>
        <d v="2023-11-30T00:00:00"/>
        <d v="2023-05-10T00:00:00"/>
        <d v="2023-01-24T00:00:00"/>
        <d v="2023-08-23T00:00:00"/>
        <d v="2023-02-18T00:00:00"/>
        <d v="2023-08-04T00:00:00"/>
        <d v="2023-03-01T00:00:00"/>
        <d v="2023-03-31T00:00:00"/>
        <d v="2023-04-15T00:00:00"/>
        <d v="2023-12-28T00:00:00"/>
        <d v="2023-03-04T00:00:00"/>
        <d v="2023-02-04T00:00:00"/>
        <d v="2023-04-19T00:00:00"/>
        <d v="2023-09-21T00:00:00"/>
        <d v="2023-10-21T00:00:00"/>
        <d v="2023-02-06T00:00:00"/>
        <d v="2023-04-26T00:00:00"/>
        <d v="2023-01-16T00:00:00"/>
        <d v="2023-10-03T00:00:00"/>
        <d v="2023-06-11T00:00:00"/>
        <d v="2023-10-02T00:00:00"/>
        <d v="2023-11-24T00:00:00"/>
        <d v="2023-07-09T00:00:00"/>
        <d v="2023-04-20T00:00:00"/>
        <d v="2023-03-10T00:00:00"/>
        <d v="2023-05-03T00:00:00"/>
        <d v="2023-10-29T00:00:00"/>
        <d v="2023-12-03T00:00:00"/>
        <d v="2023-05-26T00:00:00"/>
        <d v="2023-12-26T00:00:00"/>
        <d v="2023-08-05T00:00:00"/>
        <d v="2023-04-25T00:00:00"/>
        <d v="2023-04-27T00:00:00"/>
        <d v="2023-06-26T00:00:00"/>
        <d v="2023-06-18T00:00:00"/>
        <d v="2023-03-02T00:00:00"/>
        <d v="2023-03-18T00:00:00"/>
        <d v="2023-12-10T00:00:00"/>
        <d v="2023-10-30T00:00:00"/>
        <d v="2023-02-07T00:00:00"/>
        <d v="2023-08-25T00:00:00"/>
        <d v="2023-09-15T00:00:00"/>
        <d v="2023-07-19T00:00:00"/>
        <d v="2023-05-17T00:00:00"/>
        <d v="2023-06-30T00:00:00"/>
        <d v="2023-11-29T00:00:00"/>
        <d v="2023-04-04T00:00:00"/>
        <d v="2023-03-13T00:00:00"/>
        <d v="2023-10-22T00:00:00"/>
        <d v="2023-12-01T00:00:00"/>
        <d v="2023-03-29T00:00:00"/>
        <d v="2023-02-03T00:00:00"/>
        <d v="2023-05-11T00:00:00"/>
        <d v="2023-07-03T00:00:00"/>
        <d v="2023-09-02T00:00:00"/>
        <d v="2023-07-15T00:00:00"/>
        <d v="2023-11-03T00:00:00"/>
        <d v="2023-06-13T00:00:00"/>
        <d v="2023-05-09T00:00:00"/>
        <d v="2023-01-20T00:00:00"/>
        <d v="2023-05-16T00:00:00"/>
        <d v="2023-01-18T00:00:00"/>
        <d v="2023-05-29T00:00:00"/>
        <d v="2023-09-03T00:00:00"/>
        <d v="2023-03-24T00:00:00"/>
        <d v="2023-11-14T00:00:00"/>
        <d v="2023-05-31T00:00:00"/>
        <d v="2023-06-21T00:00:00"/>
        <d v="2023-01-06T00:00:00"/>
        <d v="2023-01-09T00:00:00"/>
        <d v="2023-01-30T00:00:00"/>
        <d v="2023-02-26T00:00:00"/>
        <d v="2023-12-15T00:00:00"/>
        <d v="2023-07-08T00:00:00"/>
        <d v="2023-09-23T00:00:00"/>
        <d v="2023-03-14T00:00:00"/>
        <d v="2023-09-11T00:00:00"/>
        <d v="2023-09-25T00:00:00"/>
        <d v="2023-10-04T00:00:00"/>
        <d v="2023-09-06T00:00:00"/>
        <d v="2023-12-07T00:00:00"/>
        <d v="2023-05-14T00:00:00"/>
        <d v="2023-01-04T00:00:00"/>
        <d v="2023-07-22T00:00:00"/>
        <d v="2023-11-18T00:00:00"/>
        <d v="2023-01-08T00:00:00"/>
        <d v="2023-04-13T00:00:00"/>
        <d v="2023-02-11T00:00:00"/>
        <d v="2023-10-31T00:00:00"/>
        <d v="2023-03-26T00:00:00"/>
        <d v="2023-11-04T00:00:00"/>
        <d v="2023-11-10T00:00:00"/>
        <d v="2023-03-20T00:00:00"/>
        <d v="2023-01-19T00:00:00"/>
        <d v="2023-02-14T00:00:00"/>
        <d v="2023-11-25T00:00:00"/>
        <d v="2023-05-30T00:00:00"/>
        <d v="2023-10-28T00:00:00"/>
        <d v="2023-03-15T00:00:00"/>
        <d v="2023-07-14T00:00:00"/>
        <d v="2023-06-06T00:00:00"/>
        <d v="2023-12-02T00:00:00"/>
        <d v="2023-03-03T00:00:00"/>
        <d v="2023-10-25T00:00:00"/>
        <d v="2023-05-05T00:00:00"/>
        <d v="2023-10-19T00:00:00"/>
        <d v="2023-04-29T00:00:00"/>
        <d v="2023-11-13T00:00:00"/>
        <d v="2023-09-04T00:00:00"/>
        <d v="2023-11-26T00:00:00"/>
        <d v="2023-06-27T00:00:00"/>
        <d v="2023-07-29T00:00:00"/>
        <d v="2023-07-04T00:00:00"/>
        <d v="2023-01-02T00:00:00"/>
        <d v="2023-10-18T00:00:00"/>
        <d v="2023-06-12T00:00:00"/>
        <d v="2023-09-18T00:00:00"/>
        <d v="2023-08-12T00:00:00"/>
        <d v="2023-01-25T00:00:00"/>
        <d v="2023-03-22T00:00:00"/>
        <d v="2023-01-17T00:00:00"/>
        <d v="2023-12-19T00:00:00"/>
        <d v="2023-07-17T00:00:00"/>
        <d v="2023-03-17T00:00:00"/>
        <d v="2023-08-19T00:00:00"/>
        <d v="2023-10-10T00:00:00"/>
        <d v="2023-08-16T00:00:00"/>
        <d v="2023-06-09T00:00:00"/>
        <d v="2023-07-11T00:00:00"/>
        <d v="2023-02-13T00:00:00"/>
        <d v="2023-09-16T00:00:00"/>
        <d v="2023-12-25T00:00:00"/>
        <d v="2023-02-02T00:00:00"/>
        <d v="2023-04-08T00:00:00"/>
        <d v="2023-06-22T00:00:00"/>
        <d v="2023-06-04T00:00:00"/>
        <d v="2023-03-30T00:00:00"/>
        <d v="2023-05-22T00:00:00"/>
        <d v="2023-02-20T00:00:00"/>
        <d v="2023-09-10T00:00:00"/>
        <d v="2023-11-27T00:00:00"/>
        <d v="2023-08-08T00:00:00"/>
        <d v="2023-05-23T00:00:00"/>
        <d v="2023-11-11T00:00:00"/>
        <d v="2023-07-30T00:00:00"/>
        <d v="2023-05-18T00:00:00"/>
        <d v="2023-08-14T00:00:00"/>
        <d v="2023-12-09T00:00:00"/>
        <d v="2023-01-03T00:00:00"/>
        <d v="2023-03-06T00:00:00"/>
        <d v="2023-02-10T00:00:00"/>
        <d v="2023-10-13T00:00:00"/>
        <d v="2023-07-02T00:00:00"/>
        <d v="2023-06-15T00:00:00"/>
        <d v="2023-11-12T00:00:00"/>
        <d v="2023-08-30T00:00:00"/>
        <d v="2023-01-22T00:00:00"/>
        <d v="2023-09-13T00:00:00"/>
        <d v="2023-05-21T00:00:00"/>
        <d v="2023-12-14T00:00:00"/>
        <d v="2023-12-24T00:00:00"/>
        <d v="2023-10-26T00:00:00"/>
        <d v="2023-05-24T00:00:00"/>
        <d v="2023-03-11T00:00:00"/>
        <d v="2023-01-21T00:00:00"/>
        <d v="2023-04-02T00:00:00"/>
        <d v="2023-09-07T00:00:00"/>
        <d v="2023-11-05T00:00:00"/>
        <d v="2023-03-09T00:00:00"/>
        <d v="2023-12-12T00:00:00"/>
        <d v="2023-01-27T00:00:00"/>
        <d v="2023-02-05T00:00:00"/>
        <d v="2023-04-10T00:00:00"/>
        <d v="2023-04-22T00:00:00"/>
        <d v="2023-11-09T00:00:00"/>
        <d v="2023-11-02T00:00:00"/>
        <d v="2023-04-30T00:00:00"/>
        <d v="2023-12-31T00:00:00"/>
        <d v="2023-11-07T00:00:00"/>
        <d v="2023-08-03T00:00:00"/>
        <d v="2023-08-20T00:00:00"/>
        <d v="2023-01-10T00:00:00"/>
        <d v="2023-02-08T00:00:00"/>
        <d v="2023-05-25T00:00:00"/>
        <d v="2023-09-17T00:00:00"/>
        <d v="2023-06-07T00:00:00"/>
        <d v="2023-10-17T00:00:00"/>
        <d v="2023-04-17T00:00:00"/>
        <d v="2023-10-20T00:00:00"/>
        <d v="2023-10-01T00:00:00"/>
        <d v="2023-07-13T00:00:00"/>
        <d v="2023-10-09T00:00:00"/>
        <d v="2023-12-20T00:00:00"/>
        <d v="2023-07-01T00:00:00"/>
        <d v="2023-09-09T00:00:00"/>
        <d v="2023-02-22T00:00:00"/>
        <d v="2023-06-16T00:00:00"/>
        <d v="2023-08-22T00:00:00"/>
        <d v="2023-09-12T00:00:00"/>
        <d v="2023-06-29T00:00:00"/>
        <d v="2023-10-05T00:00:00"/>
        <d v="2023-08-11T00:00:00"/>
        <d v="2023-10-08T00:00:00"/>
        <d v="2023-09-27T00:00:00"/>
        <d v="2023-03-08T00:00:00"/>
        <d v="2023-04-16T00:00:00"/>
        <d v="2023-08-09T00:00:00"/>
        <d v="2023-08-26T00:00:00"/>
        <d v="2023-06-23T00:00:00"/>
        <d v="2023-05-15T00:00:00"/>
        <d v="2023-03-12T00:00:00"/>
        <d v="2023-10-12T00:00:00"/>
        <d v="2023-12-21T00:00:00"/>
        <d v="2023-05-04T00:00:00"/>
        <d v="2023-10-16T00:00:00"/>
        <d v="2023-06-28T00:00:00"/>
        <d v="2023-01-23T00:00:00"/>
        <d v="2023-10-24T00:00:00"/>
        <d v="2023-08-10T00:00:00"/>
        <d v="2023-10-14T00:00:00"/>
        <d v="2023-01-14T00:00:00"/>
        <d v="2023-09-20T00:00:00"/>
        <d v="2023-12-16T00:00:00"/>
        <d v="2023-01-15T00:00:00"/>
        <d v="2023-04-12T00:00:00"/>
        <d v="2023-07-27T00:00:00"/>
        <d v="2023-06-14T00:00:00"/>
        <d v="2023-02-12T00:00:00"/>
        <d v="2023-06-05T00:00:00"/>
        <d v="2023-07-16T00:00:00"/>
        <d v="2023-09-26T00:00:00"/>
        <d v="2023-04-18T00:00:00"/>
        <d v="2023-02-21T00:00:00"/>
        <d v="2023-05-08T00:00:00"/>
        <d v="2023-11-21T00:00:00"/>
        <d v="2023-11-16T00:00:00"/>
        <d v="2023-12-11T00:00:00"/>
        <d v="2023-08-15T00:00:00"/>
        <d v="2023-12-04T00:00:00"/>
        <d v="2023-09-14T00:00:00"/>
        <d v="2023-07-06T00:00:00"/>
        <d v="2023-10-07T00:00:00"/>
        <d v="2023-10-11T00:00:00"/>
        <d v="2023-08-27T00:00:00"/>
        <d v="2023-02-28T00:00:00"/>
        <d v="2023-12-13T00:00:00"/>
        <d v="2023-07-31T00:00:00"/>
        <d v="2023-05-19T00:00:00"/>
        <d v="2023-09-28T00:00:00"/>
        <d v="2023-02-23T00:00:00"/>
        <d v="2023-06-19T00:00:00"/>
        <d v="2023-07-07T00:00:00"/>
        <d v="2023-07-18T00:00:00"/>
        <d v="2023-06-10T00:00:00"/>
        <d v="2023-07-24T00:00:00"/>
        <d v="2023-07-25T00:00:00"/>
        <d v="2023-11-19T00:00:00"/>
        <d v="2023-10-06T00:00:00"/>
        <d v="2023-11-06T00:00:00"/>
        <d v="2023-06-01T00:00:00"/>
        <d v="2023-05-20T00:00:00"/>
        <d v="2023-01-31T00:00:00"/>
        <d v="2023-06-08T00:00:00"/>
        <d v="2023-03-19T00:00:00"/>
        <d v="2023-09-19T00:00:00"/>
        <d v="2023-04-11T00:00:00"/>
        <d v="2023-12-22T00:00:00"/>
        <d v="2023-12-05T00:00:00"/>
        <d v="2023-01-05T00:00:00"/>
        <d v="2023-04-09T00:00:00"/>
        <d v="2023-08-06T00:00:00"/>
        <d v="2023-08-28T00:00:00"/>
        <d v="2023-07-05T00:00:00"/>
        <d v="2023-08-02T00:00:00"/>
        <d v="2023-02-16T00:00:00"/>
        <d v="2023-03-07T00:00:00"/>
        <d v="2023-03-21T00:00:00"/>
        <d v="2023-12-30T00:00:00"/>
        <d v="2023-04-14T00:00:00"/>
        <d v="2023-04-24T00:00:00"/>
        <d v="2023-01-07T00:00:00"/>
        <d v="2023-09-30T00:00:00"/>
        <d v="2023-02-01T00:00:00"/>
        <d v="2023-07-10T00:00:00"/>
        <d v="2023-08-31T00:00:00"/>
        <d v="2023-09-24T00:00:00"/>
        <d v="2023-09-29T00:00:00"/>
        <d v="2023-03-16T00:00:00"/>
        <d v="2023-02-27T00:00:00"/>
        <d v="2023-08-13T00:00:00"/>
        <d v="2023-01-28T00:00:00"/>
        <d v="2023-12-29T00:00:00"/>
        <d v="2023-09-01T00:00:00"/>
        <d v="2023-03-28T00:00:00"/>
        <d v="2023-08-21T00:00:00"/>
        <d v="2023-11-20T00:00:00"/>
        <d v="2023-11-15T00:00:00"/>
        <d v="2023-05-12T00:00:00"/>
        <d v="2023-02-09T00:00:00"/>
        <d v="2023-05-13T00:00:00"/>
        <d v="2023-07-12T00:00:00"/>
        <d v="2023-07-20T00:00:00"/>
        <d v="2023-11-08T00:00:00"/>
        <d v="2023-11-22T00:00:00"/>
        <d v="2023-06-17T00:00:00"/>
        <d v="2023-05-02T00:00:00"/>
        <d v="2023-07-23T00:00:00"/>
        <d v="2023-07-28T00:00:00"/>
        <d v="2023-06-03T00:00:00"/>
        <d v="2023-11-23T00:00:00"/>
        <d v="2023-04-05T00:00:00"/>
        <d v="2023-08-18T00:00:00"/>
        <d v="2023-03-23T00:00:00"/>
        <d v="2023-08-24T00:00:00"/>
        <d v="2023-07-26T00:00:00"/>
        <d v="2023-03-25T00:00:00"/>
      </sharedItems>
      <fieldGroup par="17"/>
    </cacheField>
    <cacheField name="Customer Name" numFmtId="0">
      <sharedItems count="10">
        <s v="Meera"/>
        <s v="Ahmed"/>
        <s v="jibran"/>
        <s v="rafey"/>
        <s v="ali"/>
        <s v="Noman"/>
        <s v="Rida"/>
        <s v="Hafey"/>
        <s v="aliza"/>
        <s v="Areeba"/>
      </sharedItems>
    </cacheField>
    <cacheField name="City" numFmtId="0">
      <sharedItems count="14">
        <s v="Quetta"/>
        <s v="Multan"/>
        <s v="Sukkur"/>
        <s v="Haripur"/>
        <s v="Karachi"/>
        <s v="Hyderabad"/>
        <s v="Gwadar"/>
        <s v="Faisalabad"/>
        <s v="Mirpur Khas"/>
        <s v="Peshawar"/>
        <s v="Nawabshah"/>
        <s v="Rawalpindi"/>
        <s v="Murree"/>
        <s v="Lahore"/>
      </sharedItems>
    </cacheField>
    <cacheField name="State" numFmtId="0">
      <sharedItems count="4">
        <s v="Balochistan"/>
        <s v="Punjab"/>
        <s v="Sindh"/>
        <s v="Khyber Pakhtunkhwa"/>
      </sharedItems>
    </cacheField>
    <cacheField name="Region" numFmtId="0">
      <sharedItems count="4">
        <s v="West"/>
        <s v="East"/>
        <s v="South"/>
        <s v="North"/>
      </sharedItems>
    </cacheField>
    <cacheField name="Product Category" numFmtId="0">
      <sharedItems count="5">
        <s v="Furniture"/>
        <s v="Stationery"/>
        <s v="Clothing"/>
        <s v="Groceries"/>
        <s v="Electronics"/>
      </sharedItems>
    </cacheField>
    <cacheField name="Product Name" numFmtId="0">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Cost of Goods" numFmtId="0">
      <sharedItems containsSemiMixedTypes="0" containsString="0" containsNumber="1" minValue="362.88" maxValue="89465.94"/>
    </cacheField>
    <cacheField name="Gross Profit" numFmtId="0">
      <sharedItems containsSemiMixedTypes="0" containsString="0" containsNumber="1" minValue="40.32" maxValue="9940.6600000000017"/>
    </cacheField>
    <cacheField name="Sales Amount" numFmtId="0">
      <sharedItems containsSemiMixedTypes="0" containsString="0" containsNumber="1" minValue="403.2" maxValue="99406.6"/>
    </cacheField>
    <cacheField name="Tax" numFmtId="0">
      <sharedItems containsSemiMixedTypes="0" containsString="0" containsNumber="1" minValue="72.575999999999993" maxValue="17893.188000000002"/>
    </cacheField>
    <cacheField name="Sales Amount(Incl. Tax)" numFmtId="0">
      <sharedItems containsSemiMixedTypes="0" containsString="0" containsNumber="1" minValue="475.77599999999995" maxValue="117299.788"/>
    </cacheField>
    <cacheField name="Country" numFmtId="0">
      <sharedItems/>
    </cacheField>
    <cacheField name="State with country" numFmtId="0">
      <sharedItems count="14">
        <s v="PK-BA"/>
        <s v="PK-PB"/>
        <s v="PK-SD"/>
        <s v="Khyber Pakhtunkhwa"/>
        <s v="PK-KPK" u="1"/>
        <s v="BA" u="1"/>
        <s v="PB" u="1"/>
        <s v="SD" u="1"/>
        <s v="KPK" u="1"/>
        <s v="PK-KP" u="1"/>
        <s v="Balochistan, Pakistan" u="1"/>
        <s v="Punjab, Pakistan" u="1"/>
        <s v="Sindh, Pakistan" u="1"/>
        <s v="Khyber Pakhtunkhwa, Pakistan" u="1"/>
      </sharedItems>
    </cacheField>
    <cacheField name="Days (Sale Date)" numFmtId="0" databaseField="0">
      <fieldGroup base="0">
        <rangePr groupBy="days" startDate="2023-01-02T00:00:00" endDate="2024-01-01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Sale Date)" numFmtId="0" databaseField="0">
      <fieldGroup base="0">
        <rangePr groupBy="months" startDate="2023-01-02T00:00:00" endDate="2024-01-01T00:00:00"/>
        <groupItems count="14">
          <s v="&lt;02/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8202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s v="Table"/>
    <n v="6"/>
    <n v="4016.25"/>
    <n v="21687.75"/>
    <n v="2409.75"/>
    <n v="24097.5"/>
    <n v="4337.55"/>
    <n v="28435.05"/>
    <s v="Pakistan"/>
    <x v="0"/>
  </r>
  <r>
    <x v="1"/>
    <x v="1"/>
    <x v="1"/>
    <x v="1"/>
    <x v="1"/>
    <x v="1"/>
    <s v="Ruler"/>
    <n v="9"/>
    <n v="3801.85"/>
    <n v="30794.985000000001"/>
    <n v="3421.6650000000004"/>
    <n v="34216.65"/>
    <n v="6158.9970000000003"/>
    <n v="40375.647000000004"/>
    <s v="Pakistan"/>
    <x v="1"/>
  </r>
  <r>
    <x v="2"/>
    <x v="2"/>
    <x v="2"/>
    <x v="2"/>
    <x v="2"/>
    <x v="1"/>
    <s v="Ruler"/>
    <n v="11"/>
    <n v="3594.07"/>
    <n v="35581.292999999998"/>
    <n v="3953.4769999999999"/>
    <n v="39534.769999999997"/>
    <n v="7116.2585999999992"/>
    <n v="46651.028599999998"/>
    <s v="Pakistan"/>
    <x v="2"/>
  </r>
  <r>
    <x v="3"/>
    <x v="1"/>
    <x v="3"/>
    <x v="3"/>
    <x v="3"/>
    <x v="2"/>
    <s v="Dress"/>
    <n v="9"/>
    <n v="4487"/>
    <n v="36344.700000000004"/>
    <n v="4038.3"/>
    <n v="40383"/>
    <n v="7268.94"/>
    <n v="47651.94"/>
    <s v="Pakistan"/>
    <x v="3"/>
  </r>
  <r>
    <x v="4"/>
    <x v="3"/>
    <x v="4"/>
    <x v="2"/>
    <x v="2"/>
    <x v="3"/>
    <s v="Lentils"/>
    <n v="17"/>
    <n v="1240.77"/>
    <n v="18983.780999999999"/>
    <n v="2109.3090000000002"/>
    <n v="21093.09"/>
    <n v="3796.7561999999998"/>
    <n v="24889.8462"/>
    <s v="Pakistan"/>
    <x v="2"/>
  </r>
  <r>
    <x v="5"/>
    <x v="4"/>
    <x v="5"/>
    <x v="2"/>
    <x v="2"/>
    <x v="1"/>
    <s v="Eraser"/>
    <n v="7"/>
    <n v="4772.29"/>
    <n v="30065.427"/>
    <n v="3340.6030000000001"/>
    <n v="33406.03"/>
    <n v="6013.0853999999999"/>
    <n v="39419.115399999995"/>
    <s v="Pakistan"/>
    <x v="2"/>
  </r>
  <r>
    <x v="6"/>
    <x v="5"/>
    <x v="6"/>
    <x v="0"/>
    <x v="0"/>
    <x v="4"/>
    <s v="Headphones"/>
    <n v="5"/>
    <n v="2196.9899999999998"/>
    <n v="9886.4550000000017"/>
    <n v="1098.4950000000001"/>
    <n v="10984.95"/>
    <n v="1977.2910000000002"/>
    <n v="12962.241000000002"/>
    <s v="Pakistan"/>
    <x v="0"/>
  </r>
  <r>
    <x v="5"/>
    <x v="6"/>
    <x v="7"/>
    <x v="1"/>
    <x v="1"/>
    <x v="2"/>
    <s v="Dress"/>
    <n v="5"/>
    <n v="967.6"/>
    <n v="4354.2"/>
    <n v="483.8"/>
    <n v="4838"/>
    <n v="870.83999999999992"/>
    <n v="5708.84"/>
    <s v="Pakistan"/>
    <x v="1"/>
  </r>
  <r>
    <x v="7"/>
    <x v="1"/>
    <x v="3"/>
    <x v="3"/>
    <x v="3"/>
    <x v="1"/>
    <s v="Ruler"/>
    <n v="18"/>
    <n v="3128.59"/>
    <n v="50683.158000000003"/>
    <n v="5631.4620000000004"/>
    <n v="56314.62"/>
    <n v="10136.631600000001"/>
    <n v="66451.251600000003"/>
    <s v="Pakistan"/>
    <x v="3"/>
  </r>
  <r>
    <x v="8"/>
    <x v="2"/>
    <x v="5"/>
    <x v="2"/>
    <x v="2"/>
    <x v="0"/>
    <s v="Table"/>
    <n v="10"/>
    <n v="2754.3"/>
    <n v="24788.7"/>
    <n v="2754.3"/>
    <n v="27543"/>
    <n v="4957.74"/>
    <n v="32500.739999999998"/>
    <s v="Pakistan"/>
    <x v="2"/>
  </r>
  <r>
    <x v="9"/>
    <x v="1"/>
    <x v="7"/>
    <x v="1"/>
    <x v="1"/>
    <x v="4"/>
    <s v="Laptop"/>
    <n v="19"/>
    <n v="4896.3100000000004"/>
    <n v="83726.900999999998"/>
    <n v="9302.9889999999996"/>
    <n v="93029.89"/>
    <n v="16745.3802"/>
    <n v="109775.2702"/>
    <s v="Pakistan"/>
    <x v="1"/>
  </r>
  <r>
    <x v="10"/>
    <x v="5"/>
    <x v="6"/>
    <x v="0"/>
    <x v="0"/>
    <x v="2"/>
    <s v="Pants"/>
    <n v="19"/>
    <n v="4562.0200000000004"/>
    <n v="78010.542000000001"/>
    <n v="8667.8380000000016"/>
    <n v="86678.38"/>
    <n v="15602.108400000001"/>
    <n v="102280.4884"/>
    <s v="Pakistan"/>
    <x v="0"/>
  </r>
  <r>
    <x v="11"/>
    <x v="4"/>
    <x v="4"/>
    <x v="2"/>
    <x v="2"/>
    <x v="1"/>
    <s v="Eraser"/>
    <n v="6"/>
    <n v="4231.7700000000004"/>
    <n v="22851.558000000001"/>
    <n v="2539.0619999999999"/>
    <n v="25390.62"/>
    <n v="4570.3116"/>
    <n v="29960.9316"/>
    <s v="Pakistan"/>
    <x v="2"/>
  </r>
  <r>
    <x v="12"/>
    <x v="7"/>
    <x v="7"/>
    <x v="1"/>
    <x v="1"/>
    <x v="2"/>
    <s v="Shirt"/>
    <n v="20"/>
    <n v="1027.53"/>
    <n v="18495.54"/>
    <n v="2055.06"/>
    <n v="20550.599999999999"/>
    <n v="3699.1079999999997"/>
    <n v="24249.707999999999"/>
    <s v="Pakistan"/>
    <x v="1"/>
  </r>
  <r>
    <x v="13"/>
    <x v="8"/>
    <x v="0"/>
    <x v="0"/>
    <x v="0"/>
    <x v="2"/>
    <s v="Pants"/>
    <n v="7"/>
    <n v="1257.3399999999999"/>
    <n v="7921.2419999999993"/>
    <n v="880.13799999999992"/>
    <n v="8801.3799999999992"/>
    <n v="1584.2483999999997"/>
    <n v="10385.6284"/>
    <s v="Pakistan"/>
    <x v="0"/>
  </r>
  <r>
    <x v="14"/>
    <x v="5"/>
    <x v="8"/>
    <x v="2"/>
    <x v="2"/>
    <x v="2"/>
    <s v="Shirt"/>
    <n v="9"/>
    <n v="2634.14"/>
    <n v="21336.534"/>
    <n v="2370.7260000000001"/>
    <n v="23707.26"/>
    <n v="4267.3067999999994"/>
    <n v="27974.566799999997"/>
    <s v="Pakistan"/>
    <x v="2"/>
  </r>
  <r>
    <x v="15"/>
    <x v="3"/>
    <x v="9"/>
    <x v="3"/>
    <x v="3"/>
    <x v="0"/>
    <s v="Table"/>
    <n v="11"/>
    <n v="4509.49"/>
    <n v="44643.951000000001"/>
    <n v="4960.4390000000003"/>
    <n v="49604.39"/>
    <n v="8928.7901999999995"/>
    <n v="58533.180200000003"/>
    <s v="Pakistan"/>
    <x v="3"/>
  </r>
  <r>
    <x v="16"/>
    <x v="4"/>
    <x v="10"/>
    <x v="2"/>
    <x v="2"/>
    <x v="3"/>
    <s v="Rice"/>
    <n v="3"/>
    <n v="2738.83"/>
    <n v="7394.8410000000003"/>
    <n v="821.649"/>
    <n v="8216.49"/>
    <n v="1478.9681999999998"/>
    <n v="9695.4581999999991"/>
    <s v="Pakistan"/>
    <x v="2"/>
  </r>
  <r>
    <x v="17"/>
    <x v="4"/>
    <x v="0"/>
    <x v="0"/>
    <x v="0"/>
    <x v="2"/>
    <s v="Dress"/>
    <n v="10"/>
    <n v="4247.74"/>
    <n v="38229.660000000003"/>
    <n v="4247.7400000000007"/>
    <n v="42477.4"/>
    <n v="7645.9319999999998"/>
    <n v="50123.332000000002"/>
    <s v="Pakistan"/>
    <x v="0"/>
  </r>
  <r>
    <x v="9"/>
    <x v="2"/>
    <x v="6"/>
    <x v="0"/>
    <x v="0"/>
    <x v="1"/>
    <s v="Eraser"/>
    <n v="3"/>
    <n v="1133.19"/>
    <n v="3059.6130000000003"/>
    <n v="339.95700000000005"/>
    <n v="3399.57"/>
    <n v="611.92259999999999"/>
    <n v="4011.4926"/>
    <s v="Pakistan"/>
    <x v="0"/>
  </r>
  <r>
    <x v="18"/>
    <x v="9"/>
    <x v="11"/>
    <x v="1"/>
    <x v="1"/>
    <x v="4"/>
    <s v="Laptop"/>
    <n v="6"/>
    <n v="623.22"/>
    <n v="3365.3880000000004"/>
    <n v="373.93200000000002"/>
    <n v="3739.32"/>
    <n v="673.07759999999996"/>
    <n v="4412.3976000000002"/>
    <s v="Pakistan"/>
    <x v="1"/>
  </r>
  <r>
    <x v="19"/>
    <x v="3"/>
    <x v="1"/>
    <x v="1"/>
    <x v="1"/>
    <x v="1"/>
    <s v="Ruler"/>
    <n v="18"/>
    <n v="698.42"/>
    <n v="11314.404"/>
    <n v="1257.1559999999999"/>
    <n v="12571.56"/>
    <n v="2262.8807999999999"/>
    <n v="14834.4408"/>
    <s v="Pakistan"/>
    <x v="1"/>
  </r>
  <r>
    <x v="20"/>
    <x v="6"/>
    <x v="12"/>
    <x v="1"/>
    <x v="1"/>
    <x v="3"/>
    <s v="Sugar"/>
    <n v="19"/>
    <n v="2494.11"/>
    <n v="42649.280999999995"/>
    <n v="4738.8090000000002"/>
    <n v="47388.09"/>
    <n v="8529.8561999999984"/>
    <n v="55917.946199999991"/>
    <s v="Pakistan"/>
    <x v="1"/>
  </r>
  <r>
    <x v="21"/>
    <x v="5"/>
    <x v="5"/>
    <x v="2"/>
    <x v="2"/>
    <x v="3"/>
    <s v="Sugar"/>
    <n v="15"/>
    <n v="3368.77"/>
    <n v="45478.395000000004"/>
    <n v="5053.1550000000007"/>
    <n v="50531.55"/>
    <n v="9095.6790000000001"/>
    <n v="59627.229000000007"/>
    <s v="Pakistan"/>
    <x v="2"/>
  </r>
  <r>
    <x v="22"/>
    <x v="2"/>
    <x v="6"/>
    <x v="0"/>
    <x v="0"/>
    <x v="0"/>
    <s v="Bed"/>
    <n v="2"/>
    <n v="962.28"/>
    <n v="1732.104"/>
    <n v="192.45600000000002"/>
    <n v="1924.56"/>
    <n v="346.42079999999999"/>
    <n v="2270.9807999999998"/>
    <s v="Pakistan"/>
    <x v="0"/>
  </r>
  <r>
    <x v="23"/>
    <x v="9"/>
    <x v="9"/>
    <x v="3"/>
    <x v="3"/>
    <x v="2"/>
    <s v="Shirt"/>
    <n v="19"/>
    <n v="1065.27"/>
    <n v="18216.117000000002"/>
    <n v="2024.0130000000001"/>
    <n v="20240.13"/>
    <n v="3643.2233999999999"/>
    <n v="23883.3534"/>
    <s v="Pakistan"/>
    <x v="3"/>
  </r>
  <r>
    <x v="24"/>
    <x v="9"/>
    <x v="7"/>
    <x v="1"/>
    <x v="1"/>
    <x v="3"/>
    <s v="Rice"/>
    <n v="10"/>
    <n v="4507.62"/>
    <n v="40568.58"/>
    <n v="4507.62"/>
    <n v="45076.2"/>
    <n v="8113.7159999999994"/>
    <n v="53189.915999999997"/>
    <s v="Pakistan"/>
    <x v="1"/>
  </r>
  <r>
    <x v="25"/>
    <x v="3"/>
    <x v="11"/>
    <x v="1"/>
    <x v="1"/>
    <x v="2"/>
    <s v="Pants"/>
    <n v="4"/>
    <n v="4373.75"/>
    <n v="15745.5"/>
    <n v="1749.5"/>
    <n v="17495"/>
    <n v="3149.1"/>
    <n v="20644.099999999999"/>
    <s v="Pakistan"/>
    <x v="1"/>
  </r>
  <r>
    <x v="26"/>
    <x v="7"/>
    <x v="1"/>
    <x v="1"/>
    <x v="1"/>
    <x v="2"/>
    <s v="Pants"/>
    <n v="4"/>
    <n v="791.28"/>
    <n v="2848.6080000000002"/>
    <n v="316.512"/>
    <n v="3165.12"/>
    <n v="569.72159999999997"/>
    <n v="3734.8415999999997"/>
    <s v="Pakistan"/>
    <x v="1"/>
  </r>
  <r>
    <x v="27"/>
    <x v="6"/>
    <x v="6"/>
    <x v="0"/>
    <x v="0"/>
    <x v="3"/>
    <s v="Lentils"/>
    <n v="14"/>
    <n v="4868.33"/>
    <n v="61340.957999999999"/>
    <n v="6815.6620000000003"/>
    <n v="68156.62"/>
    <n v="12268.191599999998"/>
    <n v="80424.811599999986"/>
    <s v="Pakistan"/>
    <x v="0"/>
  </r>
  <r>
    <x v="14"/>
    <x v="5"/>
    <x v="8"/>
    <x v="2"/>
    <x v="2"/>
    <x v="2"/>
    <s v="Shirt"/>
    <n v="12"/>
    <n v="1958.77"/>
    <n v="21154.716"/>
    <n v="2350.5240000000003"/>
    <n v="23505.24"/>
    <n v="4230.9431999999997"/>
    <n v="27736.183199999999"/>
    <s v="Pakistan"/>
    <x v="2"/>
  </r>
  <r>
    <x v="28"/>
    <x v="2"/>
    <x v="9"/>
    <x v="3"/>
    <x v="3"/>
    <x v="1"/>
    <s v="Eraser"/>
    <n v="10"/>
    <n v="3690.75"/>
    <n v="33216.75"/>
    <n v="3690.75"/>
    <n v="36907.5"/>
    <n v="6643.3499999999995"/>
    <n v="43550.85"/>
    <s v="Pakistan"/>
    <x v="3"/>
  </r>
  <r>
    <x v="29"/>
    <x v="2"/>
    <x v="7"/>
    <x v="1"/>
    <x v="1"/>
    <x v="1"/>
    <s v="Eraser"/>
    <n v="17"/>
    <n v="1037.05"/>
    <n v="15866.865"/>
    <n v="1762.9849999999999"/>
    <n v="17629.849999999999"/>
    <n v="3173.3729999999996"/>
    <n v="20803.222999999998"/>
    <s v="Pakistan"/>
    <x v="1"/>
  </r>
  <r>
    <x v="30"/>
    <x v="8"/>
    <x v="12"/>
    <x v="1"/>
    <x v="1"/>
    <x v="3"/>
    <s v="Oil"/>
    <n v="17"/>
    <n v="2215.5500000000002"/>
    <n v="33897.915000000001"/>
    <n v="3766.4349999999999"/>
    <n v="37664.35"/>
    <n v="6779.5829999999996"/>
    <n v="44443.932999999997"/>
    <s v="Pakistan"/>
    <x v="1"/>
  </r>
  <r>
    <x v="31"/>
    <x v="8"/>
    <x v="3"/>
    <x v="3"/>
    <x v="3"/>
    <x v="2"/>
    <s v="Jacket"/>
    <n v="19"/>
    <n v="1343.6"/>
    <n v="22975.56"/>
    <n v="2552.84"/>
    <n v="25528.400000000001"/>
    <n v="4595.1120000000001"/>
    <n v="30123.512000000002"/>
    <s v="Pakistan"/>
    <x v="3"/>
  </r>
  <r>
    <x v="32"/>
    <x v="8"/>
    <x v="0"/>
    <x v="0"/>
    <x v="0"/>
    <x v="3"/>
    <s v="Lentils"/>
    <n v="8"/>
    <n v="4455.43"/>
    <n v="32079.096000000001"/>
    <n v="3564.3440000000005"/>
    <n v="35643.440000000002"/>
    <n v="6415.8191999999999"/>
    <n v="42059.2592"/>
    <s v="Pakistan"/>
    <x v="0"/>
  </r>
  <r>
    <x v="33"/>
    <x v="6"/>
    <x v="5"/>
    <x v="2"/>
    <x v="2"/>
    <x v="1"/>
    <s v="Pen"/>
    <n v="9"/>
    <n v="3892.79"/>
    <n v="31531.599000000002"/>
    <n v="3503.5110000000004"/>
    <n v="35035.11"/>
    <n v="6306.3198000000002"/>
    <n v="41341.429799999998"/>
    <s v="Pakistan"/>
    <x v="2"/>
  </r>
  <r>
    <x v="20"/>
    <x v="6"/>
    <x v="11"/>
    <x v="1"/>
    <x v="1"/>
    <x v="4"/>
    <s v="Laptop"/>
    <n v="9"/>
    <n v="4618.59"/>
    <n v="37410.578999999998"/>
    <n v="4156.7309999999998"/>
    <n v="41567.31"/>
    <n v="7482.1157999999996"/>
    <n v="49049.425799999997"/>
    <s v="Pakistan"/>
    <x v="1"/>
  </r>
  <r>
    <x v="34"/>
    <x v="7"/>
    <x v="12"/>
    <x v="1"/>
    <x v="1"/>
    <x v="2"/>
    <s v="Jacket"/>
    <n v="11"/>
    <n v="3385.93"/>
    <n v="33520.707000000002"/>
    <n v="3724.5230000000006"/>
    <n v="37245.230000000003"/>
    <n v="6704.1414000000004"/>
    <n v="43949.371400000004"/>
    <s v="Pakistan"/>
    <x v="1"/>
  </r>
  <r>
    <x v="35"/>
    <x v="6"/>
    <x v="7"/>
    <x v="1"/>
    <x v="1"/>
    <x v="1"/>
    <s v="Eraser"/>
    <n v="14"/>
    <n v="2452.98"/>
    <n v="30907.548000000003"/>
    <n v="3434.1720000000005"/>
    <n v="34341.72"/>
    <n v="6181.5096000000003"/>
    <n v="40523.229599999999"/>
    <s v="Pakistan"/>
    <x v="1"/>
  </r>
  <r>
    <x v="36"/>
    <x v="0"/>
    <x v="2"/>
    <x v="2"/>
    <x v="2"/>
    <x v="4"/>
    <s v="Headphones"/>
    <n v="16"/>
    <n v="695.96"/>
    <n v="10021.824000000001"/>
    <n v="1113.5360000000001"/>
    <n v="11135.36"/>
    <n v="2004.3648000000001"/>
    <n v="13139.7248"/>
    <s v="Pakistan"/>
    <x v="2"/>
  </r>
  <r>
    <x v="37"/>
    <x v="3"/>
    <x v="7"/>
    <x v="1"/>
    <x v="1"/>
    <x v="4"/>
    <s v="Smartphone"/>
    <n v="1"/>
    <n v="1979.54"/>
    <n v="1781.586"/>
    <n v="197.95400000000001"/>
    <n v="1979.54"/>
    <n v="356.31719999999996"/>
    <n v="2335.8571999999999"/>
    <s v="Pakistan"/>
    <x v="1"/>
  </r>
  <r>
    <x v="38"/>
    <x v="5"/>
    <x v="11"/>
    <x v="1"/>
    <x v="1"/>
    <x v="1"/>
    <s v="Ruler"/>
    <n v="9"/>
    <n v="3727.82"/>
    <n v="30195.341999999997"/>
    <n v="3355.038"/>
    <n v="33550.379999999997"/>
    <n v="6039.0683999999992"/>
    <n v="39589.448399999994"/>
    <s v="Pakistan"/>
    <x v="1"/>
  </r>
  <r>
    <x v="39"/>
    <x v="0"/>
    <x v="10"/>
    <x v="2"/>
    <x v="2"/>
    <x v="3"/>
    <s v="Oil"/>
    <n v="1"/>
    <n v="1495.61"/>
    <n v="1346.049"/>
    <n v="149.56100000000001"/>
    <n v="1495.61"/>
    <n v="269.20979999999997"/>
    <n v="1764.8197999999998"/>
    <s v="Pakistan"/>
    <x v="2"/>
  </r>
  <r>
    <x v="40"/>
    <x v="7"/>
    <x v="4"/>
    <x v="2"/>
    <x v="2"/>
    <x v="2"/>
    <s v="Pants"/>
    <n v="18"/>
    <n v="1928.15"/>
    <n v="31236.03"/>
    <n v="3470.67"/>
    <n v="34706.699999999997"/>
    <n v="6247.2059999999992"/>
    <n v="40953.905999999995"/>
    <s v="Pakistan"/>
    <x v="2"/>
  </r>
  <r>
    <x v="41"/>
    <x v="4"/>
    <x v="4"/>
    <x v="2"/>
    <x v="2"/>
    <x v="1"/>
    <s v="Eraser"/>
    <n v="1"/>
    <n v="4192.3900000000003"/>
    <n v="3773.1510000000003"/>
    <n v="419.23900000000003"/>
    <n v="4192.3900000000003"/>
    <n v="754.63020000000006"/>
    <n v="4947.0202000000008"/>
    <s v="Pakistan"/>
    <x v="2"/>
  </r>
  <r>
    <x v="42"/>
    <x v="7"/>
    <x v="5"/>
    <x v="2"/>
    <x v="2"/>
    <x v="4"/>
    <s v="Tablet"/>
    <n v="7"/>
    <n v="4988.71"/>
    <n v="31428.873000000003"/>
    <n v="3492.0970000000002"/>
    <n v="34920.97"/>
    <n v="6285.7745999999997"/>
    <n v="41206.744599999998"/>
    <s v="Pakistan"/>
    <x v="2"/>
  </r>
  <r>
    <x v="43"/>
    <x v="6"/>
    <x v="12"/>
    <x v="1"/>
    <x v="1"/>
    <x v="2"/>
    <s v="Pants"/>
    <n v="9"/>
    <n v="1328.13"/>
    <n v="10757.853000000001"/>
    <n v="1195.317"/>
    <n v="11953.17"/>
    <n v="2151.5706"/>
    <n v="14104.740600000001"/>
    <s v="Pakistan"/>
    <x v="1"/>
  </r>
  <r>
    <x v="44"/>
    <x v="7"/>
    <x v="9"/>
    <x v="3"/>
    <x v="3"/>
    <x v="0"/>
    <s v="Sofa"/>
    <n v="9"/>
    <n v="722.44"/>
    <n v="5851.7640000000001"/>
    <n v="650.19600000000003"/>
    <n v="6501.96"/>
    <n v="1170.3527999999999"/>
    <n v="7672.3127999999997"/>
    <s v="Pakistan"/>
    <x v="3"/>
  </r>
  <r>
    <x v="45"/>
    <x v="2"/>
    <x v="0"/>
    <x v="0"/>
    <x v="0"/>
    <x v="2"/>
    <s v="Pants"/>
    <n v="2"/>
    <n v="4726.0600000000004"/>
    <n v="8506.9080000000013"/>
    <n v="945.2120000000001"/>
    <n v="9452.1200000000008"/>
    <n v="1701.3816000000002"/>
    <n v="11153.501600000001"/>
    <s v="Pakistan"/>
    <x v="0"/>
  </r>
  <r>
    <x v="46"/>
    <x v="6"/>
    <x v="2"/>
    <x v="2"/>
    <x v="2"/>
    <x v="2"/>
    <s v="Shirt"/>
    <n v="3"/>
    <n v="2263.4699999999998"/>
    <n v="6111.3689999999997"/>
    <n v="679.04100000000005"/>
    <n v="6790.41"/>
    <n v="1222.2737999999999"/>
    <n v="8012.6837999999998"/>
    <s v="Pakistan"/>
    <x v="2"/>
  </r>
  <r>
    <x v="47"/>
    <x v="2"/>
    <x v="6"/>
    <x v="0"/>
    <x v="0"/>
    <x v="0"/>
    <s v="Bed"/>
    <n v="20"/>
    <n v="4365.58"/>
    <n v="78580.44"/>
    <n v="8731.1600000000017"/>
    <n v="87311.6"/>
    <n v="15716.088"/>
    <n v="103027.68800000001"/>
    <s v="Pakistan"/>
    <x v="0"/>
  </r>
  <r>
    <x v="48"/>
    <x v="8"/>
    <x v="4"/>
    <x v="2"/>
    <x v="2"/>
    <x v="4"/>
    <s v="Headphones"/>
    <n v="20"/>
    <n v="3925.65"/>
    <n v="70661.7"/>
    <n v="7851.3"/>
    <n v="78513"/>
    <n v="14132.34"/>
    <n v="92645.34"/>
    <s v="Pakistan"/>
    <x v="2"/>
  </r>
  <r>
    <x v="49"/>
    <x v="1"/>
    <x v="5"/>
    <x v="2"/>
    <x v="2"/>
    <x v="0"/>
    <s v="Sofa"/>
    <n v="3"/>
    <n v="3613.98"/>
    <n v="9757.746000000001"/>
    <n v="1084.1940000000002"/>
    <n v="10841.94"/>
    <n v="1951.5491999999999"/>
    <n v="12793.4892"/>
    <s v="Pakistan"/>
    <x v="2"/>
  </r>
  <r>
    <x v="50"/>
    <x v="7"/>
    <x v="4"/>
    <x v="2"/>
    <x v="2"/>
    <x v="1"/>
    <s v="Pen"/>
    <n v="7"/>
    <n v="2483.54"/>
    <n v="15646.302"/>
    <n v="1738.4780000000001"/>
    <n v="17384.78"/>
    <n v="3129.2603999999997"/>
    <n v="20514.040399999998"/>
    <s v="Pakistan"/>
    <x v="2"/>
  </r>
  <r>
    <x v="51"/>
    <x v="4"/>
    <x v="8"/>
    <x v="2"/>
    <x v="2"/>
    <x v="0"/>
    <s v="Sofa"/>
    <n v="14"/>
    <n v="2145.21"/>
    <n v="27029.646000000001"/>
    <n v="3003.2939999999999"/>
    <n v="30032.94"/>
    <n v="5405.9291999999996"/>
    <n v="35438.869200000001"/>
    <s v="Pakistan"/>
    <x v="2"/>
  </r>
  <r>
    <x v="52"/>
    <x v="7"/>
    <x v="12"/>
    <x v="1"/>
    <x v="1"/>
    <x v="4"/>
    <s v="Smartphone"/>
    <n v="8"/>
    <n v="4997.45"/>
    <n v="35981.64"/>
    <n v="3997.96"/>
    <n v="39979.599999999999"/>
    <n v="7196.3279999999995"/>
    <n v="47175.928"/>
    <s v="Pakistan"/>
    <x v="1"/>
  </r>
  <r>
    <x v="53"/>
    <x v="8"/>
    <x v="7"/>
    <x v="1"/>
    <x v="1"/>
    <x v="4"/>
    <s v="Laptop"/>
    <n v="3"/>
    <n v="1753.98"/>
    <n v="4735.7460000000001"/>
    <n v="526.19399999999996"/>
    <n v="5261.94"/>
    <n v="947.14919999999984"/>
    <n v="6209.0891999999994"/>
    <s v="Pakistan"/>
    <x v="1"/>
  </r>
  <r>
    <x v="54"/>
    <x v="5"/>
    <x v="6"/>
    <x v="0"/>
    <x v="0"/>
    <x v="4"/>
    <s v="Smartphone"/>
    <n v="2"/>
    <n v="1207.92"/>
    <n v="2174.2560000000003"/>
    <n v="241.58400000000003"/>
    <n v="2415.84"/>
    <n v="434.85120000000001"/>
    <n v="2850.6912000000002"/>
    <s v="Pakistan"/>
    <x v="0"/>
  </r>
  <r>
    <x v="55"/>
    <x v="3"/>
    <x v="9"/>
    <x v="3"/>
    <x v="3"/>
    <x v="4"/>
    <s v="Tablet"/>
    <n v="13"/>
    <n v="4196.33"/>
    <n v="49097.061000000002"/>
    <n v="5455.2290000000003"/>
    <n v="54552.29"/>
    <n v="9819.4122000000007"/>
    <n v="64371.7022"/>
    <s v="Pakistan"/>
    <x v="3"/>
  </r>
  <r>
    <x v="56"/>
    <x v="9"/>
    <x v="13"/>
    <x v="1"/>
    <x v="1"/>
    <x v="1"/>
    <s v="Ruler"/>
    <n v="18"/>
    <n v="1310.78"/>
    <n v="21234.636000000002"/>
    <n v="2359.404"/>
    <n v="23594.04"/>
    <n v="4246.9272000000001"/>
    <n v="27840.967199999999"/>
    <s v="Pakistan"/>
    <x v="1"/>
  </r>
  <r>
    <x v="57"/>
    <x v="8"/>
    <x v="9"/>
    <x v="3"/>
    <x v="3"/>
    <x v="0"/>
    <s v="Sofa"/>
    <n v="20"/>
    <n v="2142.9"/>
    <n v="38572.200000000004"/>
    <n v="4285.8"/>
    <n v="42858"/>
    <n v="7714.44"/>
    <n v="50572.44"/>
    <s v="Pakistan"/>
    <x v="3"/>
  </r>
  <r>
    <x v="58"/>
    <x v="9"/>
    <x v="4"/>
    <x v="2"/>
    <x v="2"/>
    <x v="4"/>
    <s v="Tablet"/>
    <n v="19"/>
    <n v="1359.7"/>
    <n v="23250.87"/>
    <n v="2583.4300000000003"/>
    <n v="25834.3"/>
    <n v="4650.174"/>
    <n v="30484.473999999998"/>
    <s v="Pakistan"/>
    <x v="2"/>
  </r>
  <r>
    <x v="59"/>
    <x v="0"/>
    <x v="12"/>
    <x v="1"/>
    <x v="1"/>
    <x v="0"/>
    <s v="Sofa"/>
    <n v="16"/>
    <n v="4896.07"/>
    <n v="70503.407999999996"/>
    <n v="7833.7119999999995"/>
    <n v="78337.119999999995"/>
    <n v="14100.681599999998"/>
    <n v="92437.801599999992"/>
    <s v="Pakistan"/>
    <x v="1"/>
  </r>
  <r>
    <x v="60"/>
    <x v="4"/>
    <x v="2"/>
    <x v="2"/>
    <x v="2"/>
    <x v="1"/>
    <s v="Pen"/>
    <n v="8"/>
    <n v="4216.03"/>
    <n v="30355.415999999997"/>
    <n v="3372.8240000000001"/>
    <n v="33728.239999999998"/>
    <n v="6071.0831999999991"/>
    <n v="39799.323199999999"/>
    <s v="Pakistan"/>
    <x v="2"/>
  </r>
  <r>
    <x v="61"/>
    <x v="3"/>
    <x v="9"/>
    <x v="3"/>
    <x v="3"/>
    <x v="3"/>
    <s v="Rice"/>
    <n v="14"/>
    <n v="2134.06"/>
    <n v="26889.155999999999"/>
    <n v="2987.6840000000002"/>
    <n v="29876.84"/>
    <n v="5377.8311999999996"/>
    <n v="35254.671199999997"/>
    <s v="Pakistan"/>
    <x v="3"/>
  </r>
  <r>
    <x v="62"/>
    <x v="9"/>
    <x v="8"/>
    <x v="2"/>
    <x v="2"/>
    <x v="0"/>
    <s v="Bed"/>
    <n v="6"/>
    <n v="1523.33"/>
    <n v="8225.982"/>
    <n v="913.99800000000005"/>
    <n v="9139.98"/>
    <n v="1645.1963999999998"/>
    <n v="10785.1764"/>
    <s v="Pakistan"/>
    <x v="2"/>
  </r>
  <r>
    <x v="63"/>
    <x v="2"/>
    <x v="3"/>
    <x v="3"/>
    <x v="3"/>
    <x v="3"/>
    <s v="Lentils"/>
    <n v="13"/>
    <n v="646.63"/>
    <n v="7565.5710000000008"/>
    <n v="840.61900000000014"/>
    <n v="8406.19"/>
    <n v="1513.1142"/>
    <n v="9919.3042000000005"/>
    <s v="Pakistan"/>
    <x v="3"/>
  </r>
  <r>
    <x v="38"/>
    <x v="5"/>
    <x v="12"/>
    <x v="1"/>
    <x v="1"/>
    <x v="1"/>
    <s v="Notebook"/>
    <n v="4"/>
    <n v="4965.34"/>
    <n v="17875.224000000002"/>
    <n v="1986.1360000000002"/>
    <n v="19861.36"/>
    <n v="3575.0448000000001"/>
    <n v="23436.4048"/>
    <s v="Pakistan"/>
    <x v="1"/>
  </r>
  <r>
    <x v="64"/>
    <x v="7"/>
    <x v="9"/>
    <x v="3"/>
    <x v="3"/>
    <x v="1"/>
    <s v="Eraser"/>
    <n v="14"/>
    <n v="2883.11"/>
    <n v="36327.186000000002"/>
    <n v="4036.3540000000003"/>
    <n v="40363.54"/>
    <n v="7265.4372000000003"/>
    <n v="47628.977200000001"/>
    <s v="Pakistan"/>
    <x v="3"/>
  </r>
  <r>
    <x v="65"/>
    <x v="4"/>
    <x v="11"/>
    <x v="1"/>
    <x v="1"/>
    <x v="3"/>
    <s v="Rice"/>
    <n v="9"/>
    <n v="2819.87"/>
    <n v="22840.947000000004"/>
    <n v="2537.8830000000003"/>
    <n v="25378.83"/>
    <n v="4568.1894000000002"/>
    <n v="29947.019400000001"/>
    <s v="Pakistan"/>
    <x v="1"/>
  </r>
  <r>
    <x v="8"/>
    <x v="3"/>
    <x v="4"/>
    <x v="2"/>
    <x v="2"/>
    <x v="2"/>
    <s v="Dress"/>
    <n v="12"/>
    <n v="3961.23"/>
    <n v="42781.284"/>
    <n v="4753.4760000000006"/>
    <n v="47534.76"/>
    <n v="8556.2567999999992"/>
    <n v="56091.016799999998"/>
    <s v="Pakistan"/>
    <x v="2"/>
  </r>
  <r>
    <x v="66"/>
    <x v="5"/>
    <x v="3"/>
    <x v="3"/>
    <x v="3"/>
    <x v="2"/>
    <s v="Dress"/>
    <n v="15"/>
    <n v="2194.7199999999998"/>
    <n v="29628.720000000005"/>
    <n v="3292.0800000000004"/>
    <n v="32920.800000000003"/>
    <n v="5925.7440000000006"/>
    <n v="38846.544000000002"/>
    <s v="Pakistan"/>
    <x v="3"/>
  </r>
  <r>
    <x v="67"/>
    <x v="4"/>
    <x v="6"/>
    <x v="0"/>
    <x v="0"/>
    <x v="4"/>
    <s v="Smartphone"/>
    <n v="5"/>
    <n v="3058.74"/>
    <n v="13764.330000000002"/>
    <n v="1529.3700000000001"/>
    <n v="15293.7"/>
    <n v="2752.866"/>
    <n v="18046.565999999999"/>
    <s v="Pakistan"/>
    <x v="0"/>
  </r>
  <r>
    <x v="68"/>
    <x v="6"/>
    <x v="4"/>
    <x v="2"/>
    <x v="2"/>
    <x v="2"/>
    <s v="Dress"/>
    <n v="11"/>
    <n v="827.59"/>
    <n v="8193.1409999999996"/>
    <n v="910.34900000000005"/>
    <n v="9103.49"/>
    <n v="1638.6281999999999"/>
    <n v="10742.118199999999"/>
    <s v="Pakistan"/>
    <x v="2"/>
  </r>
  <r>
    <x v="69"/>
    <x v="7"/>
    <x v="3"/>
    <x v="3"/>
    <x v="3"/>
    <x v="4"/>
    <s v="Tablet"/>
    <n v="10"/>
    <n v="2008.29"/>
    <n v="18074.61"/>
    <n v="2008.2900000000002"/>
    <n v="20082.900000000001"/>
    <n v="3614.922"/>
    <n v="23697.822"/>
    <s v="Pakistan"/>
    <x v="3"/>
  </r>
  <r>
    <x v="16"/>
    <x v="6"/>
    <x v="10"/>
    <x v="2"/>
    <x v="2"/>
    <x v="2"/>
    <s v="Pants"/>
    <n v="3"/>
    <n v="4157.17"/>
    <n v="11224.359"/>
    <n v="1247.1510000000001"/>
    <n v="12471.51"/>
    <n v="2244.8717999999999"/>
    <n v="14716.381799999999"/>
    <s v="Pakistan"/>
    <x v="2"/>
  </r>
  <r>
    <x v="70"/>
    <x v="3"/>
    <x v="12"/>
    <x v="1"/>
    <x v="1"/>
    <x v="0"/>
    <s v="Chair"/>
    <n v="19"/>
    <n v="2880.28"/>
    <n v="49252.788"/>
    <n v="5472.5320000000002"/>
    <n v="54725.32"/>
    <n v="9850.5576000000001"/>
    <n v="64575.8776"/>
    <s v="Pakistan"/>
    <x v="1"/>
  </r>
  <r>
    <x v="71"/>
    <x v="9"/>
    <x v="7"/>
    <x v="1"/>
    <x v="1"/>
    <x v="4"/>
    <s v="Laptop"/>
    <n v="6"/>
    <n v="1212.76"/>
    <n v="6548.9040000000005"/>
    <n v="727.65600000000006"/>
    <n v="7276.56"/>
    <n v="1309.7808"/>
    <n v="8586.3407999999999"/>
    <s v="Pakistan"/>
    <x v="1"/>
  </r>
  <r>
    <x v="72"/>
    <x v="4"/>
    <x v="13"/>
    <x v="1"/>
    <x v="1"/>
    <x v="4"/>
    <s v="Smartphone"/>
    <n v="11"/>
    <n v="4463.4799999999996"/>
    <n v="44188.451999999997"/>
    <n v="4909.8280000000004"/>
    <n v="49098.28"/>
    <n v="8837.6903999999995"/>
    <n v="57935.970399999998"/>
    <s v="Pakistan"/>
    <x v="1"/>
  </r>
  <r>
    <x v="50"/>
    <x v="7"/>
    <x v="6"/>
    <x v="0"/>
    <x v="0"/>
    <x v="1"/>
    <s v="Eraser"/>
    <n v="17"/>
    <n v="3975.74"/>
    <n v="60828.822"/>
    <n v="6758.7580000000007"/>
    <n v="67587.58"/>
    <n v="12165.7644"/>
    <n v="79753.344400000002"/>
    <s v="Pakistan"/>
    <x v="0"/>
  </r>
  <r>
    <x v="73"/>
    <x v="0"/>
    <x v="1"/>
    <x v="1"/>
    <x v="1"/>
    <x v="2"/>
    <s v="Shirt"/>
    <n v="15"/>
    <n v="2158.2199999999998"/>
    <n v="29135.97"/>
    <n v="3237.33"/>
    <n v="32373.3"/>
    <n v="5827.1939999999995"/>
    <n v="38200.493999999999"/>
    <s v="Pakistan"/>
    <x v="1"/>
  </r>
  <r>
    <x v="74"/>
    <x v="2"/>
    <x v="10"/>
    <x v="2"/>
    <x v="2"/>
    <x v="2"/>
    <s v="Pants"/>
    <n v="17"/>
    <n v="1720.9"/>
    <n v="26329.77"/>
    <n v="2925.53"/>
    <n v="29255.3"/>
    <n v="5265.9539999999997"/>
    <n v="34521.254000000001"/>
    <s v="Pakistan"/>
    <x v="2"/>
  </r>
  <r>
    <x v="75"/>
    <x v="6"/>
    <x v="4"/>
    <x v="2"/>
    <x v="2"/>
    <x v="2"/>
    <s v="Dress"/>
    <n v="11"/>
    <n v="3562.92"/>
    <n v="35272.908000000003"/>
    <n v="3919.2120000000004"/>
    <n v="39192.120000000003"/>
    <n v="7054.5816000000004"/>
    <n v="46246.7016"/>
    <s v="Pakistan"/>
    <x v="2"/>
  </r>
  <r>
    <x v="76"/>
    <x v="4"/>
    <x v="4"/>
    <x v="2"/>
    <x v="2"/>
    <x v="1"/>
    <s v="Eraser"/>
    <n v="17"/>
    <n v="608.79"/>
    <n v="9314.487000000001"/>
    <n v="1034.943"/>
    <n v="10349.43"/>
    <n v="1862.8974000000001"/>
    <n v="12212.3274"/>
    <s v="Pakistan"/>
    <x v="2"/>
  </r>
  <r>
    <x v="43"/>
    <x v="5"/>
    <x v="7"/>
    <x v="1"/>
    <x v="1"/>
    <x v="3"/>
    <s v="Lentils"/>
    <n v="20"/>
    <n v="4856.17"/>
    <n v="87411.06"/>
    <n v="9712.34"/>
    <n v="97123.4"/>
    <n v="17482.212"/>
    <n v="114605.61199999999"/>
    <s v="Pakistan"/>
    <x v="1"/>
  </r>
  <r>
    <x v="63"/>
    <x v="9"/>
    <x v="8"/>
    <x v="2"/>
    <x v="2"/>
    <x v="1"/>
    <s v="Ruler"/>
    <n v="12"/>
    <n v="4298"/>
    <n v="46418.400000000001"/>
    <n v="5157.6000000000004"/>
    <n v="51576"/>
    <n v="9283.68"/>
    <n v="60859.68"/>
    <s v="Pakistan"/>
    <x v="2"/>
  </r>
  <r>
    <x v="77"/>
    <x v="4"/>
    <x v="11"/>
    <x v="1"/>
    <x v="1"/>
    <x v="4"/>
    <s v="Smartphone"/>
    <n v="7"/>
    <n v="1160.3499999999999"/>
    <n v="7310.2049999999999"/>
    <n v="812.245"/>
    <n v="8122.45"/>
    <n v="1462.0409999999999"/>
    <n v="9584.491"/>
    <s v="Pakistan"/>
    <x v="1"/>
  </r>
  <r>
    <x v="4"/>
    <x v="6"/>
    <x v="8"/>
    <x v="2"/>
    <x v="2"/>
    <x v="2"/>
    <s v="Pants"/>
    <n v="3"/>
    <n v="2488.34"/>
    <n v="6718.5180000000009"/>
    <n v="746.50200000000007"/>
    <n v="7465.02"/>
    <n v="1343.7036000000001"/>
    <n v="8808.7236000000012"/>
    <s v="Pakistan"/>
    <x v="2"/>
  </r>
  <r>
    <x v="73"/>
    <x v="2"/>
    <x v="1"/>
    <x v="1"/>
    <x v="1"/>
    <x v="0"/>
    <s v="Sofa"/>
    <n v="8"/>
    <n v="1990"/>
    <n v="14328"/>
    <n v="1592"/>
    <n v="15920"/>
    <n v="2865.6"/>
    <n v="18785.599999999999"/>
    <s v="Pakistan"/>
    <x v="1"/>
  </r>
  <r>
    <x v="78"/>
    <x v="5"/>
    <x v="13"/>
    <x v="1"/>
    <x v="1"/>
    <x v="4"/>
    <s v="Smartphone"/>
    <n v="20"/>
    <n v="2446.21"/>
    <n v="44031.78"/>
    <n v="4892.42"/>
    <n v="48924.2"/>
    <n v="8806.3559999999998"/>
    <n v="57730.555999999997"/>
    <s v="Pakistan"/>
    <x v="1"/>
  </r>
  <r>
    <x v="79"/>
    <x v="3"/>
    <x v="12"/>
    <x v="1"/>
    <x v="1"/>
    <x v="1"/>
    <s v="Notebook"/>
    <n v="11"/>
    <n v="1841.84"/>
    <n v="18234.216"/>
    <n v="2026.0240000000003"/>
    <n v="20260.240000000002"/>
    <n v="3646.8432000000003"/>
    <n v="23907.083200000001"/>
    <s v="Pakistan"/>
    <x v="1"/>
  </r>
  <r>
    <x v="80"/>
    <x v="5"/>
    <x v="4"/>
    <x v="2"/>
    <x v="2"/>
    <x v="4"/>
    <s v="Headphones"/>
    <n v="5"/>
    <n v="3289.83"/>
    <n v="14804.235000000002"/>
    <n v="1644.9150000000002"/>
    <n v="16449.150000000001"/>
    <n v="2960.8470000000002"/>
    <n v="19409.997000000003"/>
    <s v="Pakistan"/>
    <x v="2"/>
  </r>
  <r>
    <x v="81"/>
    <x v="6"/>
    <x v="4"/>
    <x v="2"/>
    <x v="2"/>
    <x v="3"/>
    <s v="Sugar"/>
    <n v="6"/>
    <n v="549.79999999999995"/>
    <n v="2968.92"/>
    <n v="329.88000000000005"/>
    <n v="3298.8"/>
    <n v="593.78399999999999"/>
    <n v="3892.5840000000003"/>
    <s v="Pakistan"/>
    <x v="2"/>
  </r>
  <r>
    <x v="82"/>
    <x v="7"/>
    <x v="3"/>
    <x v="3"/>
    <x v="3"/>
    <x v="4"/>
    <s v="Headphones"/>
    <n v="20"/>
    <n v="4397.46"/>
    <n v="79154.28"/>
    <n v="8794.92"/>
    <n v="87949.2"/>
    <n v="15830.856"/>
    <n v="103780.056"/>
    <s v="Pakistan"/>
    <x v="3"/>
  </r>
  <r>
    <x v="83"/>
    <x v="6"/>
    <x v="2"/>
    <x v="2"/>
    <x v="2"/>
    <x v="3"/>
    <s v="Lentils"/>
    <n v="3"/>
    <n v="3107.88"/>
    <n v="8391.2759999999998"/>
    <n v="932.36400000000003"/>
    <n v="9323.64"/>
    <n v="1678.2551999999998"/>
    <n v="11001.895199999999"/>
    <s v="Pakistan"/>
    <x v="2"/>
  </r>
  <r>
    <x v="52"/>
    <x v="0"/>
    <x v="10"/>
    <x v="2"/>
    <x v="2"/>
    <x v="0"/>
    <s v="Chair"/>
    <n v="11"/>
    <n v="1451.86"/>
    <n v="14373.413999999999"/>
    <n v="1597.046"/>
    <n v="15970.46"/>
    <n v="2874.6827999999996"/>
    <n v="18845.142799999998"/>
    <s v="Pakistan"/>
    <x v="2"/>
  </r>
  <r>
    <x v="84"/>
    <x v="6"/>
    <x v="1"/>
    <x v="1"/>
    <x v="1"/>
    <x v="3"/>
    <s v="Oil"/>
    <n v="13"/>
    <n v="4087.03"/>
    <n v="47818.251000000004"/>
    <n v="5313.1390000000001"/>
    <n v="53131.39"/>
    <n v="9563.6502"/>
    <n v="62695.040200000003"/>
    <s v="Pakistan"/>
    <x v="1"/>
  </r>
  <r>
    <x v="85"/>
    <x v="0"/>
    <x v="8"/>
    <x v="2"/>
    <x v="2"/>
    <x v="1"/>
    <s v="Ruler"/>
    <n v="12"/>
    <n v="3040.08"/>
    <n v="32832.864000000001"/>
    <n v="3648.096"/>
    <n v="36480.959999999999"/>
    <n v="6566.5727999999999"/>
    <n v="43047.532800000001"/>
    <s v="Pakistan"/>
    <x v="2"/>
  </r>
  <r>
    <x v="69"/>
    <x v="5"/>
    <x v="4"/>
    <x v="2"/>
    <x v="2"/>
    <x v="3"/>
    <s v="Sugar"/>
    <n v="19"/>
    <n v="3968.42"/>
    <n v="67859.982000000004"/>
    <n v="7539.9979999999996"/>
    <n v="75399.98"/>
    <n v="13571.996399999998"/>
    <n v="88971.9764"/>
    <s v="Pakistan"/>
    <x v="2"/>
  </r>
  <r>
    <x v="86"/>
    <x v="9"/>
    <x v="6"/>
    <x v="0"/>
    <x v="0"/>
    <x v="4"/>
    <s v="Laptop"/>
    <n v="4"/>
    <n v="894.64"/>
    <n v="3220.7040000000002"/>
    <n v="357.85599999999999"/>
    <n v="3578.56"/>
    <n v="644.14080000000001"/>
    <n v="4222.7007999999996"/>
    <s v="Pakistan"/>
    <x v="0"/>
  </r>
  <r>
    <x v="87"/>
    <x v="6"/>
    <x v="6"/>
    <x v="0"/>
    <x v="0"/>
    <x v="3"/>
    <s v="Oil"/>
    <n v="20"/>
    <n v="1787.99"/>
    <n v="32183.820000000003"/>
    <n v="3575.9800000000005"/>
    <n v="35759.800000000003"/>
    <n v="6436.7640000000001"/>
    <n v="42196.564000000006"/>
    <s v="Pakistan"/>
    <x v="0"/>
  </r>
  <r>
    <x v="88"/>
    <x v="0"/>
    <x v="4"/>
    <x v="2"/>
    <x v="2"/>
    <x v="0"/>
    <s v="Bed"/>
    <n v="17"/>
    <n v="2910.12"/>
    <n v="44524.836000000003"/>
    <n v="4947.2040000000006"/>
    <n v="49472.04"/>
    <n v="8904.9671999999991"/>
    <n v="58377.0072"/>
    <s v="Pakistan"/>
    <x v="2"/>
  </r>
  <r>
    <x v="82"/>
    <x v="9"/>
    <x v="1"/>
    <x v="1"/>
    <x v="1"/>
    <x v="3"/>
    <s v="Lentils"/>
    <n v="16"/>
    <n v="827.8"/>
    <n v="11920.32"/>
    <n v="1324.48"/>
    <n v="13244.8"/>
    <n v="2384.0639999999999"/>
    <n v="15628.864"/>
    <s v="Pakistan"/>
    <x v="1"/>
  </r>
  <r>
    <x v="89"/>
    <x v="2"/>
    <x v="8"/>
    <x v="2"/>
    <x v="2"/>
    <x v="1"/>
    <s v="Eraser"/>
    <n v="18"/>
    <n v="3093.44"/>
    <n v="50113.728000000003"/>
    <n v="5568.192"/>
    <n v="55681.919999999998"/>
    <n v="10022.7456"/>
    <n v="65704.665599999993"/>
    <s v="Pakistan"/>
    <x v="2"/>
  </r>
  <r>
    <x v="90"/>
    <x v="6"/>
    <x v="5"/>
    <x v="2"/>
    <x v="2"/>
    <x v="2"/>
    <s v="Shirt"/>
    <n v="10"/>
    <n v="2469.04"/>
    <n v="22221.360000000001"/>
    <n v="2469.0400000000004"/>
    <n v="24690.400000000001"/>
    <n v="4444.2719999999999"/>
    <n v="29134.672000000002"/>
    <s v="Pakistan"/>
    <x v="2"/>
  </r>
  <r>
    <x v="91"/>
    <x v="2"/>
    <x v="5"/>
    <x v="2"/>
    <x v="2"/>
    <x v="1"/>
    <s v="Ruler"/>
    <n v="12"/>
    <n v="2127.2800000000002"/>
    <n v="22974.624"/>
    <n v="2552.7360000000003"/>
    <n v="25527.360000000001"/>
    <n v="4594.9247999999998"/>
    <n v="30122.284800000001"/>
    <s v="Pakistan"/>
    <x v="2"/>
  </r>
  <r>
    <x v="92"/>
    <x v="5"/>
    <x v="5"/>
    <x v="2"/>
    <x v="2"/>
    <x v="4"/>
    <s v="Laptop"/>
    <n v="1"/>
    <n v="1811.76"/>
    <n v="1630.5840000000001"/>
    <n v="181.17600000000002"/>
    <n v="1811.76"/>
    <n v="326.11680000000001"/>
    <n v="2137.8768"/>
    <s v="Pakistan"/>
    <x v="2"/>
  </r>
  <r>
    <x v="93"/>
    <x v="8"/>
    <x v="12"/>
    <x v="1"/>
    <x v="1"/>
    <x v="0"/>
    <s v="Bed"/>
    <n v="4"/>
    <n v="4485.82"/>
    <n v="16148.951999999999"/>
    <n v="1794.328"/>
    <n v="17943.28"/>
    <n v="3229.7903999999999"/>
    <n v="21173.070399999997"/>
    <s v="Pakistan"/>
    <x v="1"/>
  </r>
  <r>
    <x v="94"/>
    <x v="8"/>
    <x v="6"/>
    <x v="0"/>
    <x v="0"/>
    <x v="4"/>
    <s v="Laptop"/>
    <n v="8"/>
    <n v="4649.3500000000004"/>
    <n v="33475.320000000007"/>
    <n v="3719.4800000000005"/>
    <n v="37194.800000000003"/>
    <n v="6695.0640000000003"/>
    <n v="43889.864000000001"/>
    <s v="Pakistan"/>
    <x v="0"/>
  </r>
  <r>
    <x v="95"/>
    <x v="1"/>
    <x v="3"/>
    <x v="3"/>
    <x v="3"/>
    <x v="0"/>
    <s v="Chair"/>
    <n v="3"/>
    <n v="4027.17"/>
    <n v="10873.359"/>
    <n v="1208.1510000000001"/>
    <n v="12081.51"/>
    <n v="2174.6718000000001"/>
    <n v="14256.1818"/>
    <s v="Pakistan"/>
    <x v="3"/>
  </r>
  <r>
    <x v="96"/>
    <x v="8"/>
    <x v="4"/>
    <x v="2"/>
    <x v="2"/>
    <x v="4"/>
    <s v="Smartphone"/>
    <n v="14"/>
    <n v="4406.29"/>
    <n v="55519.254000000001"/>
    <n v="6168.8060000000005"/>
    <n v="61688.06"/>
    <n v="11103.850799999998"/>
    <n v="72791.910799999998"/>
    <s v="Pakistan"/>
    <x v="2"/>
  </r>
  <r>
    <x v="97"/>
    <x v="1"/>
    <x v="5"/>
    <x v="2"/>
    <x v="2"/>
    <x v="3"/>
    <s v="Sugar"/>
    <n v="20"/>
    <n v="4072.4"/>
    <n v="73303.199999999997"/>
    <n v="8144.8"/>
    <n v="81448"/>
    <n v="14660.64"/>
    <n v="96108.64"/>
    <s v="Pakistan"/>
    <x v="2"/>
  </r>
  <r>
    <x v="98"/>
    <x v="4"/>
    <x v="4"/>
    <x v="2"/>
    <x v="2"/>
    <x v="3"/>
    <s v="Oil"/>
    <n v="1"/>
    <n v="4801.38"/>
    <n v="4321.2420000000002"/>
    <n v="480.13800000000003"/>
    <n v="4801.38"/>
    <n v="864.24839999999995"/>
    <n v="5665.6283999999996"/>
    <s v="Pakistan"/>
    <x v="2"/>
  </r>
  <r>
    <x v="99"/>
    <x v="6"/>
    <x v="2"/>
    <x v="2"/>
    <x v="2"/>
    <x v="2"/>
    <s v="Shirt"/>
    <n v="17"/>
    <n v="828.26"/>
    <n v="12672.378000000001"/>
    <n v="1408.0420000000001"/>
    <n v="14080.42"/>
    <n v="2534.4755999999998"/>
    <n v="16614.8956"/>
    <s v="Pakistan"/>
    <x v="2"/>
  </r>
  <r>
    <x v="100"/>
    <x v="3"/>
    <x v="10"/>
    <x v="2"/>
    <x v="2"/>
    <x v="3"/>
    <s v="Sugar"/>
    <n v="13"/>
    <n v="4331.5"/>
    <n v="50678.55"/>
    <n v="5630.9500000000007"/>
    <n v="56309.5"/>
    <n v="10135.709999999999"/>
    <n v="66445.209999999992"/>
    <s v="Pakistan"/>
    <x v="2"/>
  </r>
  <r>
    <x v="94"/>
    <x v="4"/>
    <x v="9"/>
    <x v="3"/>
    <x v="3"/>
    <x v="2"/>
    <s v="Shirt"/>
    <n v="14"/>
    <n v="3404.4"/>
    <n v="42895.44"/>
    <n v="4766.16"/>
    <n v="47661.599999999999"/>
    <n v="8579.0879999999997"/>
    <n v="56240.687999999995"/>
    <s v="Pakistan"/>
    <x v="3"/>
  </r>
  <r>
    <x v="101"/>
    <x v="8"/>
    <x v="0"/>
    <x v="0"/>
    <x v="0"/>
    <x v="0"/>
    <s v="Chair"/>
    <n v="20"/>
    <n v="3734.44"/>
    <n v="67219.92"/>
    <n v="7468.880000000001"/>
    <n v="74688.800000000003"/>
    <n v="13443.984"/>
    <n v="88132.784"/>
    <s v="Pakistan"/>
    <x v="0"/>
  </r>
  <r>
    <x v="102"/>
    <x v="9"/>
    <x v="0"/>
    <x v="0"/>
    <x v="0"/>
    <x v="0"/>
    <s v="Bed"/>
    <n v="6"/>
    <n v="112.76"/>
    <n v="608.904"/>
    <n v="67.655999999999992"/>
    <n v="676.56"/>
    <n v="121.78079999999999"/>
    <n v="798.34079999999994"/>
    <s v="Pakistan"/>
    <x v="0"/>
  </r>
  <r>
    <x v="103"/>
    <x v="9"/>
    <x v="11"/>
    <x v="1"/>
    <x v="1"/>
    <x v="4"/>
    <s v="Headphones"/>
    <n v="6"/>
    <n v="4751.7700000000004"/>
    <n v="25659.558000000001"/>
    <n v="2851.0619999999999"/>
    <n v="28510.62"/>
    <n v="5131.9115999999995"/>
    <n v="33642.531600000002"/>
    <s v="Pakistan"/>
    <x v="1"/>
  </r>
  <r>
    <x v="104"/>
    <x v="2"/>
    <x v="10"/>
    <x v="2"/>
    <x v="2"/>
    <x v="3"/>
    <s v="Sugar"/>
    <n v="4"/>
    <n v="3214.1"/>
    <n v="11570.76"/>
    <n v="1285.6400000000001"/>
    <n v="12856.4"/>
    <n v="2314.152"/>
    <n v="15170.552"/>
    <s v="Pakistan"/>
    <x v="2"/>
  </r>
  <r>
    <x v="105"/>
    <x v="0"/>
    <x v="11"/>
    <x v="1"/>
    <x v="1"/>
    <x v="4"/>
    <s v="Laptop"/>
    <n v="20"/>
    <n v="598.97"/>
    <n v="10781.46"/>
    <n v="1197.94"/>
    <n v="11979.4"/>
    <n v="2156.2919999999999"/>
    <n v="14135.691999999999"/>
    <s v="Pakistan"/>
    <x v="1"/>
  </r>
  <r>
    <x v="39"/>
    <x v="9"/>
    <x v="0"/>
    <x v="0"/>
    <x v="0"/>
    <x v="0"/>
    <s v="Bed"/>
    <n v="15"/>
    <n v="1513.67"/>
    <n v="20434.544999999998"/>
    <n v="2270.5050000000001"/>
    <n v="22705.05"/>
    <n v="4086.9089999999997"/>
    <n v="26791.958999999999"/>
    <s v="Pakistan"/>
    <x v="0"/>
  </r>
  <r>
    <x v="106"/>
    <x v="6"/>
    <x v="13"/>
    <x v="1"/>
    <x v="1"/>
    <x v="2"/>
    <s v="Pants"/>
    <n v="6"/>
    <n v="194.62"/>
    <n v="1050.9480000000001"/>
    <n v="116.77200000000001"/>
    <n v="1167.72"/>
    <n v="210.18959999999998"/>
    <n v="1377.9096"/>
    <s v="Pakistan"/>
    <x v="1"/>
  </r>
  <r>
    <x v="80"/>
    <x v="7"/>
    <x v="13"/>
    <x v="1"/>
    <x v="1"/>
    <x v="2"/>
    <s v="Pants"/>
    <n v="6"/>
    <n v="4508.3"/>
    <n v="24344.82"/>
    <n v="2704.98"/>
    <n v="27049.8"/>
    <n v="4868.9639999999999"/>
    <n v="31918.763999999999"/>
    <s v="Pakistan"/>
    <x v="1"/>
  </r>
  <r>
    <x v="107"/>
    <x v="5"/>
    <x v="7"/>
    <x v="1"/>
    <x v="1"/>
    <x v="0"/>
    <s v="Chair"/>
    <n v="20"/>
    <n v="4055.72"/>
    <n v="73002.959999999992"/>
    <n v="8111.44"/>
    <n v="81114.399999999994"/>
    <n v="14600.591999999999"/>
    <n v="95714.991999999998"/>
    <s v="Pakistan"/>
    <x v="1"/>
  </r>
  <r>
    <x v="49"/>
    <x v="6"/>
    <x v="3"/>
    <x v="3"/>
    <x v="3"/>
    <x v="0"/>
    <s v="Chair"/>
    <n v="8"/>
    <n v="2986.89"/>
    <n v="21505.608"/>
    <n v="2389.5120000000002"/>
    <n v="23895.119999999999"/>
    <n v="4301.1215999999995"/>
    <n v="28196.241599999998"/>
    <s v="Pakistan"/>
    <x v="3"/>
  </r>
  <r>
    <x v="62"/>
    <x v="4"/>
    <x v="8"/>
    <x v="2"/>
    <x v="2"/>
    <x v="4"/>
    <s v="Smartphone"/>
    <n v="7"/>
    <n v="4933.0600000000004"/>
    <n v="31078.277999999998"/>
    <n v="3453.1419999999998"/>
    <n v="34531.42"/>
    <n v="6215.6555999999991"/>
    <n v="40747.075599999996"/>
    <s v="Pakistan"/>
    <x v="2"/>
  </r>
  <r>
    <x v="108"/>
    <x v="8"/>
    <x v="2"/>
    <x v="2"/>
    <x v="2"/>
    <x v="1"/>
    <s v="Ruler"/>
    <n v="4"/>
    <n v="4837.17"/>
    <n v="17413.812000000002"/>
    <n v="1934.8680000000002"/>
    <n v="19348.68"/>
    <n v="3482.7624000000001"/>
    <n v="22831.4424"/>
    <s v="Pakistan"/>
    <x v="2"/>
  </r>
  <r>
    <x v="109"/>
    <x v="6"/>
    <x v="11"/>
    <x v="1"/>
    <x v="1"/>
    <x v="1"/>
    <s v="Ruler"/>
    <n v="1"/>
    <n v="4813.2299999999996"/>
    <n v="4331.9070000000002"/>
    <n v="481.32299999999998"/>
    <n v="4813.2299999999996"/>
    <n v="866.38139999999987"/>
    <n v="5679.6113999999998"/>
    <s v="Pakistan"/>
    <x v="1"/>
  </r>
  <r>
    <x v="22"/>
    <x v="6"/>
    <x v="6"/>
    <x v="0"/>
    <x v="0"/>
    <x v="2"/>
    <s v="Jacket"/>
    <n v="16"/>
    <n v="3158.66"/>
    <n v="45484.703999999998"/>
    <n v="5053.8559999999998"/>
    <n v="50538.559999999998"/>
    <n v="9096.9407999999985"/>
    <n v="59635.500799999994"/>
    <s v="Pakistan"/>
    <x v="0"/>
  </r>
  <r>
    <x v="110"/>
    <x v="1"/>
    <x v="0"/>
    <x v="0"/>
    <x v="0"/>
    <x v="4"/>
    <s v="Laptop"/>
    <n v="6"/>
    <n v="2920.43"/>
    <n v="15770.322000000002"/>
    <n v="1752.2580000000003"/>
    <n v="17522.580000000002"/>
    <n v="3154.0644000000002"/>
    <n v="20676.644400000001"/>
    <s v="Pakistan"/>
    <x v="0"/>
  </r>
  <r>
    <x v="111"/>
    <x v="1"/>
    <x v="0"/>
    <x v="0"/>
    <x v="0"/>
    <x v="2"/>
    <s v="Pants"/>
    <n v="12"/>
    <n v="2170.02"/>
    <n v="23436.216"/>
    <n v="2604.0240000000003"/>
    <n v="26040.240000000002"/>
    <n v="4687.2431999999999"/>
    <n v="30727.483200000002"/>
    <s v="Pakistan"/>
    <x v="0"/>
  </r>
  <r>
    <x v="112"/>
    <x v="4"/>
    <x v="0"/>
    <x v="0"/>
    <x v="0"/>
    <x v="4"/>
    <s v="Headphones"/>
    <n v="2"/>
    <n v="4542.6099999999997"/>
    <n v="8176.6979999999994"/>
    <n v="908.52199999999993"/>
    <n v="9085.2199999999993"/>
    <n v="1635.3395999999998"/>
    <n v="10720.559599999999"/>
    <s v="Pakistan"/>
    <x v="0"/>
  </r>
  <r>
    <x v="5"/>
    <x v="2"/>
    <x v="9"/>
    <x v="3"/>
    <x v="3"/>
    <x v="4"/>
    <s v="Headphones"/>
    <n v="1"/>
    <n v="3091.48"/>
    <n v="2782.3319999999999"/>
    <n v="309.14800000000002"/>
    <n v="3091.48"/>
    <n v="556.46640000000002"/>
    <n v="3647.9463999999998"/>
    <s v="Pakistan"/>
    <x v="3"/>
  </r>
  <r>
    <x v="113"/>
    <x v="6"/>
    <x v="10"/>
    <x v="2"/>
    <x v="2"/>
    <x v="0"/>
    <s v="Table"/>
    <n v="3"/>
    <n v="2205.6"/>
    <n v="5955.12"/>
    <n v="661.68000000000006"/>
    <n v="6616.8"/>
    <n v="1191.0239999999999"/>
    <n v="7807.8240000000005"/>
    <s v="Pakistan"/>
    <x v="2"/>
  </r>
  <r>
    <x v="114"/>
    <x v="2"/>
    <x v="0"/>
    <x v="0"/>
    <x v="0"/>
    <x v="4"/>
    <s v="Smartphone"/>
    <n v="10"/>
    <n v="4282.18"/>
    <n v="38539.620000000003"/>
    <n v="4282.18"/>
    <n v="42821.8"/>
    <n v="7707.924"/>
    <n v="50529.724000000002"/>
    <s v="Pakistan"/>
    <x v="0"/>
  </r>
  <r>
    <x v="115"/>
    <x v="4"/>
    <x v="2"/>
    <x v="2"/>
    <x v="2"/>
    <x v="1"/>
    <s v="Ruler"/>
    <n v="5"/>
    <n v="4252.84"/>
    <n v="19137.780000000002"/>
    <n v="2126.42"/>
    <n v="21264.2"/>
    <n v="3827.556"/>
    <n v="25091.756000000001"/>
    <s v="Pakistan"/>
    <x v="2"/>
  </r>
  <r>
    <x v="116"/>
    <x v="1"/>
    <x v="4"/>
    <x v="2"/>
    <x v="2"/>
    <x v="0"/>
    <s v="Chair"/>
    <n v="3"/>
    <n v="916.33"/>
    <n v="2474.0909999999999"/>
    <n v="274.899"/>
    <n v="2748.99"/>
    <n v="494.81819999999993"/>
    <n v="3243.8081999999995"/>
    <s v="Pakistan"/>
    <x v="2"/>
  </r>
  <r>
    <x v="117"/>
    <x v="1"/>
    <x v="7"/>
    <x v="1"/>
    <x v="1"/>
    <x v="0"/>
    <s v="Chair"/>
    <n v="3"/>
    <n v="1270.1500000000001"/>
    <n v="3429.4049999999997"/>
    <n v="381.04500000000002"/>
    <n v="3810.45"/>
    <n v="685.88099999999997"/>
    <n v="4496.3310000000001"/>
    <s v="Pakistan"/>
    <x v="1"/>
  </r>
  <r>
    <x v="118"/>
    <x v="2"/>
    <x v="1"/>
    <x v="1"/>
    <x v="1"/>
    <x v="0"/>
    <s v="Bed"/>
    <n v="6"/>
    <n v="1750.35"/>
    <n v="9451.8900000000012"/>
    <n v="1050.21"/>
    <n v="10502.1"/>
    <n v="1890.3779999999999"/>
    <n v="12392.478000000001"/>
    <s v="Pakistan"/>
    <x v="1"/>
  </r>
  <r>
    <x v="119"/>
    <x v="0"/>
    <x v="1"/>
    <x v="1"/>
    <x v="1"/>
    <x v="3"/>
    <s v="Lentils"/>
    <n v="6"/>
    <n v="1105.03"/>
    <n v="5967.1620000000003"/>
    <n v="663.01800000000003"/>
    <n v="6630.18"/>
    <n v="1193.4323999999999"/>
    <n v="7823.6124"/>
    <s v="Pakistan"/>
    <x v="1"/>
  </r>
  <r>
    <x v="120"/>
    <x v="6"/>
    <x v="1"/>
    <x v="1"/>
    <x v="1"/>
    <x v="0"/>
    <s v="Table"/>
    <n v="17"/>
    <n v="1801.69"/>
    <n v="27565.857"/>
    <n v="3062.873"/>
    <n v="30628.73"/>
    <n v="5513.1713999999993"/>
    <n v="36141.901400000002"/>
    <s v="Pakistan"/>
    <x v="1"/>
  </r>
  <r>
    <x v="53"/>
    <x v="7"/>
    <x v="12"/>
    <x v="1"/>
    <x v="1"/>
    <x v="4"/>
    <s v="Headphones"/>
    <n v="19"/>
    <n v="717.29"/>
    <n v="12265.659"/>
    <n v="1362.8510000000001"/>
    <n v="13628.51"/>
    <n v="2453.1318000000001"/>
    <n v="16081.641800000001"/>
    <s v="Pakistan"/>
    <x v="1"/>
  </r>
  <r>
    <x v="79"/>
    <x v="2"/>
    <x v="13"/>
    <x v="1"/>
    <x v="1"/>
    <x v="1"/>
    <s v="Pen"/>
    <n v="2"/>
    <n v="4547.16"/>
    <n v="8184.8879999999999"/>
    <n v="909.43200000000002"/>
    <n v="9094.32"/>
    <n v="1636.9775999999999"/>
    <n v="10731.2976"/>
    <s v="Pakistan"/>
    <x v="1"/>
  </r>
  <r>
    <x v="121"/>
    <x v="6"/>
    <x v="4"/>
    <x v="2"/>
    <x v="2"/>
    <x v="2"/>
    <s v="Dress"/>
    <n v="2"/>
    <n v="4818.49"/>
    <n v="8673.2819999999992"/>
    <n v="963.69799999999998"/>
    <n v="9636.98"/>
    <n v="1734.6563999999998"/>
    <n v="11371.636399999999"/>
    <s v="Pakistan"/>
    <x v="2"/>
  </r>
  <r>
    <x v="122"/>
    <x v="3"/>
    <x v="5"/>
    <x v="2"/>
    <x v="2"/>
    <x v="1"/>
    <s v="Ruler"/>
    <n v="14"/>
    <n v="1410.91"/>
    <n v="17777.466"/>
    <n v="1975.2740000000003"/>
    <n v="19752.740000000002"/>
    <n v="3555.4932000000003"/>
    <n v="23308.233200000002"/>
    <s v="Pakistan"/>
    <x v="2"/>
  </r>
  <r>
    <x v="123"/>
    <x v="9"/>
    <x v="2"/>
    <x v="2"/>
    <x v="2"/>
    <x v="2"/>
    <s v="Dress"/>
    <n v="20"/>
    <n v="239.35"/>
    <n v="4308.3"/>
    <n v="478.70000000000005"/>
    <n v="4787"/>
    <n v="861.66"/>
    <n v="5648.66"/>
    <s v="Pakistan"/>
    <x v="2"/>
  </r>
  <r>
    <x v="15"/>
    <x v="4"/>
    <x v="13"/>
    <x v="1"/>
    <x v="1"/>
    <x v="1"/>
    <s v="Pen"/>
    <n v="16"/>
    <n v="4096.74"/>
    <n v="58993.055999999997"/>
    <n v="6554.7839999999997"/>
    <n v="65547.839999999997"/>
    <n v="11798.611199999999"/>
    <n v="77346.451199999996"/>
    <s v="Pakistan"/>
    <x v="1"/>
  </r>
  <r>
    <x v="124"/>
    <x v="4"/>
    <x v="5"/>
    <x v="2"/>
    <x v="2"/>
    <x v="1"/>
    <s v="Eraser"/>
    <n v="14"/>
    <n v="3507.25"/>
    <n v="44191.35"/>
    <n v="4910.1500000000005"/>
    <n v="49101.5"/>
    <n v="8838.27"/>
    <n v="57939.770000000004"/>
    <s v="Pakistan"/>
    <x v="2"/>
  </r>
  <r>
    <x v="125"/>
    <x v="3"/>
    <x v="9"/>
    <x v="3"/>
    <x v="3"/>
    <x v="1"/>
    <s v="Pen"/>
    <n v="16"/>
    <n v="4507.37"/>
    <n v="64906.127999999997"/>
    <n v="7211.7920000000004"/>
    <n v="72117.919999999998"/>
    <n v="12981.2256"/>
    <n v="85099.145600000003"/>
    <s v="Pakistan"/>
    <x v="3"/>
  </r>
  <r>
    <x v="59"/>
    <x v="4"/>
    <x v="4"/>
    <x v="2"/>
    <x v="2"/>
    <x v="0"/>
    <s v="Bed"/>
    <n v="10"/>
    <n v="239.55"/>
    <n v="2155.9500000000003"/>
    <n v="239.55"/>
    <n v="2395.5"/>
    <n v="431.19"/>
    <n v="2826.69"/>
    <s v="Pakistan"/>
    <x v="2"/>
  </r>
  <r>
    <x v="65"/>
    <x v="0"/>
    <x v="0"/>
    <x v="0"/>
    <x v="0"/>
    <x v="1"/>
    <s v="Eraser"/>
    <n v="17"/>
    <n v="679.78"/>
    <n v="10400.634"/>
    <n v="1155.626"/>
    <n v="11556.26"/>
    <n v="2080.1268"/>
    <n v="13636.3868"/>
    <s v="Pakistan"/>
    <x v="0"/>
  </r>
  <r>
    <x v="126"/>
    <x v="4"/>
    <x v="6"/>
    <x v="0"/>
    <x v="0"/>
    <x v="0"/>
    <s v="Chair"/>
    <n v="18"/>
    <n v="2658.57"/>
    <n v="43068.834000000003"/>
    <n v="4785.4260000000004"/>
    <n v="47854.26"/>
    <n v="8613.7667999999994"/>
    <n v="56468.0268"/>
    <s v="Pakistan"/>
    <x v="0"/>
  </r>
  <r>
    <x v="91"/>
    <x v="7"/>
    <x v="1"/>
    <x v="1"/>
    <x v="1"/>
    <x v="0"/>
    <s v="Table"/>
    <n v="18"/>
    <n v="4937.99"/>
    <n v="79995.438000000009"/>
    <n v="8888.3820000000014"/>
    <n v="88883.82"/>
    <n v="15999.087600000001"/>
    <n v="104882.90760000001"/>
    <s v="Pakistan"/>
    <x v="1"/>
  </r>
  <r>
    <x v="96"/>
    <x v="7"/>
    <x v="10"/>
    <x v="2"/>
    <x v="2"/>
    <x v="0"/>
    <s v="Sofa"/>
    <n v="17"/>
    <n v="3421.31"/>
    <n v="52346.042999999998"/>
    <n v="5816.2269999999999"/>
    <n v="58162.27"/>
    <n v="10469.2086"/>
    <n v="68631.478600000002"/>
    <s v="Pakistan"/>
    <x v="2"/>
  </r>
  <r>
    <x v="115"/>
    <x v="9"/>
    <x v="11"/>
    <x v="1"/>
    <x v="1"/>
    <x v="4"/>
    <s v="Headphones"/>
    <n v="4"/>
    <n v="1555.9"/>
    <n v="5601.2400000000007"/>
    <n v="622.36000000000013"/>
    <n v="6223.6"/>
    <n v="1120.248"/>
    <n v="7343.848"/>
    <s v="Pakistan"/>
    <x v="1"/>
  </r>
  <r>
    <x v="127"/>
    <x v="5"/>
    <x v="9"/>
    <x v="3"/>
    <x v="3"/>
    <x v="4"/>
    <s v="Headphones"/>
    <n v="12"/>
    <n v="932.42"/>
    <n v="10070.136"/>
    <n v="1118.9040000000002"/>
    <n v="11189.04"/>
    <n v="2014.0272"/>
    <n v="13203.067200000001"/>
    <s v="Pakistan"/>
    <x v="3"/>
  </r>
  <r>
    <x v="98"/>
    <x v="4"/>
    <x v="6"/>
    <x v="0"/>
    <x v="0"/>
    <x v="0"/>
    <s v="Chair"/>
    <n v="20"/>
    <n v="459.48"/>
    <n v="8270.6400000000012"/>
    <n v="918.96"/>
    <n v="9189.6"/>
    <n v="1654.1279999999999"/>
    <n v="10843.728000000001"/>
    <s v="Pakistan"/>
    <x v="0"/>
  </r>
  <r>
    <x v="81"/>
    <x v="1"/>
    <x v="2"/>
    <x v="2"/>
    <x v="2"/>
    <x v="4"/>
    <s v="Smartphone"/>
    <n v="5"/>
    <n v="568.87"/>
    <n v="2559.915"/>
    <n v="284.435"/>
    <n v="2844.35"/>
    <n v="511.98299999999995"/>
    <n v="3356.3329999999996"/>
    <s v="Pakistan"/>
    <x v="2"/>
  </r>
  <r>
    <x v="74"/>
    <x v="2"/>
    <x v="12"/>
    <x v="1"/>
    <x v="1"/>
    <x v="2"/>
    <s v="Jacket"/>
    <n v="10"/>
    <n v="1468.96"/>
    <n v="13220.640000000001"/>
    <n v="1468.96"/>
    <n v="14689.6"/>
    <n v="2644.1280000000002"/>
    <n v="17333.727999999999"/>
    <s v="Pakistan"/>
    <x v="1"/>
  </r>
  <r>
    <x v="114"/>
    <x v="9"/>
    <x v="11"/>
    <x v="1"/>
    <x v="1"/>
    <x v="0"/>
    <s v="Chair"/>
    <n v="6"/>
    <n v="3080.25"/>
    <n v="16633.350000000002"/>
    <n v="1848.15"/>
    <n v="18481.5"/>
    <n v="3326.67"/>
    <n v="21808.17"/>
    <s v="Pakistan"/>
    <x v="1"/>
  </r>
  <r>
    <x v="128"/>
    <x v="9"/>
    <x v="2"/>
    <x v="2"/>
    <x v="2"/>
    <x v="2"/>
    <s v="Pants"/>
    <n v="11"/>
    <n v="1817.43"/>
    <n v="17992.557000000001"/>
    <n v="1999.173"/>
    <n v="19991.73"/>
    <n v="3598.5113999999999"/>
    <n v="23590.241399999999"/>
    <s v="Pakistan"/>
    <x v="2"/>
  </r>
  <r>
    <x v="129"/>
    <x v="0"/>
    <x v="4"/>
    <x v="2"/>
    <x v="2"/>
    <x v="1"/>
    <s v="Pen"/>
    <n v="19"/>
    <n v="3800.55"/>
    <n v="64989.404999999999"/>
    <n v="7221.0450000000001"/>
    <n v="72210.45"/>
    <n v="12997.880999999999"/>
    <n v="85208.330999999991"/>
    <s v="Pakistan"/>
    <x v="2"/>
  </r>
  <r>
    <x v="130"/>
    <x v="5"/>
    <x v="13"/>
    <x v="1"/>
    <x v="1"/>
    <x v="4"/>
    <s v="Headphones"/>
    <n v="17"/>
    <n v="2809.13"/>
    <n v="42979.688999999998"/>
    <n v="4775.5209999999997"/>
    <n v="47755.21"/>
    <n v="8595.9377999999997"/>
    <n v="56351.147799999999"/>
    <s v="Pakistan"/>
    <x v="1"/>
  </r>
  <r>
    <x v="131"/>
    <x v="2"/>
    <x v="6"/>
    <x v="0"/>
    <x v="0"/>
    <x v="1"/>
    <s v="Ruler"/>
    <n v="9"/>
    <n v="4712.9799999999996"/>
    <n v="38175.137999999999"/>
    <n v="4241.6819999999998"/>
    <n v="42416.82"/>
    <n v="7635.0275999999994"/>
    <n v="50051.847600000001"/>
    <s v="Pakistan"/>
    <x v="0"/>
  </r>
  <r>
    <x v="132"/>
    <x v="2"/>
    <x v="13"/>
    <x v="1"/>
    <x v="1"/>
    <x v="4"/>
    <s v="Tablet"/>
    <n v="1"/>
    <n v="4541.7700000000004"/>
    <n v="4087.5930000000003"/>
    <n v="454.17700000000008"/>
    <n v="4541.7700000000004"/>
    <n v="817.51859999999999"/>
    <n v="5359.2886000000008"/>
    <s v="Pakistan"/>
    <x v="1"/>
  </r>
  <r>
    <x v="133"/>
    <x v="6"/>
    <x v="8"/>
    <x v="2"/>
    <x v="2"/>
    <x v="4"/>
    <s v="Laptop"/>
    <n v="9"/>
    <n v="3122.72"/>
    <n v="25294.031999999999"/>
    <n v="2810.4480000000003"/>
    <n v="28104.48"/>
    <n v="5058.8063999999995"/>
    <n v="33163.286399999997"/>
    <s v="Pakistan"/>
    <x v="2"/>
  </r>
  <r>
    <x v="123"/>
    <x v="5"/>
    <x v="4"/>
    <x v="2"/>
    <x v="2"/>
    <x v="1"/>
    <s v="Pen"/>
    <n v="9"/>
    <n v="4198.92"/>
    <n v="34011.252"/>
    <n v="3779.0280000000002"/>
    <n v="37790.28"/>
    <n v="6802.2503999999999"/>
    <n v="44592.530399999996"/>
    <s v="Pakistan"/>
    <x v="2"/>
  </r>
  <r>
    <x v="41"/>
    <x v="4"/>
    <x v="1"/>
    <x v="1"/>
    <x v="1"/>
    <x v="0"/>
    <s v="Sofa"/>
    <n v="17"/>
    <n v="4415.8500000000004"/>
    <n v="67562.505000000005"/>
    <n v="7506.9449999999997"/>
    <n v="75069.45"/>
    <n v="13512.500999999998"/>
    <n v="88581.951000000001"/>
    <s v="Pakistan"/>
    <x v="1"/>
  </r>
  <r>
    <x v="134"/>
    <x v="8"/>
    <x v="2"/>
    <x v="2"/>
    <x v="2"/>
    <x v="3"/>
    <s v="Sugar"/>
    <n v="16"/>
    <n v="4684.8599999999997"/>
    <n v="67461.983999999997"/>
    <n v="7495.7759999999998"/>
    <n v="74957.759999999995"/>
    <n v="13492.396799999999"/>
    <n v="88450.156799999997"/>
    <s v="Pakistan"/>
    <x v="2"/>
  </r>
  <r>
    <x v="5"/>
    <x v="2"/>
    <x v="2"/>
    <x v="2"/>
    <x v="2"/>
    <x v="0"/>
    <s v="Bed"/>
    <n v="17"/>
    <n v="4156.25"/>
    <n v="63590.625"/>
    <n v="7065.625"/>
    <n v="70656.25"/>
    <n v="12718.125"/>
    <n v="83374.375"/>
    <s v="Pakistan"/>
    <x v="2"/>
  </r>
  <r>
    <x v="135"/>
    <x v="2"/>
    <x v="1"/>
    <x v="1"/>
    <x v="1"/>
    <x v="1"/>
    <s v="Pen"/>
    <n v="10"/>
    <n v="3776.8"/>
    <n v="33991.200000000004"/>
    <n v="3776.8"/>
    <n v="37768"/>
    <n v="6798.24"/>
    <n v="44566.239999999998"/>
    <s v="Pakistan"/>
    <x v="1"/>
  </r>
  <r>
    <x v="33"/>
    <x v="7"/>
    <x v="10"/>
    <x v="2"/>
    <x v="2"/>
    <x v="4"/>
    <s v="Headphones"/>
    <n v="8"/>
    <n v="310.33"/>
    <n v="2234.3759999999997"/>
    <n v="248.26400000000001"/>
    <n v="2482.64"/>
    <n v="446.87519999999995"/>
    <n v="2929.5151999999998"/>
    <s v="Pakistan"/>
    <x v="2"/>
  </r>
  <r>
    <x v="135"/>
    <x v="4"/>
    <x v="13"/>
    <x v="1"/>
    <x v="1"/>
    <x v="3"/>
    <s v="Rice"/>
    <n v="5"/>
    <n v="1313.4"/>
    <n v="5910.3"/>
    <n v="656.7"/>
    <n v="6567"/>
    <n v="1182.06"/>
    <n v="7749.0599999999995"/>
    <s v="Pakistan"/>
    <x v="1"/>
  </r>
  <r>
    <x v="136"/>
    <x v="9"/>
    <x v="0"/>
    <x v="0"/>
    <x v="0"/>
    <x v="3"/>
    <s v="Sugar"/>
    <n v="6"/>
    <n v="2332.11"/>
    <n v="12593.394"/>
    <n v="1399.2660000000001"/>
    <n v="13992.66"/>
    <n v="2518.6787999999997"/>
    <n v="16511.338799999998"/>
    <s v="Pakistan"/>
    <x v="0"/>
  </r>
  <r>
    <x v="137"/>
    <x v="1"/>
    <x v="4"/>
    <x v="2"/>
    <x v="2"/>
    <x v="1"/>
    <s v="Notebook"/>
    <n v="3"/>
    <n v="4955.22"/>
    <n v="13379.094000000001"/>
    <n v="1486.566"/>
    <n v="14865.66"/>
    <n v="2675.8188"/>
    <n v="17541.478800000001"/>
    <s v="Pakistan"/>
    <x v="2"/>
  </r>
  <r>
    <x v="138"/>
    <x v="1"/>
    <x v="0"/>
    <x v="0"/>
    <x v="0"/>
    <x v="0"/>
    <s v="Table"/>
    <n v="17"/>
    <n v="3827.64"/>
    <n v="58562.892"/>
    <n v="6506.9880000000003"/>
    <n v="65069.88"/>
    <n v="11712.578399999999"/>
    <n v="76782.458400000003"/>
    <s v="Pakistan"/>
    <x v="0"/>
  </r>
  <r>
    <x v="139"/>
    <x v="0"/>
    <x v="10"/>
    <x v="2"/>
    <x v="2"/>
    <x v="2"/>
    <s v="Dress"/>
    <n v="17"/>
    <n v="3857.33"/>
    <n v="59017.149000000005"/>
    <n v="6557.4610000000002"/>
    <n v="65574.61"/>
    <n v="11803.4298"/>
    <n v="77378.039799999999"/>
    <s v="Pakistan"/>
    <x v="2"/>
  </r>
  <r>
    <x v="140"/>
    <x v="2"/>
    <x v="3"/>
    <x v="3"/>
    <x v="3"/>
    <x v="2"/>
    <s v="Shirt"/>
    <n v="8"/>
    <n v="1421.21"/>
    <n v="10232.712000000001"/>
    <n v="1136.9680000000001"/>
    <n v="11369.68"/>
    <n v="2046.5424"/>
    <n v="13416.222400000001"/>
    <s v="Pakistan"/>
    <x v="3"/>
  </r>
  <r>
    <x v="141"/>
    <x v="1"/>
    <x v="4"/>
    <x v="2"/>
    <x v="2"/>
    <x v="3"/>
    <s v="Oil"/>
    <n v="1"/>
    <n v="1544.87"/>
    <n v="1390.383"/>
    <n v="154.48699999999999"/>
    <n v="1544.87"/>
    <n v="278.07659999999998"/>
    <n v="1822.9465999999998"/>
    <s v="Pakistan"/>
    <x v="2"/>
  </r>
  <r>
    <x v="142"/>
    <x v="2"/>
    <x v="10"/>
    <x v="2"/>
    <x v="2"/>
    <x v="3"/>
    <s v="Sugar"/>
    <n v="14"/>
    <n v="2764.71"/>
    <n v="34835.346000000005"/>
    <n v="3870.5940000000005"/>
    <n v="38705.94"/>
    <n v="6967.0691999999999"/>
    <n v="45673.0092"/>
    <s v="Pakistan"/>
    <x v="2"/>
  </r>
  <r>
    <x v="143"/>
    <x v="5"/>
    <x v="6"/>
    <x v="0"/>
    <x v="0"/>
    <x v="2"/>
    <s v="Dress"/>
    <n v="9"/>
    <n v="2210.8000000000002"/>
    <n v="17907.48"/>
    <n v="1989.7200000000003"/>
    <n v="19897.2"/>
    <n v="3581.4960000000001"/>
    <n v="23478.696"/>
    <s v="Pakistan"/>
    <x v="0"/>
  </r>
  <r>
    <x v="144"/>
    <x v="2"/>
    <x v="5"/>
    <x v="2"/>
    <x v="2"/>
    <x v="0"/>
    <s v="Chair"/>
    <n v="3"/>
    <n v="4359.8999999999996"/>
    <n v="11771.730000000001"/>
    <n v="1307.9700000000003"/>
    <n v="13079.7"/>
    <n v="2354.346"/>
    <n v="15434.046"/>
    <s v="Pakistan"/>
    <x v="2"/>
  </r>
  <r>
    <x v="22"/>
    <x v="7"/>
    <x v="2"/>
    <x v="2"/>
    <x v="2"/>
    <x v="0"/>
    <s v="Table"/>
    <n v="7"/>
    <n v="3836.77"/>
    <n v="24171.651000000002"/>
    <n v="2685.739"/>
    <n v="26857.39"/>
    <n v="4834.3301999999994"/>
    <n v="31691.7202"/>
    <s v="Pakistan"/>
    <x v="2"/>
  </r>
  <r>
    <x v="145"/>
    <x v="6"/>
    <x v="10"/>
    <x v="2"/>
    <x v="2"/>
    <x v="1"/>
    <s v="Pen"/>
    <n v="7"/>
    <n v="560.58000000000004"/>
    <n v="3531.654"/>
    <n v="392.40600000000001"/>
    <n v="3924.06"/>
    <n v="706.33079999999995"/>
    <n v="4630.3908000000001"/>
    <s v="Pakistan"/>
    <x v="2"/>
  </r>
  <r>
    <x v="146"/>
    <x v="4"/>
    <x v="8"/>
    <x v="2"/>
    <x v="2"/>
    <x v="4"/>
    <s v="Headphones"/>
    <n v="17"/>
    <n v="1574.45"/>
    <n v="24089.085000000003"/>
    <n v="2676.5650000000005"/>
    <n v="26765.65"/>
    <n v="4817.817"/>
    <n v="31583.467000000001"/>
    <s v="Pakistan"/>
    <x v="2"/>
  </r>
  <r>
    <x v="66"/>
    <x v="3"/>
    <x v="8"/>
    <x v="2"/>
    <x v="2"/>
    <x v="0"/>
    <s v="Table"/>
    <n v="17"/>
    <n v="578.66999999999996"/>
    <n v="8853.6509999999998"/>
    <n v="983.73900000000003"/>
    <n v="9837.39"/>
    <n v="1770.7301999999997"/>
    <n v="11608.120199999999"/>
    <s v="Pakistan"/>
    <x v="2"/>
  </r>
  <r>
    <x v="60"/>
    <x v="6"/>
    <x v="1"/>
    <x v="1"/>
    <x v="1"/>
    <x v="3"/>
    <s v="Lentils"/>
    <n v="19"/>
    <n v="1441.02"/>
    <n v="24641.442000000003"/>
    <n v="2737.9380000000001"/>
    <n v="27379.38"/>
    <n v="4928.2884000000004"/>
    <n v="32307.668400000002"/>
    <s v="Pakistan"/>
    <x v="1"/>
  </r>
  <r>
    <x v="147"/>
    <x v="0"/>
    <x v="5"/>
    <x v="2"/>
    <x v="2"/>
    <x v="0"/>
    <s v="Sofa"/>
    <n v="19"/>
    <n v="618.02"/>
    <n v="10568.142"/>
    <n v="1174.2380000000001"/>
    <n v="11742.38"/>
    <n v="2113.6283999999996"/>
    <n v="13856.008399999999"/>
    <s v="Pakistan"/>
    <x v="2"/>
  </r>
  <r>
    <x v="125"/>
    <x v="7"/>
    <x v="13"/>
    <x v="1"/>
    <x v="1"/>
    <x v="1"/>
    <s v="Eraser"/>
    <n v="15"/>
    <n v="4093.93"/>
    <n v="55268.055"/>
    <n v="6140.8950000000004"/>
    <n v="61408.95"/>
    <n v="11053.610999999999"/>
    <n v="72462.561000000002"/>
    <s v="Pakistan"/>
    <x v="1"/>
  </r>
  <r>
    <x v="101"/>
    <x v="1"/>
    <x v="7"/>
    <x v="1"/>
    <x v="1"/>
    <x v="0"/>
    <s v="Bed"/>
    <n v="16"/>
    <n v="2714.37"/>
    <n v="39086.928"/>
    <n v="4342.9920000000002"/>
    <n v="43429.919999999998"/>
    <n v="7817.3855999999996"/>
    <n v="51247.3056"/>
    <s v="Pakistan"/>
    <x v="1"/>
  </r>
  <r>
    <x v="98"/>
    <x v="5"/>
    <x v="13"/>
    <x v="1"/>
    <x v="1"/>
    <x v="2"/>
    <s v="Dress"/>
    <n v="8"/>
    <n v="4658.57"/>
    <n v="33541.703999999998"/>
    <n v="3726.8559999999998"/>
    <n v="37268.559999999998"/>
    <n v="6708.340799999999"/>
    <n v="43976.900799999996"/>
    <s v="Pakistan"/>
    <x v="1"/>
  </r>
  <r>
    <x v="148"/>
    <x v="6"/>
    <x v="0"/>
    <x v="0"/>
    <x v="0"/>
    <x v="1"/>
    <s v="Notebook"/>
    <n v="20"/>
    <n v="3203.76"/>
    <n v="57667.68"/>
    <n v="6407.52"/>
    <n v="64075.199999999997"/>
    <n v="11533.535999999998"/>
    <n v="75608.73599999999"/>
    <s v="Pakistan"/>
    <x v="0"/>
  </r>
  <r>
    <x v="14"/>
    <x v="6"/>
    <x v="11"/>
    <x v="1"/>
    <x v="1"/>
    <x v="4"/>
    <s v="Smartphone"/>
    <n v="5"/>
    <n v="3572.02"/>
    <n v="16074.089999999998"/>
    <n v="1786.01"/>
    <n v="17860.099999999999"/>
    <n v="3214.8179999999998"/>
    <n v="21074.917999999998"/>
    <s v="Pakistan"/>
    <x v="1"/>
  </r>
  <r>
    <x v="149"/>
    <x v="0"/>
    <x v="10"/>
    <x v="2"/>
    <x v="2"/>
    <x v="3"/>
    <s v="Oil"/>
    <n v="4"/>
    <n v="328.82"/>
    <n v="1183.752"/>
    <n v="131.52799999999999"/>
    <n v="1315.28"/>
    <n v="236.75039999999998"/>
    <n v="1552.0303999999999"/>
    <s v="Pakistan"/>
    <x v="2"/>
  </r>
  <r>
    <x v="131"/>
    <x v="0"/>
    <x v="4"/>
    <x v="2"/>
    <x v="2"/>
    <x v="1"/>
    <s v="Eraser"/>
    <n v="10"/>
    <n v="4210.63"/>
    <n v="37895.670000000006"/>
    <n v="4210.63"/>
    <n v="42106.3"/>
    <n v="7579.134"/>
    <n v="49685.434000000001"/>
    <s v="Pakistan"/>
    <x v="2"/>
  </r>
  <r>
    <x v="150"/>
    <x v="3"/>
    <x v="2"/>
    <x v="2"/>
    <x v="2"/>
    <x v="2"/>
    <s v="Dress"/>
    <n v="15"/>
    <n v="211.9"/>
    <n v="2860.65"/>
    <n v="317.85000000000002"/>
    <n v="3178.5"/>
    <n v="572.13"/>
    <n v="3750.63"/>
    <s v="Pakistan"/>
    <x v="2"/>
  </r>
  <r>
    <x v="151"/>
    <x v="9"/>
    <x v="11"/>
    <x v="1"/>
    <x v="1"/>
    <x v="0"/>
    <s v="Table"/>
    <n v="6"/>
    <n v="1847.42"/>
    <n v="9976.0680000000011"/>
    <n v="1108.452"/>
    <n v="11084.52"/>
    <n v="1995.2136"/>
    <n v="13079.7336"/>
    <s v="Pakistan"/>
    <x v="1"/>
  </r>
  <r>
    <x v="152"/>
    <x v="1"/>
    <x v="11"/>
    <x v="1"/>
    <x v="1"/>
    <x v="3"/>
    <s v="Rice"/>
    <n v="15"/>
    <n v="3875.6"/>
    <n v="52320.6"/>
    <n v="5813.4000000000005"/>
    <n v="58134"/>
    <n v="10464.119999999999"/>
    <n v="68598.12"/>
    <s v="Pakistan"/>
    <x v="1"/>
  </r>
  <r>
    <x v="153"/>
    <x v="5"/>
    <x v="11"/>
    <x v="1"/>
    <x v="1"/>
    <x v="1"/>
    <s v="Eraser"/>
    <n v="1"/>
    <n v="1323.63"/>
    <n v="1191.2670000000001"/>
    <n v="132.36300000000003"/>
    <n v="1323.63"/>
    <n v="238.2534"/>
    <n v="1561.8834000000002"/>
    <s v="Pakistan"/>
    <x v="1"/>
  </r>
  <r>
    <x v="133"/>
    <x v="8"/>
    <x v="10"/>
    <x v="2"/>
    <x v="2"/>
    <x v="4"/>
    <s v="Smartphone"/>
    <n v="18"/>
    <n v="3916.11"/>
    <n v="63440.981999999996"/>
    <n v="7048.9979999999996"/>
    <n v="70489.98"/>
    <n v="12688.196399999999"/>
    <n v="83178.176399999997"/>
    <s v="Pakistan"/>
    <x v="2"/>
  </r>
  <r>
    <x v="154"/>
    <x v="2"/>
    <x v="7"/>
    <x v="1"/>
    <x v="1"/>
    <x v="0"/>
    <s v="Sofa"/>
    <n v="16"/>
    <n v="4624.91"/>
    <n v="66598.703999999998"/>
    <n v="7399.8559999999998"/>
    <n v="73998.559999999998"/>
    <n v="13319.7408"/>
    <n v="87318.300799999997"/>
    <s v="Pakistan"/>
    <x v="1"/>
  </r>
  <r>
    <x v="10"/>
    <x v="2"/>
    <x v="0"/>
    <x v="0"/>
    <x v="0"/>
    <x v="1"/>
    <s v="Notebook"/>
    <n v="8"/>
    <n v="4091.1"/>
    <n v="29455.919999999998"/>
    <n v="3272.88"/>
    <n v="32728.799999999999"/>
    <n v="5891.1839999999993"/>
    <n v="38619.983999999997"/>
    <s v="Pakistan"/>
    <x v="0"/>
  </r>
  <r>
    <x v="155"/>
    <x v="0"/>
    <x v="0"/>
    <x v="0"/>
    <x v="0"/>
    <x v="0"/>
    <s v="Sofa"/>
    <n v="16"/>
    <n v="3369.55"/>
    <n v="48521.520000000004"/>
    <n v="5391.2800000000007"/>
    <n v="53912.800000000003"/>
    <n v="9704.3040000000001"/>
    <n v="63617.104000000007"/>
    <s v="Pakistan"/>
    <x v="0"/>
  </r>
  <r>
    <x v="156"/>
    <x v="4"/>
    <x v="12"/>
    <x v="1"/>
    <x v="1"/>
    <x v="0"/>
    <s v="Bed"/>
    <n v="3"/>
    <n v="3591.92"/>
    <n v="9698.1840000000011"/>
    <n v="1077.576"/>
    <n v="10775.76"/>
    <n v="1939.6368"/>
    <n v="12715.3968"/>
    <s v="Pakistan"/>
    <x v="1"/>
  </r>
  <r>
    <x v="157"/>
    <x v="7"/>
    <x v="4"/>
    <x v="2"/>
    <x v="2"/>
    <x v="2"/>
    <s v="Dress"/>
    <n v="4"/>
    <n v="4298.3500000000004"/>
    <n v="15474.060000000001"/>
    <n v="1719.3400000000001"/>
    <n v="17193.400000000001"/>
    <n v="3094.8120000000004"/>
    <n v="20288.212000000003"/>
    <s v="Pakistan"/>
    <x v="2"/>
  </r>
  <r>
    <x v="4"/>
    <x v="0"/>
    <x v="10"/>
    <x v="2"/>
    <x v="2"/>
    <x v="1"/>
    <s v="Pen"/>
    <n v="11"/>
    <n v="3687.73"/>
    <n v="36508.527000000002"/>
    <n v="4056.5030000000002"/>
    <n v="40565.03"/>
    <n v="7301.7053999999998"/>
    <n v="47866.735399999998"/>
    <s v="Pakistan"/>
    <x v="2"/>
  </r>
  <r>
    <x v="136"/>
    <x v="1"/>
    <x v="7"/>
    <x v="1"/>
    <x v="1"/>
    <x v="3"/>
    <s v="Oil"/>
    <n v="12"/>
    <n v="548.36"/>
    <n v="5922.2879999999996"/>
    <n v="658.03200000000004"/>
    <n v="6580.32"/>
    <n v="1184.4576"/>
    <n v="7764.7775999999994"/>
    <s v="Pakistan"/>
    <x v="1"/>
  </r>
  <r>
    <x v="158"/>
    <x v="6"/>
    <x v="2"/>
    <x v="2"/>
    <x v="2"/>
    <x v="2"/>
    <s v="Dress"/>
    <n v="6"/>
    <n v="3931.61"/>
    <n v="21230.694"/>
    <n v="2358.9659999999999"/>
    <n v="23589.66"/>
    <n v="4246.1387999999997"/>
    <n v="27835.7988"/>
    <s v="Pakistan"/>
    <x v="2"/>
  </r>
  <r>
    <x v="159"/>
    <x v="0"/>
    <x v="0"/>
    <x v="0"/>
    <x v="0"/>
    <x v="2"/>
    <s v="Pants"/>
    <n v="18"/>
    <n v="1120.0999999999999"/>
    <n v="18145.62"/>
    <n v="2016.18"/>
    <n v="20161.8"/>
    <n v="3629.1239999999998"/>
    <n v="23790.923999999999"/>
    <s v="Pakistan"/>
    <x v="0"/>
  </r>
  <r>
    <x v="160"/>
    <x v="8"/>
    <x v="6"/>
    <x v="0"/>
    <x v="0"/>
    <x v="1"/>
    <s v="Notebook"/>
    <n v="11"/>
    <n v="1473.35"/>
    <n v="14586.165000000001"/>
    <n v="1620.6850000000002"/>
    <n v="16206.85"/>
    <n v="2917.2330000000002"/>
    <n v="19124.082999999999"/>
    <s v="Pakistan"/>
    <x v="0"/>
  </r>
  <r>
    <x v="161"/>
    <x v="3"/>
    <x v="10"/>
    <x v="2"/>
    <x v="2"/>
    <x v="4"/>
    <s v="Laptop"/>
    <n v="6"/>
    <n v="297.27"/>
    <n v="1605.258"/>
    <n v="178.36199999999999"/>
    <n v="1783.62"/>
    <n v="321.05159999999995"/>
    <n v="2104.6715999999997"/>
    <s v="Pakistan"/>
    <x v="2"/>
  </r>
  <r>
    <x v="162"/>
    <x v="0"/>
    <x v="4"/>
    <x v="2"/>
    <x v="2"/>
    <x v="3"/>
    <s v="Rice"/>
    <n v="5"/>
    <n v="4872.8900000000003"/>
    <n v="21928.005000000001"/>
    <n v="2436.4450000000002"/>
    <n v="24364.45"/>
    <n v="4385.6009999999997"/>
    <n v="28750.050999999999"/>
    <s v="Pakistan"/>
    <x v="2"/>
  </r>
  <r>
    <x v="86"/>
    <x v="5"/>
    <x v="8"/>
    <x v="2"/>
    <x v="2"/>
    <x v="3"/>
    <s v="Sugar"/>
    <n v="20"/>
    <n v="4711.51"/>
    <n v="84807.18"/>
    <n v="9423.02"/>
    <n v="94230.2"/>
    <n v="16961.435999999998"/>
    <n v="111191.636"/>
    <s v="Pakistan"/>
    <x v="2"/>
  </r>
  <r>
    <x v="96"/>
    <x v="9"/>
    <x v="10"/>
    <x v="2"/>
    <x v="2"/>
    <x v="4"/>
    <s v="Laptop"/>
    <n v="5"/>
    <n v="4096.54"/>
    <n v="18434.43"/>
    <n v="2048.27"/>
    <n v="20482.7"/>
    <n v="3686.886"/>
    <n v="24169.585999999999"/>
    <s v="Pakistan"/>
    <x v="2"/>
  </r>
  <r>
    <x v="3"/>
    <x v="6"/>
    <x v="8"/>
    <x v="2"/>
    <x v="2"/>
    <x v="3"/>
    <s v="Sugar"/>
    <n v="6"/>
    <n v="830.82"/>
    <n v="4486.4279999999999"/>
    <n v="498.49200000000002"/>
    <n v="4984.92"/>
    <n v="897.28559999999993"/>
    <n v="5882.2056000000002"/>
    <s v="Pakistan"/>
    <x v="2"/>
  </r>
  <r>
    <x v="84"/>
    <x v="7"/>
    <x v="11"/>
    <x v="1"/>
    <x v="1"/>
    <x v="3"/>
    <s v="Lentils"/>
    <n v="3"/>
    <n v="4637.38"/>
    <n v="12520.925999999999"/>
    <n v="1391.2139999999999"/>
    <n v="13912.14"/>
    <n v="2504.1851999999999"/>
    <n v="16416.325199999999"/>
    <s v="Pakistan"/>
    <x v="1"/>
  </r>
  <r>
    <x v="163"/>
    <x v="8"/>
    <x v="2"/>
    <x v="2"/>
    <x v="2"/>
    <x v="1"/>
    <s v="Ruler"/>
    <n v="5"/>
    <n v="3770.1"/>
    <n v="16965.45"/>
    <n v="1885.0500000000002"/>
    <n v="18850.5"/>
    <n v="3393.0899999999997"/>
    <n v="22243.59"/>
    <s v="Pakistan"/>
    <x v="2"/>
  </r>
  <r>
    <x v="31"/>
    <x v="4"/>
    <x v="12"/>
    <x v="1"/>
    <x v="1"/>
    <x v="3"/>
    <s v="Rice"/>
    <n v="20"/>
    <n v="285.95999999999998"/>
    <n v="5147.28"/>
    <n v="571.91999999999996"/>
    <n v="5719.2"/>
    <n v="1029.4559999999999"/>
    <n v="6748.6559999999999"/>
    <s v="Pakistan"/>
    <x v="1"/>
  </r>
  <r>
    <x v="164"/>
    <x v="5"/>
    <x v="11"/>
    <x v="1"/>
    <x v="1"/>
    <x v="0"/>
    <s v="Chair"/>
    <n v="6"/>
    <n v="1912.36"/>
    <n v="10326.744000000001"/>
    <n v="1147.4159999999999"/>
    <n v="11474.16"/>
    <n v="2065.3487999999998"/>
    <n v="13539.5088"/>
    <s v="Pakistan"/>
    <x v="1"/>
  </r>
  <r>
    <x v="165"/>
    <x v="1"/>
    <x v="13"/>
    <x v="1"/>
    <x v="1"/>
    <x v="2"/>
    <s v="Dress"/>
    <n v="19"/>
    <n v="3648.27"/>
    <n v="62385.417000000009"/>
    <n v="6931.7130000000006"/>
    <n v="69317.13"/>
    <n v="12477.0834"/>
    <n v="81794.213400000008"/>
    <s v="Pakistan"/>
    <x v="1"/>
  </r>
  <r>
    <x v="166"/>
    <x v="2"/>
    <x v="2"/>
    <x v="2"/>
    <x v="2"/>
    <x v="0"/>
    <s v="Sofa"/>
    <n v="20"/>
    <n v="473.23"/>
    <n v="8518.1400000000012"/>
    <n v="946.46"/>
    <n v="9464.6"/>
    <n v="1703.6279999999999"/>
    <n v="11168.228000000001"/>
    <s v="Pakistan"/>
    <x v="2"/>
  </r>
  <r>
    <x v="52"/>
    <x v="0"/>
    <x v="3"/>
    <x v="3"/>
    <x v="3"/>
    <x v="4"/>
    <s v="Headphones"/>
    <n v="16"/>
    <n v="1870.47"/>
    <n v="26934.768"/>
    <n v="2992.7520000000004"/>
    <n v="29927.52"/>
    <n v="5386.9535999999998"/>
    <n v="35314.473599999998"/>
    <s v="Pakistan"/>
    <x v="3"/>
  </r>
  <r>
    <x v="167"/>
    <x v="6"/>
    <x v="4"/>
    <x v="2"/>
    <x v="2"/>
    <x v="3"/>
    <s v="Sugar"/>
    <n v="18"/>
    <n v="835.8"/>
    <n v="13539.96"/>
    <n v="1504.44"/>
    <n v="15044.4"/>
    <n v="2707.9919999999997"/>
    <n v="17752.392"/>
    <s v="Pakistan"/>
    <x v="2"/>
  </r>
  <r>
    <x v="84"/>
    <x v="9"/>
    <x v="0"/>
    <x v="0"/>
    <x v="0"/>
    <x v="1"/>
    <s v="Pen"/>
    <n v="18"/>
    <n v="4850.91"/>
    <n v="78584.742000000013"/>
    <n v="8731.6380000000008"/>
    <n v="87316.38"/>
    <n v="15716.948400000001"/>
    <n v="103033.3284"/>
    <s v="Pakistan"/>
    <x v="0"/>
  </r>
  <r>
    <x v="10"/>
    <x v="2"/>
    <x v="9"/>
    <x v="3"/>
    <x v="3"/>
    <x v="0"/>
    <s v="Table"/>
    <n v="10"/>
    <n v="2200.91"/>
    <n v="19808.189999999999"/>
    <n v="2200.91"/>
    <n v="22009.1"/>
    <n v="3961.6379999999995"/>
    <n v="25970.737999999998"/>
    <s v="Pakistan"/>
    <x v="3"/>
  </r>
  <r>
    <x v="68"/>
    <x v="8"/>
    <x v="6"/>
    <x v="0"/>
    <x v="0"/>
    <x v="4"/>
    <s v="Headphones"/>
    <n v="9"/>
    <n v="1694.83"/>
    <n v="13728.123"/>
    <n v="1525.347"/>
    <n v="15253.47"/>
    <n v="2745.6245999999996"/>
    <n v="17999.0946"/>
    <s v="Pakistan"/>
    <x v="0"/>
  </r>
  <r>
    <x v="46"/>
    <x v="9"/>
    <x v="1"/>
    <x v="1"/>
    <x v="1"/>
    <x v="0"/>
    <s v="Sofa"/>
    <n v="10"/>
    <n v="1229.56"/>
    <n v="11066.04"/>
    <n v="1229.5600000000002"/>
    <n v="12295.6"/>
    <n v="2213.2080000000001"/>
    <n v="14508.808000000001"/>
    <s v="Pakistan"/>
    <x v="1"/>
  </r>
  <r>
    <x v="12"/>
    <x v="9"/>
    <x v="10"/>
    <x v="2"/>
    <x v="2"/>
    <x v="3"/>
    <s v="Lentils"/>
    <n v="14"/>
    <n v="705.15"/>
    <n v="8884.8900000000012"/>
    <n v="987.21"/>
    <n v="9872.1"/>
    <n v="1776.9780000000001"/>
    <n v="11649.078000000001"/>
    <s v="Pakistan"/>
    <x v="2"/>
  </r>
  <r>
    <x v="168"/>
    <x v="7"/>
    <x v="11"/>
    <x v="1"/>
    <x v="1"/>
    <x v="2"/>
    <s v="Pants"/>
    <n v="19"/>
    <n v="3485.85"/>
    <n v="59608.034999999996"/>
    <n v="6623.1149999999998"/>
    <n v="66231.149999999994"/>
    <n v="11921.606999999998"/>
    <n v="78152.756999999998"/>
    <s v="Pakistan"/>
    <x v="1"/>
  </r>
  <r>
    <x v="169"/>
    <x v="1"/>
    <x v="8"/>
    <x v="2"/>
    <x v="2"/>
    <x v="4"/>
    <s v="Headphones"/>
    <n v="10"/>
    <n v="3633.26"/>
    <n v="32699.34"/>
    <n v="3633.26"/>
    <n v="36332.6"/>
    <n v="6539.8679999999995"/>
    <n v="42872.468000000001"/>
    <s v="Pakistan"/>
    <x v="2"/>
  </r>
  <r>
    <x v="170"/>
    <x v="7"/>
    <x v="0"/>
    <x v="0"/>
    <x v="0"/>
    <x v="3"/>
    <s v="Oil"/>
    <n v="14"/>
    <n v="1245.9000000000001"/>
    <n v="15698.339999999998"/>
    <n v="1744.26"/>
    <n v="17442.599999999999"/>
    <n v="3139.6679999999997"/>
    <n v="20582.267999999996"/>
    <s v="Pakistan"/>
    <x v="0"/>
  </r>
  <r>
    <x v="171"/>
    <x v="3"/>
    <x v="8"/>
    <x v="2"/>
    <x v="2"/>
    <x v="0"/>
    <s v="Table"/>
    <n v="4"/>
    <n v="4553.5200000000004"/>
    <n v="16392.672000000002"/>
    <n v="1821.4080000000004"/>
    <n v="18214.080000000002"/>
    <n v="3278.5344"/>
    <n v="21492.614400000002"/>
    <s v="Pakistan"/>
    <x v="2"/>
  </r>
  <r>
    <x v="172"/>
    <x v="1"/>
    <x v="9"/>
    <x v="3"/>
    <x v="3"/>
    <x v="0"/>
    <s v="Bed"/>
    <n v="3"/>
    <n v="1417.18"/>
    <n v="3826.386"/>
    <n v="425.154"/>
    <n v="4251.54"/>
    <n v="765.27719999999999"/>
    <n v="5016.8171999999995"/>
    <s v="Pakistan"/>
    <x v="3"/>
  </r>
  <r>
    <x v="173"/>
    <x v="5"/>
    <x v="0"/>
    <x v="0"/>
    <x v="0"/>
    <x v="4"/>
    <s v="Tablet"/>
    <n v="7"/>
    <n v="1249.3599999999999"/>
    <n v="7870.9680000000008"/>
    <n v="874.55200000000013"/>
    <n v="8745.52"/>
    <n v="1574.1936000000001"/>
    <n v="10319.713600000001"/>
    <s v="Pakistan"/>
    <x v="0"/>
  </r>
  <r>
    <x v="98"/>
    <x v="4"/>
    <x v="1"/>
    <x v="1"/>
    <x v="1"/>
    <x v="2"/>
    <s v="Jacket"/>
    <n v="7"/>
    <n v="3911.96"/>
    <n v="24645.348000000002"/>
    <n v="2738.3720000000003"/>
    <n v="27383.72"/>
    <n v="4929.0695999999998"/>
    <n v="32312.7896"/>
    <s v="Pakistan"/>
    <x v="1"/>
  </r>
  <r>
    <x v="63"/>
    <x v="3"/>
    <x v="6"/>
    <x v="0"/>
    <x v="0"/>
    <x v="2"/>
    <s v="Pants"/>
    <n v="4"/>
    <n v="3087.87"/>
    <n v="11116.332"/>
    <n v="1235.1480000000001"/>
    <n v="12351.48"/>
    <n v="2223.2664"/>
    <n v="14574.7464"/>
    <s v="Pakistan"/>
    <x v="0"/>
  </r>
  <r>
    <x v="174"/>
    <x v="3"/>
    <x v="0"/>
    <x v="0"/>
    <x v="0"/>
    <x v="4"/>
    <s v="Tablet"/>
    <n v="16"/>
    <n v="628.15"/>
    <n v="9045.36"/>
    <n v="1005.04"/>
    <n v="10050.4"/>
    <n v="1809.0719999999999"/>
    <n v="11859.472"/>
    <s v="Pakistan"/>
    <x v="0"/>
  </r>
  <r>
    <x v="175"/>
    <x v="5"/>
    <x v="2"/>
    <x v="2"/>
    <x v="2"/>
    <x v="3"/>
    <s v="Oil"/>
    <n v="15"/>
    <n v="3100.61"/>
    <n v="41858.235000000001"/>
    <n v="4650.915"/>
    <n v="46509.15"/>
    <n v="8371.6470000000008"/>
    <n v="54880.797000000006"/>
    <s v="Pakistan"/>
    <x v="2"/>
  </r>
  <r>
    <x v="176"/>
    <x v="1"/>
    <x v="6"/>
    <x v="0"/>
    <x v="0"/>
    <x v="2"/>
    <s v="Pants"/>
    <n v="10"/>
    <n v="4017.66"/>
    <n v="36158.94"/>
    <n v="4017.66"/>
    <n v="40176.6"/>
    <n v="7231.7879999999996"/>
    <n v="47408.387999999999"/>
    <s v="Pakistan"/>
    <x v="0"/>
  </r>
  <r>
    <x v="177"/>
    <x v="1"/>
    <x v="12"/>
    <x v="1"/>
    <x v="1"/>
    <x v="0"/>
    <s v="Bed"/>
    <n v="3"/>
    <n v="3389.2"/>
    <n v="9150.84"/>
    <n v="1016.7600000000001"/>
    <n v="10167.6"/>
    <n v="1830.1679999999999"/>
    <n v="11997.768"/>
    <s v="Pakistan"/>
    <x v="1"/>
  </r>
  <r>
    <x v="59"/>
    <x v="2"/>
    <x v="0"/>
    <x v="0"/>
    <x v="0"/>
    <x v="3"/>
    <s v="Lentils"/>
    <n v="20"/>
    <n v="2441.83"/>
    <n v="43952.94"/>
    <n v="4883.66"/>
    <n v="48836.6"/>
    <n v="8790.5879999999997"/>
    <n v="57627.187999999995"/>
    <s v="Pakistan"/>
    <x v="0"/>
  </r>
  <r>
    <x v="178"/>
    <x v="1"/>
    <x v="4"/>
    <x v="2"/>
    <x v="2"/>
    <x v="0"/>
    <s v="Sofa"/>
    <n v="17"/>
    <n v="2655.98"/>
    <n v="40636.494000000006"/>
    <n v="4515.1660000000002"/>
    <n v="45151.66"/>
    <n v="8127.2988000000005"/>
    <n v="53278.958800000008"/>
    <s v="Pakistan"/>
    <x v="2"/>
  </r>
  <r>
    <x v="179"/>
    <x v="1"/>
    <x v="6"/>
    <x v="0"/>
    <x v="0"/>
    <x v="4"/>
    <s v="Tablet"/>
    <n v="3"/>
    <n v="4908.74"/>
    <n v="13253.598"/>
    <n v="1472.6220000000001"/>
    <n v="14726.22"/>
    <n v="2650.7195999999999"/>
    <n v="17376.939599999998"/>
    <s v="Pakistan"/>
    <x v="0"/>
  </r>
  <r>
    <x v="105"/>
    <x v="7"/>
    <x v="11"/>
    <x v="1"/>
    <x v="1"/>
    <x v="4"/>
    <s v="Tablet"/>
    <n v="13"/>
    <n v="4121.8"/>
    <n v="48225.060000000005"/>
    <n v="5358.34"/>
    <n v="53583.4"/>
    <n v="9645.0120000000006"/>
    <n v="63228.412000000004"/>
    <s v="Pakistan"/>
    <x v="1"/>
  </r>
  <r>
    <x v="180"/>
    <x v="9"/>
    <x v="0"/>
    <x v="0"/>
    <x v="0"/>
    <x v="4"/>
    <s v="Tablet"/>
    <n v="7"/>
    <n v="2083.7800000000002"/>
    <n v="13127.814"/>
    <n v="1458.646"/>
    <n v="14586.46"/>
    <n v="2625.5627999999997"/>
    <n v="17212.022799999999"/>
    <s v="Pakistan"/>
    <x v="0"/>
  </r>
  <r>
    <x v="181"/>
    <x v="5"/>
    <x v="9"/>
    <x v="3"/>
    <x v="3"/>
    <x v="2"/>
    <s v="Jacket"/>
    <n v="4"/>
    <n v="697.88"/>
    <n v="2512.3679999999999"/>
    <n v="279.15199999999999"/>
    <n v="2791.52"/>
    <n v="502.47359999999998"/>
    <n v="3293.9935999999998"/>
    <s v="Pakistan"/>
    <x v="3"/>
  </r>
  <r>
    <x v="23"/>
    <x v="9"/>
    <x v="8"/>
    <x v="2"/>
    <x v="2"/>
    <x v="4"/>
    <s v="Smartphone"/>
    <n v="3"/>
    <n v="3754.7"/>
    <n v="10137.69"/>
    <n v="1126.4100000000001"/>
    <n v="11264.1"/>
    <n v="2027.538"/>
    <n v="13291.638000000001"/>
    <s v="Pakistan"/>
    <x v="2"/>
  </r>
  <r>
    <x v="182"/>
    <x v="2"/>
    <x v="1"/>
    <x v="1"/>
    <x v="1"/>
    <x v="0"/>
    <s v="Chair"/>
    <n v="20"/>
    <n v="2449.44"/>
    <n v="44089.920000000006"/>
    <n v="4898.88"/>
    <n v="48988.800000000003"/>
    <n v="8817.9840000000004"/>
    <n v="57806.784"/>
    <s v="Pakistan"/>
    <x v="1"/>
  </r>
  <r>
    <x v="183"/>
    <x v="3"/>
    <x v="5"/>
    <x v="2"/>
    <x v="2"/>
    <x v="4"/>
    <s v="Laptop"/>
    <n v="6"/>
    <n v="2862.86"/>
    <n v="15459.444"/>
    <n v="1717.7160000000001"/>
    <n v="17177.16"/>
    <n v="3091.8887999999997"/>
    <n v="20269.0488"/>
    <s v="Pakistan"/>
    <x v="2"/>
  </r>
  <r>
    <x v="184"/>
    <x v="6"/>
    <x v="5"/>
    <x v="2"/>
    <x v="2"/>
    <x v="1"/>
    <s v="Ruler"/>
    <n v="4"/>
    <n v="4795.3999999999996"/>
    <n v="17263.439999999999"/>
    <n v="1918.1599999999999"/>
    <n v="19181.599999999999"/>
    <n v="3452.6879999999996"/>
    <n v="22634.287999999997"/>
    <s v="Pakistan"/>
    <x v="2"/>
  </r>
  <r>
    <x v="185"/>
    <x v="6"/>
    <x v="8"/>
    <x v="2"/>
    <x v="2"/>
    <x v="0"/>
    <s v="Sofa"/>
    <n v="3"/>
    <n v="672.84"/>
    <n v="1816.6680000000001"/>
    <n v="201.852"/>
    <n v="2018.52"/>
    <n v="363.33359999999999"/>
    <n v="2381.8535999999999"/>
    <s v="Pakistan"/>
    <x v="2"/>
  </r>
  <r>
    <x v="110"/>
    <x v="9"/>
    <x v="12"/>
    <x v="1"/>
    <x v="1"/>
    <x v="0"/>
    <s v="Chair"/>
    <n v="5"/>
    <n v="4423.53"/>
    <n v="19905.885000000002"/>
    <n v="2211.7650000000003"/>
    <n v="22117.65"/>
    <n v="3981.1770000000001"/>
    <n v="26098.827000000001"/>
    <s v="Pakistan"/>
    <x v="1"/>
  </r>
  <r>
    <x v="56"/>
    <x v="6"/>
    <x v="5"/>
    <x v="2"/>
    <x v="2"/>
    <x v="0"/>
    <s v="Chair"/>
    <n v="13"/>
    <n v="1330.85"/>
    <n v="15570.945"/>
    <n v="1730.105"/>
    <n v="17301.05"/>
    <n v="3114.1889999999999"/>
    <n v="20415.238999999998"/>
    <s v="Pakistan"/>
    <x v="2"/>
  </r>
  <r>
    <x v="186"/>
    <x v="9"/>
    <x v="0"/>
    <x v="0"/>
    <x v="0"/>
    <x v="1"/>
    <s v="Pen"/>
    <n v="2"/>
    <n v="1785.76"/>
    <n v="3214.3679999999999"/>
    <n v="357.15200000000004"/>
    <n v="3571.52"/>
    <n v="642.87360000000001"/>
    <n v="4214.3936000000003"/>
    <s v="Pakistan"/>
    <x v="0"/>
  </r>
  <r>
    <x v="187"/>
    <x v="2"/>
    <x v="8"/>
    <x v="2"/>
    <x v="2"/>
    <x v="0"/>
    <s v="Sofa"/>
    <n v="10"/>
    <n v="505.39"/>
    <n v="4548.51"/>
    <n v="505.39"/>
    <n v="5053.8999999999996"/>
    <n v="909.70199999999988"/>
    <n v="5963.6019999999999"/>
    <s v="Pakistan"/>
    <x v="2"/>
  </r>
  <r>
    <x v="126"/>
    <x v="4"/>
    <x v="2"/>
    <x v="2"/>
    <x v="2"/>
    <x v="4"/>
    <s v="Smartphone"/>
    <n v="1"/>
    <n v="4966.8599999999997"/>
    <n v="4470.174"/>
    <n v="496.68599999999998"/>
    <n v="4966.8599999999997"/>
    <n v="894.0347999999999"/>
    <n v="5860.8948"/>
    <s v="Pakistan"/>
    <x v="2"/>
  </r>
  <r>
    <x v="188"/>
    <x v="2"/>
    <x v="13"/>
    <x v="1"/>
    <x v="1"/>
    <x v="0"/>
    <s v="Bed"/>
    <n v="5"/>
    <n v="4988.76"/>
    <n v="22449.42"/>
    <n v="2494.38"/>
    <n v="24943.8"/>
    <n v="4489.884"/>
    <n v="29433.684000000001"/>
    <s v="Pakistan"/>
    <x v="1"/>
  </r>
  <r>
    <x v="189"/>
    <x v="5"/>
    <x v="6"/>
    <x v="0"/>
    <x v="0"/>
    <x v="4"/>
    <s v="Smartphone"/>
    <n v="18"/>
    <n v="1745.63"/>
    <n v="28279.206000000002"/>
    <n v="3142.134"/>
    <n v="31421.34"/>
    <n v="5655.8411999999998"/>
    <n v="37077.181199999999"/>
    <s v="Pakistan"/>
    <x v="0"/>
  </r>
  <r>
    <x v="190"/>
    <x v="2"/>
    <x v="4"/>
    <x v="2"/>
    <x v="2"/>
    <x v="2"/>
    <s v="Jacket"/>
    <n v="2"/>
    <n v="3024.56"/>
    <n v="5444.2079999999996"/>
    <n v="604.91200000000003"/>
    <n v="6049.12"/>
    <n v="1088.8416"/>
    <n v="7137.9615999999996"/>
    <s v="Pakistan"/>
    <x v="2"/>
  </r>
  <r>
    <x v="131"/>
    <x v="7"/>
    <x v="1"/>
    <x v="1"/>
    <x v="1"/>
    <x v="1"/>
    <s v="Eraser"/>
    <n v="15"/>
    <n v="4599.74"/>
    <n v="62096.490000000005"/>
    <n v="6899.6100000000006"/>
    <n v="68996.100000000006"/>
    <n v="12419.298000000001"/>
    <n v="81415.398000000001"/>
    <s v="Pakistan"/>
    <x v="1"/>
  </r>
  <r>
    <x v="60"/>
    <x v="2"/>
    <x v="8"/>
    <x v="2"/>
    <x v="2"/>
    <x v="3"/>
    <s v="Oil"/>
    <n v="18"/>
    <n v="330.49"/>
    <n v="5353.9380000000001"/>
    <n v="594.88199999999995"/>
    <n v="5948.82"/>
    <n v="1070.7875999999999"/>
    <n v="7019.6075999999994"/>
    <s v="Pakistan"/>
    <x v="2"/>
  </r>
  <r>
    <x v="191"/>
    <x v="3"/>
    <x v="12"/>
    <x v="1"/>
    <x v="1"/>
    <x v="2"/>
    <s v="Dress"/>
    <n v="8"/>
    <n v="4775.74"/>
    <n v="34385.328000000001"/>
    <n v="3820.5920000000001"/>
    <n v="38205.919999999998"/>
    <n v="6877.065599999999"/>
    <n v="45082.9856"/>
    <s v="Pakistan"/>
    <x v="1"/>
  </r>
  <r>
    <x v="192"/>
    <x v="9"/>
    <x v="13"/>
    <x v="1"/>
    <x v="1"/>
    <x v="1"/>
    <s v="Eraser"/>
    <n v="16"/>
    <n v="2329.86"/>
    <n v="33549.984000000004"/>
    <n v="3727.7760000000003"/>
    <n v="37277.760000000002"/>
    <n v="6709.9967999999999"/>
    <n v="43987.756800000003"/>
    <s v="Pakistan"/>
    <x v="1"/>
  </r>
  <r>
    <x v="98"/>
    <x v="1"/>
    <x v="7"/>
    <x v="1"/>
    <x v="1"/>
    <x v="4"/>
    <s v="Headphones"/>
    <n v="16"/>
    <n v="1426.64"/>
    <n v="20543.616000000002"/>
    <n v="2282.6240000000003"/>
    <n v="22826.240000000002"/>
    <n v="4108.7232000000004"/>
    <n v="26934.963200000002"/>
    <s v="Pakistan"/>
    <x v="1"/>
  </r>
  <r>
    <x v="193"/>
    <x v="4"/>
    <x v="13"/>
    <x v="1"/>
    <x v="1"/>
    <x v="2"/>
    <s v="Shirt"/>
    <n v="8"/>
    <n v="2663.16"/>
    <n v="19174.752"/>
    <n v="2130.5279999999998"/>
    <n v="21305.279999999999"/>
    <n v="3834.9503999999997"/>
    <n v="25140.2304"/>
    <s v="Pakistan"/>
    <x v="1"/>
  </r>
  <r>
    <x v="194"/>
    <x v="8"/>
    <x v="7"/>
    <x v="1"/>
    <x v="1"/>
    <x v="2"/>
    <s v="Dress"/>
    <n v="20"/>
    <n v="1690.56"/>
    <n v="30430.079999999998"/>
    <n v="3381.12"/>
    <n v="33811.199999999997"/>
    <n v="6086.0159999999996"/>
    <n v="39897.216"/>
    <s v="Pakistan"/>
    <x v="1"/>
  </r>
  <r>
    <x v="195"/>
    <x v="8"/>
    <x v="9"/>
    <x v="3"/>
    <x v="3"/>
    <x v="2"/>
    <s v="Dress"/>
    <n v="1"/>
    <n v="776.08"/>
    <n v="698.47200000000009"/>
    <n v="77.608000000000004"/>
    <n v="776.08"/>
    <n v="139.6944"/>
    <n v="915.77440000000001"/>
    <s v="Pakistan"/>
    <x v="3"/>
  </r>
  <r>
    <x v="196"/>
    <x v="1"/>
    <x v="2"/>
    <x v="2"/>
    <x v="2"/>
    <x v="3"/>
    <s v="Sugar"/>
    <n v="3"/>
    <n v="1435.01"/>
    <n v="3874.527"/>
    <n v="430.50299999999999"/>
    <n v="4305.03"/>
    <n v="774.90539999999987"/>
    <n v="5079.9353999999994"/>
    <s v="Pakistan"/>
    <x v="2"/>
  </r>
  <r>
    <x v="197"/>
    <x v="3"/>
    <x v="10"/>
    <x v="2"/>
    <x v="2"/>
    <x v="1"/>
    <s v="Pen"/>
    <n v="16"/>
    <n v="1473.98"/>
    <n v="21225.312000000002"/>
    <n v="2358.3679999999999"/>
    <n v="23583.68"/>
    <n v="4245.0623999999998"/>
    <n v="27828.742399999999"/>
    <s v="Pakistan"/>
    <x v="2"/>
  </r>
  <r>
    <x v="198"/>
    <x v="8"/>
    <x v="4"/>
    <x v="2"/>
    <x v="2"/>
    <x v="0"/>
    <s v="Bed"/>
    <n v="6"/>
    <n v="1822.86"/>
    <n v="9843.4439999999995"/>
    <n v="1093.7160000000001"/>
    <n v="10937.16"/>
    <n v="1968.6887999999999"/>
    <n v="12905.8488"/>
    <s v="Pakistan"/>
    <x v="2"/>
  </r>
  <r>
    <x v="46"/>
    <x v="8"/>
    <x v="3"/>
    <x v="3"/>
    <x v="3"/>
    <x v="2"/>
    <s v="Pants"/>
    <n v="13"/>
    <n v="739.6"/>
    <n v="8653.32"/>
    <n v="961.48"/>
    <n v="9614.7999999999993"/>
    <n v="1730.6639999999998"/>
    <n v="11345.464"/>
    <s v="Pakistan"/>
    <x v="3"/>
  </r>
  <r>
    <x v="199"/>
    <x v="5"/>
    <x v="7"/>
    <x v="1"/>
    <x v="1"/>
    <x v="3"/>
    <s v="Oil"/>
    <n v="11"/>
    <n v="4209.66"/>
    <n v="41675.634000000005"/>
    <n v="4630.6260000000002"/>
    <n v="46306.26"/>
    <n v="8335.1268"/>
    <n v="54641.3868"/>
    <s v="Pakistan"/>
    <x v="1"/>
  </r>
  <r>
    <x v="37"/>
    <x v="1"/>
    <x v="12"/>
    <x v="1"/>
    <x v="1"/>
    <x v="4"/>
    <s v="Laptop"/>
    <n v="8"/>
    <n v="4105.17"/>
    <n v="29557.224000000002"/>
    <n v="3284.1360000000004"/>
    <n v="32841.360000000001"/>
    <n v="5911.4448000000002"/>
    <n v="38752.804799999998"/>
    <s v="Pakistan"/>
    <x v="1"/>
  </r>
  <r>
    <x v="59"/>
    <x v="5"/>
    <x v="8"/>
    <x v="2"/>
    <x v="2"/>
    <x v="0"/>
    <s v="Table"/>
    <n v="2"/>
    <n v="4100.3999999999996"/>
    <n v="7380.7199999999993"/>
    <n v="820.07999999999993"/>
    <n v="8200.7999999999993"/>
    <n v="1476.1439999999998"/>
    <n v="9676.9439999999995"/>
    <s v="Pakistan"/>
    <x v="2"/>
  </r>
  <r>
    <x v="79"/>
    <x v="1"/>
    <x v="1"/>
    <x v="1"/>
    <x v="1"/>
    <x v="3"/>
    <s v="Lentils"/>
    <n v="20"/>
    <n v="2295.08"/>
    <n v="41311.440000000002"/>
    <n v="4590.16"/>
    <n v="45901.599999999999"/>
    <n v="8262.2879999999986"/>
    <n v="54163.887999999999"/>
    <s v="Pakistan"/>
    <x v="1"/>
  </r>
  <r>
    <x v="174"/>
    <x v="8"/>
    <x v="4"/>
    <x v="2"/>
    <x v="2"/>
    <x v="3"/>
    <s v="Rice"/>
    <n v="20"/>
    <n v="4970.33"/>
    <n v="89465.94"/>
    <n v="9940.6600000000017"/>
    <n v="99406.6"/>
    <n v="17893.188000000002"/>
    <n v="117299.788"/>
    <s v="Pakistan"/>
    <x v="2"/>
  </r>
  <r>
    <x v="200"/>
    <x v="5"/>
    <x v="13"/>
    <x v="1"/>
    <x v="1"/>
    <x v="0"/>
    <s v="Bed"/>
    <n v="12"/>
    <n v="3939.5"/>
    <n v="42546.6"/>
    <n v="4727.4000000000005"/>
    <n v="47274"/>
    <n v="8509.32"/>
    <n v="55783.32"/>
    <s v="Pakistan"/>
    <x v="1"/>
  </r>
  <r>
    <x v="134"/>
    <x v="6"/>
    <x v="6"/>
    <x v="0"/>
    <x v="0"/>
    <x v="4"/>
    <s v="Smartphone"/>
    <n v="15"/>
    <n v="1450.75"/>
    <n v="19585.125"/>
    <n v="2176.125"/>
    <n v="21761.25"/>
    <n v="3917.0249999999996"/>
    <n v="25678.275000000001"/>
    <s v="Pakistan"/>
    <x v="0"/>
  </r>
  <r>
    <x v="198"/>
    <x v="6"/>
    <x v="3"/>
    <x v="3"/>
    <x v="3"/>
    <x v="0"/>
    <s v="Table"/>
    <n v="8"/>
    <n v="3279.33"/>
    <n v="23611.175999999999"/>
    <n v="2623.4639999999999"/>
    <n v="26234.639999999999"/>
    <n v="4722.2352000000001"/>
    <n v="30956.875199999999"/>
    <s v="Pakistan"/>
    <x v="3"/>
  </r>
  <r>
    <x v="201"/>
    <x v="8"/>
    <x v="9"/>
    <x v="3"/>
    <x v="3"/>
    <x v="2"/>
    <s v="Shirt"/>
    <n v="7"/>
    <n v="579.91999999999996"/>
    <n v="3653.4960000000001"/>
    <n v="405.94400000000002"/>
    <n v="4059.44"/>
    <n v="730.69920000000002"/>
    <n v="4790.1391999999996"/>
    <s v="Pakistan"/>
    <x v="3"/>
  </r>
  <r>
    <x v="202"/>
    <x v="6"/>
    <x v="3"/>
    <x v="3"/>
    <x v="3"/>
    <x v="4"/>
    <s v="Headphones"/>
    <n v="10"/>
    <n v="2515.54"/>
    <n v="22639.86"/>
    <n v="2515.5400000000004"/>
    <n v="25155.4"/>
    <n v="4527.9719999999998"/>
    <n v="29683.372000000003"/>
    <s v="Pakistan"/>
    <x v="3"/>
  </r>
  <r>
    <x v="123"/>
    <x v="3"/>
    <x v="9"/>
    <x v="3"/>
    <x v="3"/>
    <x v="3"/>
    <s v="Rice"/>
    <n v="10"/>
    <n v="2976.69"/>
    <n v="26790.210000000003"/>
    <n v="2976.6900000000005"/>
    <n v="29766.9"/>
    <n v="5358.0420000000004"/>
    <n v="35124.942000000003"/>
    <s v="Pakistan"/>
    <x v="3"/>
  </r>
  <r>
    <x v="19"/>
    <x v="3"/>
    <x v="1"/>
    <x v="1"/>
    <x v="1"/>
    <x v="3"/>
    <s v="Oil"/>
    <n v="16"/>
    <n v="4047.21"/>
    <n v="58279.824000000001"/>
    <n v="6475.5360000000001"/>
    <n v="64755.360000000001"/>
    <n v="11655.9648"/>
    <n v="76411.324800000002"/>
    <s v="Pakistan"/>
    <x v="1"/>
  </r>
  <r>
    <x v="203"/>
    <x v="4"/>
    <x v="10"/>
    <x v="2"/>
    <x v="2"/>
    <x v="3"/>
    <s v="Sugar"/>
    <n v="18"/>
    <n v="2825.07"/>
    <n v="45766.134000000005"/>
    <n v="5085.1260000000002"/>
    <n v="50851.26"/>
    <n v="9153.2268000000004"/>
    <n v="60004.486799999999"/>
    <s v="Pakistan"/>
    <x v="2"/>
  </r>
  <r>
    <x v="189"/>
    <x v="5"/>
    <x v="5"/>
    <x v="2"/>
    <x v="2"/>
    <x v="2"/>
    <s v="Jacket"/>
    <n v="13"/>
    <n v="1406.82"/>
    <n v="16459.794000000002"/>
    <n v="1828.866"/>
    <n v="18288.66"/>
    <n v="3291.9587999999999"/>
    <n v="21580.6188"/>
    <s v="Pakistan"/>
    <x v="2"/>
  </r>
  <r>
    <x v="204"/>
    <x v="9"/>
    <x v="0"/>
    <x v="0"/>
    <x v="0"/>
    <x v="1"/>
    <s v="Notebook"/>
    <n v="16"/>
    <n v="1090.18"/>
    <n v="15698.592000000001"/>
    <n v="1744.2880000000002"/>
    <n v="17442.88"/>
    <n v="3139.7184000000002"/>
    <n v="20582.598400000003"/>
    <s v="Pakistan"/>
    <x v="0"/>
  </r>
  <r>
    <x v="82"/>
    <x v="7"/>
    <x v="4"/>
    <x v="2"/>
    <x v="2"/>
    <x v="4"/>
    <s v="Smartphone"/>
    <n v="12"/>
    <n v="3696.43"/>
    <n v="39921.444000000003"/>
    <n v="4435.7160000000003"/>
    <n v="44357.16"/>
    <n v="7984.2888000000003"/>
    <n v="52341.448800000006"/>
    <s v="Pakistan"/>
    <x v="2"/>
  </r>
  <r>
    <x v="205"/>
    <x v="3"/>
    <x v="12"/>
    <x v="1"/>
    <x v="1"/>
    <x v="4"/>
    <s v="Smartphone"/>
    <n v="7"/>
    <n v="4535.1400000000003"/>
    <n v="28571.382000000001"/>
    <n v="3174.598"/>
    <n v="31745.98"/>
    <n v="5714.2763999999997"/>
    <n v="37460.256399999998"/>
    <s v="Pakistan"/>
    <x v="1"/>
  </r>
  <r>
    <x v="206"/>
    <x v="4"/>
    <x v="1"/>
    <x v="1"/>
    <x v="1"/>
    <x v="3"/>
    <s v="Oil"/>
    <n v="3"/>
    <n v="4931.6899999999996"/>
    <n v="13315.563"/>
    <n v="1479.5070000000001"/>
    <n v="14795.07"/>
    <n v="2663.1125999999999"/>
    <n v="17458.1826"/>
    <s v="Pakistan"/>
    <x v="1"/>
  </r>
  <r>
    <x v="10"/>
    <x v="9"/>
    <x v="11"/>
    <x v="1"/>
    <x v="1"/>
    <x v="3"/>
    <s v="Lentils"/>
    <n v="16"/>
    <n v="3263.65"/>
    <n v="46996.560000000005"/>
    <n v="5221.84"/>
    <n v="52218.400000000001"/>
    <n v="9399.3119999999999"/>
    <n v="61617.712"/>
    <s v="Pakistan"/>
    <x v="1"/>
  </r>
  <r>
    <x v="207"/>
    <x v="2"/>
    <x v="4"/>
    <x v="2"/>
    <x v="2"/>
    <x v="1"/>
    <s v="Pen"/>
    <n v="17"/>
    <n v="4083.07"/>
    <n v="62470.971000000005"/>
    <n v="6941.219000000001"/>
    <n v="69412.19"/>
    <n v="12494.1942"/>
    <n v="81906.3842"/>
    <s v="Pakistan"/>
    <x v="2"/>
  </r>
  <r>
    <x v="35"/>
    <x v="6"/>
    <x v="9"/>
    <x v="3"/>
    <x v="3"/>
    <x v="1"/>
    <s v="Ruler"/>
    <n v="12"/>
    <n v="528.69000000000005"/>
    <n v="5709.8519999999999"/>
    <n v="634.428"/>
    <n v="6344.28"/>
    <n v="1141.9703999999999"/>
    <n v="7486.2503999999999"/>
    <s v="Pakistan"/>
    <x v="3"/>
  </r>
  <r>
    <x v="36"/>
    <x v="8"/>
    <x v="3"/>
    <x v="3"/>
    <x v="3"/>
    <x v="4"/>
    <s v="Tablet"/>
    <n v="8"/>
    <n v="528.92999999999995"/>
    <n v="3808.2959999999998"/>
    <n v="423.14400000000001"/>
    <n v="4231.4399999999996"/>
    <n v="761.65919999999994"/>
    <n v="4993.0991999999997"/>
    <s v="Pakistan"/>
    <x v="3"/>
  </r>
  <r>
    <x v="148"/>
    <x v="0"/>
    <x v="4"/>
    <x v="2"/>
    <x v="2"/>
    <x v="3"/>
    <s v="Lentils"/>
    <n v="11"/>
    <n v="1749.31"/>
    <n v="17318.169000000002"/>
    <n v="1924.241"/>
    <n v="19242.41"/>
    <n v="3463.6338000000001"/>
    <n v="22706.043799999999"/>
    <s v="Pakistan"/>
    <x v="2"/>
  </r>
  <r>
    <x v="132"/>
    <x v="0"/>
    <x v="0"/>
    <x v="0"/>
    <x v="0"/>
    <x v="1"/>
    <s v="Ruler"/>
    <n v="11"/>
    <n v="2635.95"/>
    <n v="26095.905000000002"/>
    <n v="2899.5450000000001"/>
    <n v="28995.45"/>
    <n v="5219.1809999999996"/>
    <n v="34214.631000000001"/>
    <s v="Pakistan"/>
    <x v="0"/>
  </r>
  <r>
    <x v="103"/>
    <x v="5"/>
    <x v="0"/>
    <x v="0"/>
    <x v="0"/>
    <x v="3"/>
    <s v="Lentils"/>
    <n v="6"/>
    <n v="2850.31"/>
    <n v="15391.674000000001"/>
    <n v="1710.1860000000001"/>
    <n v="17101.86"/>
    <n v="3078.3348000000001"/>
    <n v="20180.194800000001"/>
    <s v="Pakistan"/>
    <x v="0"/>
  </r>
  <r>
    <x v="117"/>
    <x v="9"/>
    <x v="2"/>
    <x v="2"/>
    <x v="2"/>
    <x v="4"/>
    <s v="Laptop"/>
    <n v="5"/>
    <n v="1413.03"/>
    <n v="6358.6350000000002"/>
    <n v="706.51499999999999"/>
    <n v="7065.15"/>
    <n v="1271.7269999999999"/>
    <n v="8336.8770000000004"/>
    <s v="Pakistan"/>
    <x v="2"/>
  </r>
  <r>
    <x v="208"/>
    <x v="4"/>
    <x v="9"/>
    <x v="3"/>
    <x v="3"/>
    <x v="4"/>
    <s v="Smartphone"/>
    <n v="14"/>
    <n v="4541.87"/>
    <n v="57227.561999999998"/>
    <n v="6358.6180000000004"/>
    <n v="63586.18"/>
    <n v="11445.5124"/>
    <n v="75031.6924"/>
    <s v="Pakistan"/>
    <x v="3"/>
  </r>
  <r>
    <x v="127"/>
    <x v="4"/>
    <x v="8"/>
    <x v="2"/>
    <x v="2"/>
    <x v="2"/>
    <s v="Shirt"/>
    <n v="5"/>
    <n v="3395.71"/>
    <n v="15280.695"/>
    <n v="1697.855"/>
    <n v="16978.55"/>
    <n v="3056.1389999999997"/>
    <n v="20034.688999999998"/>
    <s v="Pakistan"/>
    <x v="2"/>
  </r>
  <r>
    <x v="209"/>
    <x v="3"/>
    <x v="7"/>
    <x v="1"/>
    <x v="1"/>
    <x v="1"/>
    <s v="Pen"/>
    <n v="2"/>
    <n v="4050.46"/>
    <n v="7290.8280000000004"/>
    <n v="810.0920000000001"/>
    <n v="8100.92"/>
    <n v="1458.1656"/>
    <n v="9559.0856000000003"/>
    <s v="Pakistan"/>
    <x v="1"/>
  </r>
  <r>
    <x v="210"/>
    <x v="7"/>
    <x v="13"/>
    <x v="1"/>
    <x v="1"/>
    <x v="2"/>
    <s v="Dress"/>
    <n v="6"/>
    <n v="3617.81"/>
    <n v="19536.174000000003"/>
    <n v="2170.6860000000001"/>
    <n v="21706.86"/>
    <n v="3907.2348000000002"/>
    <n v="25614.094799999999"/>
    <s v="Pakistan"/>
    <x v="1"/>
  </r>
  <r>
    <x v="211"/>
    <x v="3"/>
    <x v="1"/>
    <x v="1"/>
    <x v="1"/>
    <x v="3"/>
    <s v="Rice"/>
    <n v="11"/>
    <n v="1527.71"/>
    <n v="15124.329000000002"/>
    <n v="1680.4810000000002"/>
    <n v="16804.810000000001"/>
    <n v="3024.8658"/>
    <n v="19829.675800000001"/>
    <s v="Pakistan"/>
    <x v="1"/>
  </r>
  <r>
    <x v="46"/>
    <x v="7"/>
    <x v="4"/>
    <x v="2"/>
    <x v="2"/>
    <x v="4"/>
    <s v="Tablet"/>
    <n v="7"/>
    <n v="1420.32"/>
    <n v="8948.0159999999996"/>
    <n v="994.22400000000005"/>
    <n v="9942.24"/>
    <n v="1789.6031999999998"/>
    <n v="11731.843199999999"/>
    <s v="Pakistan"/>
    <x v="2"/>
  </r>
  <r>
    <x v="12"/>
    <x v="4"/>
    <x v="3"/>
    <x v="3"/>
    <x v="3"/>
    <x v="4"/>
    <s v="Headphones"/>
    <n v="17"/>
    <n v="1336.86"/>
    <n v="20453.957999999999"/>
    <n v="2272.6619999999998"/>
    <n v="22726.62"/>
    <n v="4090.7915999999996"/>
    <n v="26817.411599999999"/>
    <s v="Pakistan"/>
    <x v="3"/>
  </r>
  <r>
    <x v="212"/>
    <x v="0"/>
    <x v="13"/>
    <x v="1"/>
    <x v="1"/>
    <x v="2"/>
    <s v="Dress"/>
    <n v="15"/>
    <n v="359.4"/>
    <n v="4851.9000000000005"/>
    <n v="539.1"/>
    <n v="5391"/>
    <n v="970.38"/>
    <n v="6361.38"/>
    <s v="Pakistan"/>
    <x v="1"/>
  </r>
  <r>
    <x v="105"/>
    <x v="8"/>
    <x v="4"/>
    <x v="2"/>
    <x v="2"/>
    <x v="0"/>
    <s v="Chair"/>
    <n v="6"/>
    <n v="4109.0200000000004"/>
    <n v="22188.707999999999"/>
    <n v="2465.4120000000003"/>
    <n v="24654.12"/>
    <n v="4437.7415999999994"/>
    <n v="29091.861599999997"/>
    <s v="Pakistan"/>
    <x v="2"/>
  </r>
  <r>
    <x v="213"/>
    <x v="2"/>
    <x v="2"/>
    <x v="2"/>
    <x v="2"/>
    <x v="0"/>
    <s v="Table"/>
    <n v="12"/>
    <n v="3700.23"/>
    <n v="39962.484000000004"/>
    <n v="4440.2760000000007"/>
    <n v="44402.76"/>
    <n v="7992.4967999999999"/>
    <n v="52395.256800000003"/>
    <s v="Pakistan"/>
    <x v="2"/>
  </r>
  <r>
    <x v="167"/>
    <x v="3"/>
    <x v="3"/>
    <x v="3"/>
    <x v="3"/>
    <x v="0"/>
    <s v="Chair"/>
    <n v="5"/>
    <n v="221.41"/>
    <n v="996.34500000000003"/>
    <n v="110.705"/>
    <n v="1107.05"/>
    <n v="199.26899999999998"/>
    <n v="1306.319"/>
    <s v="Pakistan"/>
    <x v="3"/>
  </r>
  <r>
    <x v="93"/>
    <x v="8"/>
    <x v="12"/>
    <x v="1"/>
    <x v="1"/>
    <x v="2"/>
    <s v="Dress"/>
    <n v="12"/>
    <n v="4446.1499999999996"/>
    <n v="48018.420000000006"/>
    <n v="5335.380000000001"/>
    <n v="53353.8"/>
    <n v="9603.6839999999993"/>
    <n v="62957.484000000004"/>
    <s v="Pakistan"/>
    <x v="1"/>
  </r>
  <r>
    <x v="104"/>
    <x v="4"/>
    <x v="12"/>
    <x v="1"/>
    <x v="1"/>
    <x v="3"/>
    <s v="Lentils"/>
    <n v="12"/>
    <n v="2393.9699999999998"/>
    <n v="25854.876"/>
    <n v="2872.7640000000001"/>
    <n v="28727.64"/>
    <n v="5170.9751999999999"/>
    <n v="33898.6152"/>
    <s v="Pakistan"/>
    <x v="1"/>
  </r>
  <r>
    <x v="146"/>
    <x v="5"/>
    <x v="8"/>
    <x v="2"/>
    <x v="2"/>
    <x v="3"/>
    <s v="Sugar"/>
    <n v="7"/>
    <n v="256.57"/>
    <n v="1616.3910000000001"/>
    <n v="179.59900000000002"/>
    <n v="1795.99"/>
    <n v="323.27819999999997"/>
    <n v="2119.2682"/>
    <s v="Pakistan"/>
    <x v="2"/>
  </r>
  <r>
    <x v="214"/>
    <x v="8"/>
    <x v="5"/>
    <x v="2"/>
    <x v="2"/>
    <x v="2"/>
    <s v="Jacket"/>
    <n v="9"/>
    <n v="4218.3599999999997"/>
    <n v="34168.716"/>
    <n v="3796.5239999999999"/>
    <n v="37965.24"/>
    <n v="6833.743199999999"/>
    <n v="44798.983199999995"/>
    <s v="Pakistan"/>
    <x v="2"/>
  </r>
  <r>
    <x v="130"/>
    <x v="4"/>
    <x v="8"/>
    <x v="2"/>
    <x v="2"/>
    <x v="2"/>
    <s v="Pants"/>
    <n v="8"/>
    <n v="4930.67"/>
    <n v="35500.824000000001"/>
    <n v="3944.5360000000001"/>
    <n v="39445.360000000001"/>
    <n v="7100.1647999999996"/>
    <n v="46545.524799999999"/>
    <s v="Pakistan"/>
    <x v="2"/>
  </r>
  <r>
    <x v="215"/>
    <x v="1"/>
    <x v="3"/>
    <x v="3"/>
    <x v="3"/>
    <x v="2"/>
    <s v="Pants"/>
    <n v="2"/>
    <n v="1264.68"/>
    <n v="2276.424"/>
    <n v="252.93600000000004"/>
    <n v="2529.36"/>
    <n v="455.28480000000002"/>
    <n v="2984.6448"/>
    <s v="Pakistan"/>
    <x v="3"/>
  </r>
  <r>
    <x v="216"/>
    <x v="0"/>
    <x v="9"/>
    <x v="3"/>
    <x v="3"/>
    <x v="1"/>
    <s v="Eraser"/>
    <n v="16"/>
    <n v="2192.7399999999998"/>
    <n v="31575.455999999998"/>
    <n v="3508.384"/>
    <n v="35083.839999999997"/>
    <n v="6315.0911999999989"/>
    <n v="41398.931199999992"/>
    <s v="Pakistan"/>
    <x v="3"/>
  </r>
  <r>
    <x v="14"/>
    <x v="1"/>
    <x v="9"/>
    <x v="3"/>
    <x v="3"/>
    <x v="3"/>
    <s v="Rice"/>
    <n v="14"/>
    <n v="3943.42"/>
    <n v="49687.091999999997"/>
    <n v="5520.7880000000005"/>
    <n v="55207.88"/>
    <n v="9937.4183999999987"/>
    <n v="65145.2984"/>
    <s v="Pakistan"/>
    <x v="3"/>
  </r>
  <r>
    <x v="94"/>
    <x v="7"/>
    <x v="10"/>
    <x v="2"/>
    <x v="2"/>
    <x v="3"/>
    <s v="Oil"/>
    <n v="11"/>
    <n v="2951.18"/>
    <n v="29216.682000000001"/>
    <n v="3246.2980000000002"/>
    <n v="32462.98"/>
    <n v="5843.3364000000001"/>
    <n v="38306.316399999996"/>
    <s v="Pakistan"/>
    <x v="2"/>
  </r>
  <r>
    <x v="217"/>
    <x v="6"/>
    <x v="3"/>
    <x v="3"/>
    <x v="3"/>
    <x v="3"/>
    <s v="Sugar"/>
    <n v="11"/>
    <n v="4325.83"/>
    <n v="42825.716999999997"/>
    <n v="4758.4129999999996"/>
    <n v="47584.13"/>
    <n v="8565.143399999999"/>
    <n v="56149.273399999998"/>
    <s v="Pakistan"/>
    <x v="3"/>
  </r>
  <r>
    <x v="218"/>
    <x v="6"/>
    <x v="10"/>
    <x v="2"/>
    <x v="2"/>
    <x v="4"/>
    <s v="Tablet"/>
    <n v="2"/>
    <n v="1417.87"/>
    <n v="2552.1659999999997"/>
    <n v="283.57400000000001"/>
    <n v="2835.74"/>
    <n v="510.43319999999994"/>
    <n v="3346.1731999999997"/>
    <s v="Pakistan"/>
    <x v="2"/>
  </r>
  <r>
    <x v="219"/>
    <x v="6"/>
    <x v="4"/>
    <x v="2"/>
    <x v="2"/>
    <x v="1"/>
    <s v="Ruler"/>
    <n v="13"/>
    <n v="2511.64"/>
    <n v="29386.188000000002"/>
    <n v="3265.1320000000001"/>
    <n v="32651.32"/>
    <n v="5877.2375999999995"/>
    <n v="38528.5576"/>
    <s v="Pakistan"/>
    <x v="2"/>
  </r>
  <r>
    <x v="6"/>
    <x v="7"/>
    <x v="4"/>
    <x v="2"/>
    <x v="2"/>
    <x v="0"/>
    <s v="Table"/>
    <n v="7"/>
    <n v="862.76"/>
    <n v="5435.3879999999999"/>
    <n v="603.93200000000002"/>
    <n v="6039.32"/>
    <n v="1087.0775999999998"/>
    <n v="7126.3975999999993"/>
    <s v="Pakistan"/>
    <x v="2"/>
  </r>
  <r>
    <x v="220"/>
    <x v="1"/>
    <x v="6"/>
    <x v="0"/>
    <x v="0"/>
    <x v="2"/>
    <s v="Jacket"/>
    <n v="18"/>
    <n v="1412.15"/>
    <n v="22876.83"/>
    <n v="2541.8700000000003"/>
    <n v="25418.7"/>
    <n v="4575.366"/>
    <n v="29994.065999999999"/>
    <s v="Pakistan"/>
    <x v="0"/>
  </r>
  <r>
    <x v="11"/>
    <x v="7"/>
    <x v="13"/>
    <x v="1"/>
    <x v="1"/>
    <x v="1"/>
    <s v="Ruler"/>
    <n v="6"/>
    <n v="3295.29"/>
    <n v="17794.566000000003"/>
    <n v="1977.1740000000002"/>
    <n v="19771.740000000002"/>
    <n v="3558.9132"/>
    <n v="23330.653200000001"/>
    <s v="Pakistan"/>
    <x v="1"/>
  </r>
  <r>
    <x v="221"/>
    <x v="9"/>
    <x v="1"/>
    <x v="1"/>
    <x v="1"/>
    <x v="1"/>
    <s v="Pen"/>
    <n v="18"/>
    <n v="4132.6899999999996"/>
    <n v="66949.577999999994"/>
    <n v="7438.8420000000006"/>
    <n v="74388.42"/>
    <n v="13389.915599999998"/>
    <n v="87778.335599999991"/>
    <s v="Pakistan"/>
    <x v="1"/>
  </r>
  <r>
    <x v="222"/>
    <x v="2"/>
    <x v="3"/>
    <x v="3"/>
    <x v="3"/>
    <x v="4"/>
    <s v="Smartphone"/>
    <n v="7"/>
    <n v="1557.83"/>
    <n v="9814.3289999999997"/>
    <n v="1090.481"/>
    <n v="10904.81"/>
    <n v="1962.8657999999998"/>
    <n v="12867.675799999999"/>
    <s v="Pakistan"/>
    <x v="3"/>
  </r>
  <r>
    <x v="223"/>
    <x v="8"/>
    <x v="8"/>
    <x v="2"/>
    <x v="2"/>
    <x v="1"/>
    <s v="Eraser"/>
    <n v="7"/>
    <n v="4673.3100000000004"/>
    <n v="29441.852999999999"/>
    <n v="3271.317"/>
    <n v="32713.17"/>
    <n v="5888.3705999999993"/>
    <n v="38601.5406"/>
    <s v="Pakistan"/>
    <x v="2"/>
  </r>
  <r>
    <x v="154"/>
    <x v="2"/>
    <x v="4"/>
    <x v="2"/>
    <x v="2"/>
    <x v="3"/>
    <s v="Oil"/>
    <n v="5"/>
    <n v="3775.72"/>
    <n v="16990.739999999998"/>
    <n v="1887.86"/>
    <n v="18878.599999999999"/>
    <n v="3398.1479999999997"/>
    <n v="22276.748"/>
    <s v="Pakistan"/>
    <x v="2"/>
  </r>
  <r>
    <x v="57"/>
    <x v="7"/>
    <x v="4"/>
    <x v="2"/>
    <x v="2"/>
    <x v="0"/>
    <s v="Bed"/>
    <n v="6"/>
    <n v="3524.48"/>
    <n v="19032.192000000003"/>
    <n v="2114.6880000000001"/>
    <n v="21146.880000000001"/>
    <n v="3806.4384"/>
    <n v="24953.3184"/>
    <s v="Pakistan"/>
    <x v="2"/>
  </r>
  <r>
    <x v="138"/>
    <x v="3"/>
    <x v="10"/>
    <x v="2"/>
    <x v="2"/>
    <x v="4"/>
    <s v="Laptop"/>
    <n v="1"/>
    <n v="2961.1"/>
    <n v="2664.99"/>
    <n v="296.11"/>
    <n v="2961.1"/>
    <n v="532.99799999999993"/>
    <n v="3494.098"/>
    <s v="Pakistan"/>
    <x v="2"/>
  </r>
  <r>
    <x v="23"/>
    <x v="2"/>
    <x v="2"/>
    <x v="2"/>
    <x v="2"/>
    <x v="1"/>
    <s v="Notebook"/>
    <n v="13"/>
    <n v="513.05999999999995"/>
    <n v="6002.8019999999997"/>
    <n v="666.97800000000007"/>
    <n v="6669.78"/>
    <n v="1200.5603999999998"/>
    <n v="7870.3403999999991"/>
    <s v="Pakistan"/>
    <x v="2"/>
  </r>
  <r>
    <x v="176"/>
    <x v="2"/>
    <x v="2"/>
    <x v="2"/>
    <x v="2"/>
    <x v="0"/>
    <s v="Sofa"/>
    <n v="3"/>
    <n v="953.26"/>
    <n v="2573.8020000000001"/>
    <n v="285.97800000000001"/>
    <n v="2859.78"/>
    <n v="514.7604"/>
    <n v="3374.5404000000003"/>
    <s v="Pakistan"/>
    <x v="2"/>
  </r>
  <r>
    <x v="125"/>
    <x v="0"/>
    <x v="11"/>
    <x v="1"/>
    <x v="1"/>
    <x v="1"/>
    <s v="Eraser"/>
    <n v="2"/>
    <n v="1189.6500000000001"/>
    <n v="2141.3700000000003"/>
    <n v="237.93000000000004"/>
    <n v="2379.3000000000002"/>
    <n v="428.274"/>
    <n v="2807.5740000000001"/>
    <s v="Pakistan"/>
    <x v="1"/>
  </r>
  <r>
    <x v="224"/>
    <x v="8"/>
    <x v="2"/>
    <x v="2"/>
    <x v="2"/>
    <x v="1"/>
    <s v="Eraser"/>
    <n v="1"/>
    <n v="1915.3"/>
    <n v="1723.77"/>
    <n v="191.53"/>
    <n v="1915.3"/>
    <n v="344.75399999999996"/>
    <n v="2260.0540000000001"/>
    <s v="Pakistan"/>
    <x v="2"/>
  </r>
  <r>
    <x v="225"/>
    <x v="7"/>
    <x v="5"/>
    <x v="2"/>
    <x v="2"/>
    <x v="1"/>
    <s v="Pen"/>
    <n v="8"/>
    <n v="3927.74"/>
    <n v="28279.727999999999"/>
    <n v="3142.192"/>
    <n v="31421.919999999998"/>
    <n v="5655.9455999999991"/>
    <n v="37077.865599999997"/>
    <s v="Pakistan"/>
    <x v="2"/>
  </r>
  <r>
    <x v="207"/>
    <x v="9"/>
    <x v="4"/>
    <x v="2"/>
    <x v="2"/>
    <x v="2"/>
    <s v="Jacket"/>
    <n v="10"/>
    <n v="2682.33"/>
    <n v="24140.97"/>
    <n v="2682.33"/>
    <n v="26823.3"/>
    <n v="4828.1939999999995"/>
    <n v="31651.493999999999"/>
    <s v="Pakistan"/>
    <x v="2"/>
  </r>
  <r>
    <x v="49"/>
    <x v="8"/>
    <x v="3"/>
    <x v="3"/>
    <x v="3"/>
    <x v="4"/>
    <s v="Smartphone"/>
    <n v="6"/>
    <n v="4086.27"/>
    <n v="22065.858"/>
    <n v="2451.7620000000002"/>
    <n v="24517.62"/>
    <n v="4413.1715999999997"/>
    <n v="28930.791599999997"/>
    <s v="Pakistan"/>
    <x v="3"/>
  </r>
  <r>
    <x v="67"/>
    <x v="8"/>
    <x v="3"/>
    <x v="3"/>
    <x v="3"/>
    <x v="4"/>
    <s v="Headphones"/>
    <n v="8"/>
    <n v="827.02"/>
    <n v="5954.5439999999999"/>
    <n v="661.61599999999999"/>
    <n v="6616.16"/>
    <n v="1190.9087999999999"/>
    <n v="7807.0688"/>
    <s v="Pakistan"/>
    <x v="3"/>
  </r>
  <r>
    <x v="135"/>
    <x v="9"/>
    <x v="11"/>
    <x v="1"/>
    <x v="1"/>
    <x v="3"/>
    <s v="Rice"/>
    <n v="14"/>
    <n v="4728.4399999999996"/>
    <n v="59578.344000000005"/>
    <n v="6619.8160000000007"/>
    <n v="66198.16"/>
    <n v="11915.668799999999"/>
    <n v="78113.828800000003"/>
    <s v="Pakistan"/>
    <x v="1"/>
  </r>
  <r>
    <x v="226"/>
    <x v="3"/>
    <x v="7"/>
    <x v="1"/>
    <x v="1"/>
    <x v="0"/>
    <s v="Bed"/>
    <n v="11"/>
    <n v="575.73"/>
    <n v="5699.7269999999999"/>
    <n v="633.303"/>
    <n v="6333.03"/>
    <n v="1139.9453999999998"/>
    <n v="7472.9753999999994"/>
    <s v="Pakistan"/>
    <x v="1"/>
  </r>
  <r>
    <x v="227"/>
    <x v="2"/>
    <x v="9"/>
    <x v="3"/>
    <x v="3"/>
    <x v="0"/>
    <s v="Bed"/>
    <n v="4"/>
    <n v="578.35"/>
    <n v="2082.06"/>
    <n v="231.34000000000003"/>
    <n v="2313.4"/>
    <n v="416.41199999999998"/>
    <n v="2729.8119999999999"/>
    <s v="Pakistan"/>
    <x v="3"/>
  </r>
  <r>
    <x v="228"/>
    <x v="7"/>
    <x v="3"/>
    <x v="3"/>
    <x v="3"/>
    <x v="1"/>
    <s v="Ruler"/>
    <n v="8"/>
    <n v="3043.72"/>
    <n v="21914.784"/>
    <n v="2434.9760000000001"/>
    <n v="24349.759999999998"/>
    <n v="4382.9567999999999"/>
    <n v="28732.716799999998"/>
    <s v="Pakistan"/>
    <x v="3"/>
  </r>
  <r>
    <x v="214"/>
    <x v="4"/>
    <x v="6"/>
    <x v="0"/>
    <x v="0"/>
    <x v="0"/>
    <s v="Table"/>
    <n v="10"/>
    <n v="3339.72"/>
    <n v="30057.48"/>
    <n v="3339.72"/>
    <n v="33397.199999999997"/>
    <n v="6011.4959999999992"/>
    <n v="39408.695999999996"/>
    <s v="Pakistan"/>
    <x v="0"/>
  </r>
  <r>
    <x v="229"/>
    <x v="0"/>
    <x v="11"/>
    <x v="1"/>
    <x v="1"/>
    <x v="0"/>
    <s v="Table"/>
    <n v="7"/>
    <n v="2286.4"/>
    <n v="14404.32"/>
    <n v="1600.48"/>
    <n v="16004.8"/>
    <n v="2880.8639999999996"/>
    <n v="18885.663999999997"/>
    <s v="Pakistan"/>
    <x v="1"/>
  </r>
  <r>
    <x v="48"/>
    <x v="8"/>
    <x v="5"/>
    <x v="2"/>
    <x v="2"/>
    <x v="1"/>
    <s v="Pen"/>
    <n v="6"/>
    <n v="4862.26"/>
    <n v="26256.204000000002"/>
    <n v="2917.3560000000002"/>
    <n v="29173.56"/>
    <n v="5251.2408000000005"/>
    <n v="34424.800800000005"/>
    <s v="Pakistan"/>
    <x v="2"/>
  </r>
  <r>
    <x v="171"/>
    <x v="6"/>
    <x v="12"/>
    <x v="1"/>
    <x v="1"/>
    <x v="4"/>
    <s v="Laptop"/>
    <n v="6"/>
    <n v="3470.44"/>
    <n v="18740.376"/>
    <n v="2082.2640000000001"/>
    <n v="20822.64"/>
    <n v="3748.0751999999998"/>
    <n v="24570.715199999999"/>
    <s v="Pakistan"/>
    <x v="1"/>
  </r>
  <r>
    <x v="230"/>
    <x v="5"/>
    <x v="0"/>
    <x v="0"/>
    <x v="0"/>
    <x v="2"/>
    <s v="Pants"/>
    <n v="5"/>
    <n v="4175.13"/>
    <n v="18788.085000000003"/>
    <n v="2087.5650000000001"/>
    <n v="20875.650000000001"/>
    <n v="3757.6170000000002"/>
    <n v="24633.267"/>
    <s v="Pakistan"/>
    <x v="0"/>
  </r>
  <r>
    <x v="231"/>
    <x v="7"/>
    <x v="2"/>
    <x v="2"/>
    <x v="2"/>
    <x v="3"/>
    <s v="Rice"/>
    <n v="16"/>
    <n v="1880.67"/>
    <n v="27081.648000000001"/>
    <n v="3009.0720000000001"/>
    <n v="30090.720000000001"/>
    <n v="5416.3296"/>
    <n v="35507.049599999998"/>
    <s v="Pakistan"/>
    <x v="2"/>
  </r>
  <r>
    <x v="232"/>
    <x v="6"/>
    <x v="4"/>
    <x v="2"/>
    <x v="2"/>
    <x v="4"/>
    <s v="Smartphone"/>
    <n v="7"/>
    <n v="2187.71"/>
    <n v="13782.573"/>
    <n v="1531.3969999999999"/>
    <n v="15313.97"/>
    <n v="2756.5146"/>
    <n v="18070.4846"/>
    <s v="Pakistan"/>
    <x v="2"/>
  </r>
  <r>
    <x v="44"/>
    <x v="2"/>
    <x v="12"/>
    <x v="1"/>
    <x v="1"/>
    <x v="2"/>
    <s v="Shirt"/>
    <n v="14"/>
    <n v="1024.22"/>
    <n v="12905.172"/>
    <n v="1433.9080000000001"/>
    <n v="14339.08"/>
    <n v="2581.0344"/>
    <n v="16920.114399999999"/>
    <s v="Pakistan"/>
    <x v="1"/>
  </r>
  <r>
    <x v="31"/>
    <x v="8"/>
    <x v="3"/>
    <x v="3"/>
    <x v="3"/>
    <x v="2"/>
    <s v="Pants"/>
    <n v="17"/>
    <n v="544.41999999999996"/>
    <n v="8329.6260000000002"/>
    <n v="925.51400000000001"/>
    <n v="9255.14"/>
    <n v="1665.9251999999999"/>
    <n v="10921.065199999999"/>
    <s v="Pakistan"/>
    <x v="3"/>
  </r>
  <r>
    <x v="81"/>
    <x v="4"/>
    <x v="4"/>
    <x v="2"/>
    <x v="2"/>
    <x v="1"/>
    <s v="Pen"/>
    <n v="4"/>
    <n v="942.96"/>
    <n v="3394.6560000000004"/>
    <n v="377.18400000000003"/>
    <n v="3771.84"/>
    <n v="678.93119999999999"/>
    <n v="4450.7712000000001"/>
    <s v="Pakistan"/>
    <x v="2"/>
  </r>
  <r>
    <x v="68"/>
    <x v="8"/>
    <x v="5"/>
    <x v="2"/>
    <x v="2"/>
    <x v="0"/>
    <s v="Chair"/>
    <n v="12"/>
    <n v="1799.38"/>
    <n v="19433.304"/>
    <n v="2159.2560000000003"/>
    <n v="21592.560000000001"/>
    <n v="3886.6608000000001"/>
    <n v="25479.220800000003"/>
    <s v="Pakistan"/>
    <x v="2"/>
  </r>
  <r>
    <x v="9"/>
    <x v="3"/>
    <x v="5"/>
    <x v="2"/>
    <x v="2"/>
    <x v="2"/>
    <s v="Shirt"/>
    <n v="11"/>
    <n v="1634.39"/>
    <n v="16180.461000000001"/>
    <n v="1797.8290000000002"/>
    <n v="17978.29"/>
    <n v="3236.0922"/>
    <n v="21214.3822"/>
    <s v="Pakistan"/>
    <x v="2"/>
  </r>
  <r>
    <x v="233"/>
    <x v="9"/>
    <x v="4"/>
    <x v="2"/>
    <x v="2"/>
    <x v="0"/>
    <s v="Sofa"/>
    <n v="3"/>
    <n v="2950.28"/>
    <n v="7965.7560000000003"/>
    <n v="885.08400000000006"/>
    <n v="8850.84"/>
    <n v="1593.1512"/>
    <n v="10443.9912"/>
    <s v="Pakistan"/>
    <x v="2"/>
  </r>
  <r>
    <x v="234"/>
    <x v="3"/>
    <x v="9"/>
    <x v="3"/>
    <x v="3"/>
    <x v="3"/>
    <s v="Oil"/>
    <n v="10"/>
    <n v="4788"/>
    <n v="43092"/>
    <n v="4788"/>
    <n v="47880"/>
    <n v="8618.4"/>
    <n v="56498.400000000001"/>
    <s v="Pakistan"/>
    <x v="3"/>
  </r>
  <r>
    <x v="81"/>
    <x v="1"/>
    <x v="1"/>
    <x v="1"/>
    <x v="1"/>
    <x v="0"/>
    <s v="Bed"/>
    <n v="8"/>
    <n v="1807.67"/>
    <n v="13015.224"/>
    <n v="1446.1360000000002"/>
    <n v="14461.36"/>
    <n v="2603.0448000000001"/>
    <n v="17064.4048"/>
    <s v="Pakistan"/>
    <x v="1"/>
  </r>
  <r>
    <x v="51"/>
    <x v="5"/>
    <x v="2"/>
    <x v="2"/>
    <x v="2"/>
    <x v="3"/>
    <s v="Oil"/>
    <n v="19"/>
    <n v="797.02"/>
    <n v="13629.041999999999"/>
    <n v="1514.338"/>
    <n v="15143.38"/>
    <n v="2725.8083999999999"/>
    <n v="17869.188399999999"/>
    <s v="Pakistan"/>
    <x v="2"/>
  </r>
  <r>
    <x v="126"/>
    <x v="1"/>
    <x v="1"/>
    <x v="1"/>
    <x v="1"/>
    <x v="4"/>
    <s v="Smartphone"/>
    <n v="2"/>
    <n v="1195.99"/>
    <n v="2152.7820000000002"/>
    <n v="239.19800000000001"/>
    <n v="2391.98"/>
    <n v="430.5564"/>
    <n v="2822.5364"/>
    <s v="Pakistan"/>
    <x v="1"/>
  </r>
  <r>
    <x v="27"/>
    <x v="7"/>
    <x v="10"/>
    <x v="2"/>
    <x v="2"/>
    <x v="2"/>
    <s v="Jacket"/>
    <n v="20"/>
    <n v="2056.65"/>
    <n v="37019.700000000004"/>
    <n v="4113.3"/>
    <n v="41133"/>
    <n v="7403.94"/>
    <n v="48536.94"/>
    <s v="Pakistan"/>
    <x v="2"/>
  </r>
  <r>
    <x v="41"/>
    <x v="7"/>
    <x v="5"/>
    <x v="2"/>
    <x v="2"/>
    <x v="0"/>
    <s v="Chair"/>
    <n v="16"/>
    <n v="4817.63"/>
    <n v="69373.872000000003"/>
    <n v="7708.2080000000005"/>
    <n v="77082.080000000002"/>
    <n v="13874.7744"/>
    <n v="90956.854399999997"/>
    <s v="Pakistan"/>
    <x v="2"/>
  </r>
  <r>
    <x v="88"/>
    <x v="1"/>
    <x v="6"/>
    <x v="0"/>
    <x v="0"/>
    <x v="2"/>
    <s v="Shirt"/>
    <n v="7"/>
    <n v="4950.24"/>
    <n v="31186.512000000002"/>
    <n v="3465.1680000000001"/>
    <n v="34651.68"/>
    <n v="6237.3023999999996"/>
    <n v="40888.982400000001"/>
    <s v="Pakistan"/>
    <x v="0"/>
  </r>
  <r>
    <x v="71"/>
    <x v="7"/>
    <x v="4"/>
    <x v="2"/>
    <x v="2"/>
    <x v="2"/>
    <s v="Shirt"/>
    <n v="9"/>
    <n v="2935.97"/>
    <n v="23781.357"/>
    <n v="2642.373"/>
    <n v="26423.73"/>
    <n v="4756.2713999999996"/>
    <n v="31180.001400000001"/>
    <s v="Pakistan"/>
    <x v="2"/>
  </r>
  <r>
    <x v="178"/>
    <x v="9"/>
    <x v="13"/>
    <x v="1"/>
    <x v="1"/>
    <x v="3"/>
    <s v="Lentils"/>
    <n v="9"/>
    <n v="3560.8"/>
    <n v="28842.48"/>
    <n v="3204.7200000000003"/>
    <n v="32047.200000000001"/>
    <n v="5768.4960000000001"/>
    <n v="37815.696000000004"/>
    <s v="Pakistan"/>
    <x v="1"/>
  </r>
  <r>
    <x v="235"/>
    <x v="9"/>
    <x v="10"/>
    <x v="2"/>
    <x v="2"/>
    <x v="1"/>
    <s v="Notebook"/>
    <n v="11"/>
    <n v="4890.92"/>
    <n v="48420.108"/>
    <n v="5380.0120000000006"/>
    <n v="53800.12"/>
    <n v="9684.0216"/>
    <n v="63484.141600000003"/>
    <s v="Pakistan"/>
    <x v="2"/>
  </r>
  <r>
    <x v="169"/>
    <x v="4"/>
    <x v="6"/>
    <x v="0"/>
    <x v="0"/>
    <x v="2"/>
    <s v="Dress"/>
    <n v="8"/>
    <n v="4143.5600000000004"/>
    <n v="29833.632000000005"/>
    <n v="3314.8480000000004"/>
    <n v="33148.480000000003"/>
    <n v="5966.7264000000005"/>
    <n v="39115.206400000003"/>
    <s v="Pakistan"/>
    <x v="0"/>
  </r>
  <r>
    <x v="236"/>
    <x v="8"/>
    <x v="5"/>
    <x v="2"/>
    <x v="2"/>
    <x v="3"/>
    <s v="Oil"/>
    <n v="4"/>
    <n v="2395.66"/>
    <n v="8624.3760000000002"/>
    <n v="958.26400000000001"/>
    <n v="9582.64"/>
    <n v="1724.8751999999997"/>
    <n v="11307.5152"/>
    <s v="Pakistan"/>
    <x v="2"/>
  </r>
  <r>
    <x v="237"/>
    <x v="4"/>
    <x v="13"/>
    <x v="1"/>
    <x v="1"/>
    <x v="2"/>
    <s v="Pants"/>
    <n v="18"/>
    <n v="1582.02"/>
    <n v="25628.724000000002"/>
    <n v="2847.6360000000004"/>
    <n v="28476.36"/>
    <n v="5125.7447999999995"/>
    <n v="33602.104800000001"/>
    <s v="Pakistan"/>
    <x v="1"/>
  </r>
  <r>
    <x v="238"/>
    <x v="0"/>
    <x v="10"/>
    <x v="2"/>
    <x v="2"/>
    <x v="2"/>
    <s v="Shirt"/>
    <n v="14"/>
    <n v="3381.77"/>
    <n v="42610.302000000003"/>
    <n v="4734.4780000000001"/>
    <n v="47344.78"/>
    <n v="8522.0604000000003"/>
    <n v="55866.840400000001"/>
    <s v="Pakistan"/>
    <x v="2"/>
  </r>
  <r>
    <x v="54"/>
    <x v="9"/>
    <x v="2"/>
    <x v="2"/>
    <x v="2"/>
    <x v="1"/>
    <s v="Eraser"/>
    <n v="16"/>
    <n v="2580.42"/>
    <n v="37158.048000000003"/>
    <n v="4128.6720000000005"/>
    <n v="41286.720000000001"/>
    <n v="7431.6095999999998"/>
    <n v="48718.329599999997"/>
    <s v="Pakistan"/>
    <x v="2"/>
  </r>
  <r>
    <x v="230"/>
    <x v="6"/>
    <x v="13"/>
    <x v="1"/>
    <x v="1"/>
    <x v="2"/>
    <s v="Shirt"/>
    <n v="3"/>
    <n v="3838.25"/>
    <n v="10363.275"/>
    <n v="1151.4750000000001"/>
    <n v="11514.75"/>
    <n v="2072.6549999999997"/>
    <n v="13587.404999999999"/>
    <s v="Pakistan"/>
    <x v="1"/>
  </r>
  <r>
    <x v="97"/>
    <x v="6"/>
    <x v="5"/>
    <x v="2"/>
    <x v="2"/>
    <x v="3"/>
    <s v="Rice"/>
    <n v="2"/>
    <n v="591.6"/>
    <n v="1064.8800000000001"/>
    <n v="118.32000000000001"/>
    <n v="1183.2"/>
    <n v="212.976"/>
    <n v="1396.1759999999999"/>
    <s v="Pakistan"/>
    <x v="2"/>
  </r>
  <r>
    <x v="239"/>
    <x v="2"/>
    <x v="4"/>
    <x v="2"/>
    <x v="2"/>
    <x v="2"/>
    <s v="Shirt"/>
    <n v="1"/>
    <n v="2709.05"/>
    <n v="2438.1450000000004"/>
    <n v="270.90500000000003"/>
    <n v="2709.05"/>
    <n v="487.62900000000002"/>
    <n v="3196.6790000000001"/>
    <s v="Pakistan"/>
    <x v="2"/>
  </r>
  <r>
    <x v="237"/>
    <x v="3"/>
    <x v="2"/>
    <x v="2"/>
    <x v="2"/>
    <x v="4"/>
    <s v="Smartphone"/>
    <n v="5"/>
    <n v="194.7"/>
    <n v="876.15"/>
    <n v="97.350000000000009"/>
    <n v="973.5"/>
    <n v="175.23"/>
    <n v="1148.73"/>
    <s v="Pakistan"/>
    <x v="2"/>
  </r>
  <r>
    <x v="192"/>
    <x v="2"/>
    <x v="10"/>
    <x v="2"/>
    <x v="2"/>
    <x v="1"/>
    <s v="Eraser"/>
    <n v="4"/>
    <n v="900.33"/>
    <n v="3241.1880000000001"/>
    <n v="360.13200000000006"/>
    <n v="3601.32"/>
    <n v="648.23760000000004"/>
    <n v="4249.5576000000001"/>
    <s v="Pakistan"/>
    <x v="2"/>
  </r>
  <r>
    <x v="240"/>
    <x v="4"/>
    <x v="3"/>
    <x v="3"/>
    <x v="3"/>
    <x v="3"/>
    <s v="Lentils"/>
    <n v="13"/>
    <n v="3574.45"/>
    <n v="41821.065000000002"/>
    <n v="4646.7849999999999"/>
    <n v="46467.85"/>
    <n v="8364.2129999999997"/>
    <n v="54832.062999999995"/>
    <s v="Pakistan"/>
    <x v="3"/>
  </r>
  <r>
    <x v="78"/>
    <x v="1"/>
    <x v="8"/>
    <x v="2"/>
    <x v="2"/>
    <x v="4"/>
    <s v="Headphones"/>
    <n v="20"/>
    <n v="1637.44"/>
    <n v="29473.919999999998"/>
    <n v="3274.88"/>
    <n v="32748.799999999999"/>
    <n v="5894.7839999999997"/>
    <n v="38643.584000000003"/>
    <s v="Pakistan"/>
    <x v="2"/>
  </r>
  <r>
    <x v="112"/>
    <x v="2"/>
    <x v="12"/>
    <x v="1"/>
    <x v="1"/>
    <x v="0"/>
    <s v="Sofa"/>
    <n v="14"/>
    <n v="3177.8"/>
    <n v="40040.28"/>
    <n v="4448.92"/>
    <n v="44489.2"/>
    <n v="8008.0559999999996"/>
    <n v="52497.255999999994"/>
    <s v="Pakistan"/>
    <x v="1"/>
  </r>
  <r>
    <x v="193"/>
    <x v="5"/>
    <x v="6"/>
    <x v="0"/>
    <x v="0"/>
    <x v="4"/>
    <s v="Laptop"/>
    <n v="1"/>
    <n v="3382.37"/>
    <n v="3044.1329999999998"/>
    <n v="338.23700000000002"/>
    <n v="3382.37"/>
    <n v="608.82659999999998"/>
    <n v="3991.1965999999998"/>
    <s v="Pakistan"/>
    <x v="0"/>
  </r>
  <r>
    <x v="63"/>
    <x v="0"/>
    <x v="8"/>
    <x v="2"/>
    <x v="2"/>
    <x v="1"/>
    <s v="Notebook"/>
    <n v="19"/>
    <n v="2816.52"/>
    <n v="48162.491999999998"/>
    <n v="5351.3879999999999"/>
    <n v="53513.88"/>
    <n v="9632.4983999999986"/>
    <n v="63146.378399999994"/>
    <s v="Pakistan"/>
    <x v="2"/>
  </r>
  <r>
    <x v="14"/>
    <x v="0"/>
    <x v="4"/>
    <x v="2"/>
    <x v="2"/>
    <x v="3"/>
    <s v="Sugar"/>
    <n v="13"/>
    <n v="3417.94"/>
    <n v="39989.898000000001"/>
    <n v="4443.3220000000001"/>
    <n v="44433.22"/>
    <n v="7997.9795999999997"/>
    <n v="52431.1996"/>
    <s v="Pakistan"/>
    <x v="2"/>
  </r>
  <r>
    <x v="5"/>
    <x v="0"/>
    <x v="6"/>
    <x v="0"/>
    <x v="0"/>
    <x v="2"/>
    <s v="Jacket"/>
    <n v="14"/>
    <n v="917.55"/>
    <n v="11561.130000000001"/>
    <n v="1284.5700000000002"/>
    <n v="12845.7"/>
    <n v="2312.2260000000001"/>
    <n v="15157.926000000001"/>
    <s v="Pakistan"/>
    <x v="0"/>
  </r>
  <r>
    <x v="241"/>
    <x v="6"/>
    <x v="0"/>
    <x v="0"/>
    <x v="0"/>
    <x v="4"/>
    <s v="Headphones"/>
    <n v="1"/>
    <n v="1598.87"/>
    <n v="1438.9829999999999"/>
    <n v="159.887"/>
    <n v="1598.87"/>
    <n v="287.79659999999996"/>
    <n v="1886.6665999999998"/>
    <s v="Pakistan"/>
    <x v="0"/>
  </r>
  <r>
    <x v="220"/>
    <x v="6"/>
    <x v="8"/>
    <x v="2"/>
    <x v="2"/>
    <x v="0"/>
    <s v="Table"/>
    <n v="7"/>
    <n v="405.27"/>
    <n v="2553.201"/>
    <n v="283.68900000000002"/>
    <n v="2836.89"/>
    <n v="510.64019999999994"/>
    <n v="3347.5301999999997"/>
    <s v="Pakistan"/>
    <x v="2"/>
  </r>
  <r>
    <x v="242"/>
    <x v="6"/>
    <x v="4"/>
    <x v="2"/>
    <x v="2"/>
    <x v="3"/>
    <s v="Rice"/>
    <n v="5"/>
    <n v="2819.92"/>
    <n v="12689.640000000001"/>
    <n v="1409.96"/>
    <n v="14099.6"/>
    <n v="2537.9279999999999"/>
    <n v="16637.527999999998"/>
    <s v="Pakistan"/>
    <x v="2"/>
  </r>
  <r>
    <x v="243"/>
    <x v="2"/>
    <x v="6"/>
    <x v="0"/>
    <x v="0"/>
    <x v="4"/>
    <s v="Headphones"/>
    <n v="7"/>
    <n v="4023.6"/>
    <n v="25348.68"/>
    <n v="2816.5200000000004"/>
    <n v="28165.200000000001"/>
    <n v="5069.7359999999999"/>
    <n v="33234.936000000002"/>
    <s v="Pakistan"/>
    <x v="0"/>
  </r>
  <r>
    <x v="44"/>
    <x v="3"/>
    <x v="5"/>
    <x v="2"/>
    <x v="2"/>
    <x v="3"/>
    <s v="Rice"/>
    <n v="6"/>
    <n v="4911.79"/>
    <n v="26523.666000000001"/>
    <n v="2947.0740000000005"/>
    <n v="29470.74"/>
    <n v="5304.7331999999997"/>
    <n v="34775.4732"/>
    <s v="Pakistan"/>
    <x v="2"/>
  </r>
  <r>
    <x v="122"/>
    <x v="5"/>
    <x v="12"/>
    <x v="1"/>
    <x v="1"/>
    <x v="0"/>
    <s v="Bed"/>
    <n v="7"/>
    <n v="2186.75"/>
    <n v="13776.525"/>
    <n v="1530.7250000000001"/>
    <n v="15307.25"/>
    <n v="2755.3049999999998"/>
    <n v="18062.555"/>
    <s v="Pakistan"/>
    <x v="1"/>
  </r>
  <r>
    <x v="57"/>
    <x v="9"/>
    <x v="8"/>
    <x v="2"/>
    <x v="2"/>
    <x v="1"/>
    <s v="Ruler"/>
    <n v="9"/>
    <n v="2304.23"/>
    <n v="18664.262999999999"/>
    <n v="2073.8070000000002"/>
    <n v="20738.07"/>
    <n v="3732.8525999999997"/>
    <n v="24470.922599999998"/>
    <s v="Pakistan"/>
    <x v="2"/>
  </r>
  <r>
    <x v="244"/>
    <x v="5"/>
    <x v="4"/>
    <x v="2"/>
    <x v="2"/>
    <x v="4"/>
    <s v="Laptop"/>
    <n v="6"/>
    <n v="2282.5500000000002"/>
    <n v="12325.77"/>
    <n v="1369.53"/>
    <n v="13695.3"/>
    <n v="2465.154"/>
    <n v="16160.454"/>
    <s v="Pakistan"/>
    <x v="2"/>
  </r>
  <r>
    <x v="192"/>
    <x v="3"/>
    <x v="7"/>
    <x v="1"/>
    <x v="1"/>
    <x v="4"/>
    <s v="Smartphone"/>
    <n v="4"/>
    <n v="4778.2299999999996"/>
    <n v="17201.628000000001"/>
    <n v="1911.2919999999999"/>
    <n v="19112.919999999998"/>
    <n v="3440.3255999999997"/>
    <n v="22553.245599999998"/>
    <s v="Pakistan"/>
    <x v="1"/>
  </r>
  <r>
    <x v="6"/>
    <x v="6"/>
    <x v="1"/>
    <x v="1"/>
    <x v="1"/>
    <x v="2"/>
    <s v="Shirt"/>
    <n v="11"/>
    <n v="1286.08"/>
    <n v="12732.191999999999"/>
    <n v="1414.6880000000001"/>
    <n v="14146.88"/>
    <n v="2546.4383999999995"/>
    <n v="16693.3184"/>
    <s v="Pakistan"/>
    <x v="1"/>
  </r>
  <r>
    <x v="245"/>
    <x v="7"/>
    <x v="9"/>
    <x v="3"/>
    <x v="3"/>
    <x v="4"/>
    <s v="Tablet"/>
    <n v="19"/>
    <n v="1844.31"/>
    <n v="31537.701000000001"/>
    <n v="3504.1890000000003"/>
    <n v="35041.89"/>
    <n v="6307.5401999999995"/>
    <n v="41349.430200000003"/>
    <s v="Pakistan"/>
    <x v="3"/>
  </r>
  <r>
    <x v="132"/>
    <x v="7"/>
    <x v="7"/>
    <x v="1"/>
    <x v="1"/>
    <x v="2"/>
    <s v="Dress"/>
    <n v="14"/>
    <n v="148.43"/>
    <n v="1870.2180000000001"/>
    <n v="207.80200000000002"/>
    <n v="2078.02"/>
    <n v="374.04359999999997"/>
    <n v="2452.0636"/>
    <s v="Pakistan"/>
    <x v="1"/>
  </r>
  <r>
    <x v="213"/>
    <x v="7"/>
    <x v="13"/>
    <x v="1"/>
    <x v="1"/>
    <x v="1"/>
    <s v="Eraser"/>
    <n v="3"/>
    <n v="2502.81"/>
    <n v="6757.5870000000004"/>
    <n v="750.84300000000007"/>
    <n v="7508.43"/>
    <n v="1351.5174"/>
    <n v="8859.9474000000009"/>
    <s v="Pakistan"/>
    <x v="1"/>
  </r>
  <r>
    <x v="27"/>
    <x v="9"/>
    <x v="7"/>
    <x v="1"/>
    <x v="1"/>
    <x v="0"/>
    <s v="Bed"/>
    <n v="7"/>
    <n v="3721.37"/>
    <n v="23444.631000000001"/>
    <n v="2604.9590000000003"/>
    <n v="26049.59"/>
    <n v="4688.9261999999999"/>
    <n v="30738.516199999998"/>
    <s v="Pakistan"/>
    <x v="1"/>
  </r>
  <r>
    <x v="246"/>
    <x v="7"/>
    <x v="1"/>
    <x v="1"/>
    <x v="1"/>
    <x v="0"/>
    <s v="Sofa"/>
    <n v="2"/>
    <n v="3719.83"/>
    <n v="6695.6940000000004"/>
    <n v="743.96600000000001"/>
    <n v="7439.66"/>
    <n v="1339.1387999999999"/>
    <n v="8778.7988000000005"/>
    <s v="Pakistan"/>
    <x v="1"/>
  </r>
  <r>
    <x v="233"/>
    <x v="2"/>
    <x v="11"/>
    <x v="1"/>
    <x v="1"/>
    <x v="2"/>
    <s v="Dress"/>
    <n v="19"/>
    <n v="2862.47"/>
    <n v="48948.237000000001"/>
    <n v="5438.6930000000002"/>
    <n v="54386.93"/>
    <n v="9789.6473999999998"/>
    <n v="64176.577400000002"/>
    <s v="Pakistan"/>
    <x v="1"/>
  </r>
  <r>
    <x v="19"/>
    <x v="4"/>
    <x v="3"/>
    <x v="3"/>
    <x v="3"/>
    <x v="1"/>
    <s v="Ruler"/>
    <n v="5"/>
    <n v="4715.05"/>
    <n v="21217.725000000002"/>
    <n v="2357.5250000000001"/>
    <n v="23575.25"/>
    <n v="4243.5450000000001"/>
    <n v="27818.794999999998"/>
    <s v="Pakistan"/>
    <x v="3"/>
  </r>
  <r>
    <x v="208"/>
    <x v="2"/>
    <x v="4"/>
    <x v="2"/>
    <x v="2"/>
    <x v="3"/>
    <s v="Sugar"/>
    <n v="11"/>
    <n v="3314"/>
    <n v="32808.6"/>
    <n v="3645.4"/>
    <n v="36454"/>
    <n v="6561.7199999999993"/>
    <n v="43015.72"/>
    <s v="Pakistan"/>
    <x v="2"/>
  </r>
  <r>
    <x v="89"/>
    <x v="5"/>
    <x v="6"/>
    <x v="0"/>
    <x v="0"/>
    <x v="0"/>
    <s v="Table"/>
    <n v="3"/>
    <n v="4146.75"/>
    <n v="11196.225"/>
    <n v="1244.0250000000001"/>
    <n v="12440.25"/>
    <n v="2239.2449999999999"/>
    <n v="14679.494999999999"/>
    <s v="Pakistan"/>
    <x v="0"/>
  </r>
  <r>
    <x v="61"/>
    <x v="7"/>
    <x v="5"/>
    <x v="2"/>
    <x v="2"/>
    <x v="4"/>
    <s v="Tablet"/>
    <n v="4"/>
    <n v="4062.52"/>
    <n v="14625.072"/>
    <n v="1625.008"/>
    <n v="16250.08"/>
    <n v="2925.0144"/>
    <n v="19175.094400000002"/>
    <s v="Pakistan"/>
    <x v="2"/>
  </r>
  <r>
    <x v="235"/>
    <x v="7"/>
    <x v="12"/>
    <x v="1"/>
    <x v="1"/>
    <x v="4"/>
    <s v="Tablet"/>
    <n v="4"/>
    <n v="3022.21"/>
    <n v="10879.956"/>
    <n v="1208.884"/>
    <n v="12088.84"/>
    <n v="2175.9911999999999"/>
    <n v="14264.831200000001"/>
    <s v="Pakistan"/>
    <x v="1"/>
  </r>
  <r>
    <x v="41"/>
    <x v="2"/>
    <x v="11"/>
    <x v="1"/>
    <x v="1"/>
    <x v="3"/>
    <s v="Rice"/>
    <n v="7"/>
    <n v="217.04"/>
    <n v="1367.3520000000001"/>
    <n v="151.928"/>
    <n v="1519.28"/>
    <n v="273.47039999999998"/>
    <n v="1792.7503999999999"/>
    <s v="Pakistan"/>
    <x v="1"/>
  </r>
  <r>
    <x v="4"/>
    <x v="7"/>
    <x v="12"/>
    <x v="1"/>
    <x v="1"/>
    <x v="3"/>
    <s v="Rice"/>
    <n v="2"/>
    <n v="4883.5600000000004"/>
    <n v="8790.4080000000013"/>
    <n v="976.7120000000001"/>
    <n v="9767.1200000000008"/>
    <n v="1758.0816"/>
    <n v="11525.2016"/>
    <s v="Pakistan"/>
    <x v="1"/>
  </r>
  <r>
    <x v="247"/>
    <x v="9"/>
    <x v="13"/>
    <x v="1"/>
    <x v="1"/>
    <x v="4"/>
    <s v="Smartphone"/>
    <n v="16"/>
    <n v="2015.76"/>
    <n v="29026.944"/>
    <n v="3225.2160000000003"/>
    <n v="32252.16"/>
    <n v="5805.3887999999997"/>
    <n v="38057.548799999997"/>
    <s v="Pakistan"/>
    <x v="1"/>
  </r>
  <r>
    <x v="50"/>
    <x v="8"/>
    <x v="2"/>
    <x v="2"/>
    <x v="2"/>
    <x v="3"/>
    <s v="Lentils"/>
    <n v="1"/>
    <n v="2777.22"/>
    <n v="2499.498"/>
    <n v="277.72199999999998"/>
    <n v="2777.22"/>
    <n v="499.89959999999996"/>
    <n v="3277.1196"/>
    <s v="Pakistan"/>
    <x v="2"/>
  </r>
  <r>
    <x v="152"/>
    <x v="1"/>
    <x v="2"/>
    <x v="2"/>
    <x v="2"/>
    <x v="0"/>
    <s v="Bed"/>
    <n v="13"/>
    <n v="4318.62"/>
    <n v="50527.853999999999"/>
    <n v="5614.2060000000001"/>
    <n v="56142.06"/>
    <n v="10105.5708"/>
    <n v="66247.630799999999"/>
    <s v="Pakistan"/>
    <x v="2"/>
  </r>
  <r>
    <x v="248"/>
    <x v="9"/>
    <x v="0"/>
    <x v="0"/>
    <x v="0"/>
    <x v="4"/>
    <s v="Smartphone"/>
    <n v="15"/>
    <n v="3225.2"/>
    <n v="43540.200000000004"/>
    <n v="4837.8"/>
    <n v="48378"/>
    <n v="8708.0399999999991"/>
    <n v="57086.04"/>
    <s v="Pakistan"/>
    <x v="0"/>
  </r>
  <r>
    <x v="228"/>
    <x v="5"/>
    <x v="0"/>
    <x v="0"/>
    <x v="0"/>
    <x v="4"/>
    <s v="Smartphone"/>
    <n v="9"/>
    <n v="631.99"/>
    <n v="5119.1189999999997"/>
    <n v="568.79100000000005"/>
    <n v="5687.91"/>
    <n v="1023.8237999999999"/>
    <n v="6711.7338"/>
    <s v="Pakistan"/>
    <x v="0"/>
  </r>
  <r>
    <x v="135"/>
    <x v="3"/>
    <x v="11"/>
    <x v="1"/>
    <x v="1"/>
    <x v="1"/>
    <s v="Pen"/>
    <n v="16"/>
    <n v="981"/>
    <n v="14126.4"/>
    <n v="1569.6000000000001"/>
    <n v="15696"/>
    <n v="2825.2799999999997"/>
    <n v="18521.28"/>
    <s v="Pakistan"/>
    <x v="1"/>
  </r>
  <r>
    <x v="146"/>
    <x v="8"/>
    <x v="7"/>
    <x v="1"/>
    <x v="1"/>
    <x v="4"/>
    <s v="Laptop"/>
    <n v="14"/>
    <n v="1049.21"/>
    <n v="13220.046"/>
    <n v="1468.8940000000002"/>
    <n v="14688.94"/>
    <n v="2644.0092"/>
    <n v="17332.949199999999"/>
    <s v="Pakistan"/>
    <x v="1"/>
  </r>
  <r>
    <x v="246"/>
    <x v="9"/>
    <x v="1"/>
    <x v="1"/>
    <x v="1"/>
    <x v="0"/>
    <s v="Table"/>
    <n v="3"/>
    <n v="3276.84"/>
    <n v="8847.4680000000008"/>
    <n v="983.05200000000013"/>
    <n v="9830.52"/>
    <n v="1769.4936"/>
    <n v="11600.0136"/>
    <s v="Pakistan"/>
    <x v="1"/>
  </r>
  <r>
    <x v="249"/>
    <x v="3"/>
    <x v="4"/>
    <x v="2"/>
    <x v="2"/>
    <x v="4"/>
    <s v="Headphones"/>
    <n v="10"/>
    <n v="1693.46"/>
    <n v="15241.14"/>
    <n v="1693.46"/>
    <n v="16934.599999999999"/>
    <n v="3048.2279999999996"/>
    <n v="19982.827999999998"/>
    <s v="Pakistan"/>
    <x v="2"/>
  </r>
  <r>
    <x v="140"/>
    <x v="8"/>
    <x v="4"/>
    <x v="2"/>
    <x v="2"/>
    <x v="1"/>
    <s v="Pen"/>
    <n v="15"/>
    <n v="1790.58"/>
    <n v="24172.83"/>
    <n v="2685.8700000000003"/>
    <n v="26858.7"/>
    <n v="4834.5659999999998"/>
    <n v="31693.266"/>
    <s v="Pakistan"/>
    <x v="2"/>
  </r>
  <r>
    <x v="123"/>
    <x v="4"/>
    <x v="7"/>
    <x v="1"/>
    <x v="1"/>
    <x v="0"/>
    <s v="Bed"/>
    <n v="16"/>
    <n v="1018.83"/>
    <n v="14671.152"/>
    <n v="1630.1280000000002"/>
    <n v="16301.28"/>
    <n v="2934.2303999999999"/>
    <n v="19235.510399999999"/>
    <s v="Pakistan"/>
    <x v="1"/>
  </r>
  <r>
    <x v="70"/>
    <x v="5"/>
    <x v="12"/>
    <x v="1"/>
    <x v="1"/>
    <x v="4"/>
    <s v="Tablet"/>
    <n v="6"/>
    <n v="1246.5899999999999"/>
    <n v="6731.5860000000002"/>
    <n v="747.95400000000006"/>
    <n v="7479.54"/>
    <n v="1346.3172"/>
    <n v="8825.8572000000004"/>
    <s v="Pakistan"/>
    <x v="1"/>
  </r>
  <r>
    <x v="28"/>
    <x v="7"/>
    <x v="1"/>
    <x v="1"/>
    <x v="1"/>
    <x v="3"/>
    <s v="Sugar"/>
    <n v="14"/>
    <n v="859.79"/>
    <n v="10833.353999999999"/>
    <n v="1203.7059999999999"/>
    <n v="12037.06"/>
    <n v="2166.6707999999999"/>
    <n v="14203.730799999999"/>
    <s v="Pakistan"/>
    <x v="1"/>
  </r>
  <r>
    <x v="205"/>
    <x v="0"/>
    <x v="4"/>
    <x v="2"/>
    <x v="2"/>
    <x v="2"/>
    <s v="Pants"/>
    <n v="12"/>
    <n v="149.16"/>
    <n v="1610.9280000000001"/>
    <n v="178.99200000000002"/>
    <n v="1789.92"/>
    <n v="322.18560000000002"/>
    <n v="2112.1055999999999"/>
    <s v="Pakistan"/>
    <x v="2"/>
  </r>
  <r>
    <x v="250"/>
    <x v="4"/>
    <x v="0"/>
    <x v="0"/>
    <x v="0"/>
    <x v="0"/>
    <s v="Bed"/>
    <n v="20"/>
    <n v="1108.83"/>
    <n v="19958.939999999999"/>
    <n v="2217.66"/>
    <n v="22176.6"/>
    <n v="3991.7879999999996"/>
    <n v="26168.387999999999"/>
    <s v="Pakistan"/>
    <x v="0"/>
  </r>
  <r>
    <x v="154"/>
    <x v="5"/>
    <x v="2"/>
    <x v="2"/>
    <x v="2"/>
    <x v="0"/>
    <s v="Chair"/>
    <n v="8"/>
    <n v="3628.65"/>
    <n v="26126.280000000002"/>
    <n v="2902.92"/>
    <n v="29029.200000000001"/>
    <n v="5225.2560000000003"/>
    <n v="34254.455999999998"/>
    <s v="Pakistan"/>
    <x v="2"/>
  </r>
  <r>
    <x v="5"/>
    <x v="0"/>
    <x v="7"/>
    <x v="1"/>
    <x v="1"/>
    <x v="2"/>
    <s v="Pants"/>
    <n v="19"/>
    <n v="1317.72"/>
    <n v="22533.012000000002"/>
    <n v="2503.6680000000001"/>
    <n v="25036.68"/>
    <n v="4506.6023999999998"/>
    <n v="29543.2824"/>
    <s v="Pakistan"/>
    <x v="1"/>
  </r>
  <r>
    <x v="251"/>
    <x v="4"/>
    <x v="11"/>
    <x v="1"/>
    <x v="1"/>
    <x v="2"/>
    <s v="Jacket"/>
    <n v="16"/>
    <n v="2995.01"/>
    <n v="43128.144000000008"/>
    <n v="4792.0160000000005"/>
    <n v="47920.160000000003"/>
    <n v="8625.6288000000004"/>
    <n v="56545.788800000002"/>
    <s v="Pakistan"/>
    <x v="1"/>
  </r>
  <r>
    <x v="214"/>
    <x v="5"/>
    <x v="9"/>
    <x v="3"/>
    <x v="3"/>
    <x v="0"/>
    <s v="Chair"/>
    <n v="11"/>
    <n v="2318.96"/>
    <n v="22957.704000000002"/>
    <n v="2550.8560000000002"/>
    <n v="25508.560000000001"/>
    <n v="4591.5407999999998"/>
    <n v="30100.1008"/>
    <s v="Pakistan"/>
    <x v="3"/>
  </r>
  <r>
    <x v="31"/>
    <x v="2"/>
    <x v="6"/>
    <x v="0"/>
    <x v="0"/>
    <x v="3"/>
    <s v="Sugar"/>
    <n v="14"/>
    <n v="4935.3"/>
    <n v="62184.78"/>
    <n v="6909.42"/>
    <n v="69094.2"/>
    <n v="12436.955999999998"/>
    <n v="81531.155999999988"/>
    <s v="Pakistan"/>
    <x v="0"/>
  </r>
  <r>
    <x v="252"/>
    <x v="8"/>
    <x v="12"/>
    <x v="1"/>
    <x v="1"/>
    <x v="0"/>
    <s v="Bed"/>
    <n v="1"/>
    <n v="1083.26"/>
    <n v="974.93399999999997"/>
    <n v="108.32600000000001"/>
    <n v="1083.26"/>
    <n v="194.98679999999999"/>
    <n v="1278.2467999999999"/>
    <s v="Pakistan"/>
    <x v="1"/>
  </r>
  <r>
    <x v="231"/>
    <x v="7"/>
    <x v="3"/>
    <x v="3"/>
    <x v="3"/>
    <x v="0"/>
    <s v="Bed"/>
    <n v="11"/>
    <n v="1673.53"/>
    <n v="16567.947000000004"/>
    <n v="1840.8830000000003"/>
    <n v="18408.830000000002"/>
    <n v="3313.5894000000003"/>
    <n v="21722.419400000002"/>
    <s v="Pakistan"/>
    <x v="3"/>
  </r>
  <r>
    <x v="161"/>
    <x v="3"/>
    <x v="7"/>
    <x v="1"/>
    <x v="1"/>
    <x v="4"/>
    <s v="Smartphone"/>
    <n v="10"/>
    <n v="3829.38"/>
    <n v="34464.420000000006"/>
    <n v="3829.3800000000006"/>
    <n v="38293.800000000003"/>
    <n v="6892.884"/>
    <n v="45186.684000000001"/>
    <s v="Pakistan"/>
    <x v="1"/>
  </r>
  <r>
    <x v="44"/>
    <x v="7"/>
    <x v="2"/>
    <x v="2"/>
    <x v="2"/>
    <x v="2"/>
    <s v="Dress"/>
    <n v="6"/>
    <n v="470.36"/>
    <n v="2539.944"/>
    <n v="282.21600000000001"/>
    <n v="2822.16"/>
    <n v="507.98879999999997"/>
    <n v="3330.1487999999999"/>
    <s v="Pakistan"/>
    <x v="2"/>
  </r>
  <r>
    <x v="117"/>
    <x v="9"/>
    <x v="9"/>
    <x v="3"/>
    <x v="3"/>
    <x v="4"/>
    <s v="Smartphone"/>
    <n v="12"/>
    <n v="2489.14"/>
    <n v="26882.712"/>
    <n v="2986.9680000000003"/>
    <n v="29869.68"/>
    <n v="5376.5424000000003"/>
    <n v="35246.222399999999"/>
    <s v="Pakistan"/>
    <x v="3"/>
  </r>
  <r>
    <x v="155"/>
    <x v="7"/>
    <x v="2"/>
    <x v="2"/>
    <x v="2"/>
    <x v="2"/>
    <s v="Jacket"/>
    <n v="14"/>
    <n v="1729.16"/>
    <n v="21787.416000000001"/>
    <n v="2420.8240000000001"/>
    <n v="24208.240000000002"/>
    <n v="4357.4832000000006"/>
    <n v="28565.7232"/>
    <s v="Pakistan"/>
    <x v="2"/>
  </r>
  <r>
    <x v="253"/>
    <x v="0"/>
    <x v="5"/>
    <x v="2"/>
    <x v="2"/>
    <x v="1"/>
    <s v="Pen"/>
    <n v="2"/>
    <n v="2789.92"/>
    <n v="5021.8560000000007"/>
    <n v="557.98400000000004"/>
    <n v="5579.84"/>
    <n v="1004.3712"/>
    <n v="6584.2111999999997"/>
    <s v="Pakistan"/>
    <x v="2"/>
  </r>
  <r>
    <x v="59"/>
    <x v="6"/>
    <x v="6"/>
    <x v="0"/>
    <x v="0"/>
    <x v="2"/>
    <s v="Dress"/>
    <n v="17"/>
    <n v="3244.79"/>
    <n v="49645.287000000004"/>
    <n v="5516.143"/>
    <n v="55161.43"/>
    <n v="9929.0573999999997"/>
    <n v="65090.487399999998"/>
    <s v="Pakistan"/>
    <x v="0"/>
  </r>
  <r>
    <x v="125"/>
    <x v="2"/>
    <x v="12"/>
    <x v="1"/>
    <x v="1"/>
    <x v="1"/>
    <s v="Ruler"/>
    <n v="20"/>
    <n v="2155.17"/>
    <n v="38793.060000000005"/>
    <n v="4310.34"/>
    <n v="43103.4"/>
    <n v="7758.6120000000001"/>
    <n v="50862.012000000002"/>
    <s v="Pakistan"/>
    <x v="1"/>
  </r>
  <r>
    <x v="104"/>
    <x v="8"/>
    <x v="1"/>
    <x v="1"/>
    <x v="1"/>
    <x v="3"/>
    <s v="Sugar"/>
    <n v="13"/>
    <n v="2526.1999999999998"/>
    <n v="29556.54"/>
    <n v="3284.06"/>
    <n v="32840.6"/>
    <n v="5911.3079999999991"/>
    <n v="38751.907999999996"/>
    <s v="Pakistan"/>
    <x v="1"/>
  </r>
  <r>
    <x v="33"/>
    <x v="6"/>
    <x v="3"/>
    <x v="3"/>
    <x v="3"/>
    <x v="4"/>
    <s v="Laptop"/>
    <n v="11"/>
    <n v="1995.21"/>
    <n v="19752.579000000002"/>
    <n v="2194.7310000000002"/>
    <n v="21947.31"/>
    <n v="3950.5158000000001"/>
    <n v="25897.825800000002"/>
    <s v="Pakistan"/>
    <x v="3"/>
  </r>
  <r>
    <x v="118"/>
    <x v="8"/>
    <x v="7"/>
    <x v="1"/>
    <x v="1"/>
    <x v="1"/>
    <s v="Ruler"/>
    <n v="4"/>
    <n v="1139.74"/>
    <n v="4103.0640000000003"/>
    <n v="455.89600000000002"/>
    <n v="4558.96"/>
    <n v="820.61279999999999"/>
    <n v="5379.5727999999999"/>
    <s v="Pakistan"/>
    <x v="1"/>
  </r>
  <r>
    <x v="175"/>
    <x v="9"/>
    <x v="11"/>
    <x v="1"/>
    <x v="1"/>
    <x v="0"/>
    <s v="Sofa"/>
    <n v="4"/>
    <n v="3015.93"/>
    <n v="10857.348"/>
    <n v="1206.3720000000001"/>
    <n v="12063.72"/>
    <n v="2171.4695999999999"/>
    <n v="14235.1896"/>
    <s v="Pakistan"/>
    <x v="1"/>
  </r>
  <r>
    <x v="203"/>
    <x v="8"/>
    <x v="5"/>
    <x v="2"/>
    <x v="2"/>
    <x v="2"/>
    <s v="Pants"/>
    <n v="4"/>
    <n v="3831.39"/>
    <n v="13793.003999999999"/>
    <n v="1532.556"/>
    <n v="15325.56"/>
    <n v="2758.6007999999997"/>
    <n v="18084.160799999998"/>
    <s v="Pakistan"/>
    <x v="2"/>
  </r>
  <r>
    <x v="97"/>
    <x v="0"/>
    <x v="4"/>
    <x v="2"/>
    <x v="2"/>
    <x v="2"/>
    <s v="Dress"/>
    <n v="7"/>
    <n v="105.05"/>
    <n v="661.81500000000005"/>
    <n v="73.535000000000011"/>
    <n v="735.35"/>
    <n v="132.363"/>
    <n v="867.71299999999997"/>
    <s v="Pakistan"/>
    <x v="2"/>
  </r>
  <r>
    <x v="84"/>
    <x v="1"/>
    <x v="7"/>
    <x v="1"/>
    <x v="1"/>
    <x v="1"/>
    <s v="Pen"/>
    <n v="11"/>
    <n v="2416.1799999999998"/>
    <n v="23920.182000000001"/>
    <n v="2657.7980000000002"/>
    <n v="26577.98"/>
    <n v="4784.0364"/>
    <n v="31362.0164"/>
    <s v="Pakistan"/>
    <x v="1"/>
  </r>
  <r>
    <x v="254"/>
    <x v="5"/>
    <x v="7"/>
    <x v="1"/>
    <x v="1"/>
    <x v="1"/>
    <s v="Pen"/>
    <n v="1"/>
    <n v="549.14"/>
    <n v="494.226"/>
    <n v="54.914000000000001"/>
    <n v="549.14"/>
    <n v="98.845199999999991"/>
    <n v="647.98519999999996"/>
    <s v="Pakistan"/>
    <x v="1"/>
  </r>
  <r>
    <x v="127"/>
    <x v="5"/>
    <x v="3"/>
    <x v="3"/>
    <x v="3"/>
    <x v="3"/>
    <s v="Lentils"/>
    <n v="10"/>
    <n v="3771.5"/>
    <n v="33943.5"/>
    <n v="3771.5"/>
    <n v="37715"/>
    <n v="6788.7"/>
    <n v="44503.7"/>
    <s v="Pakistan"/>
    <x v="3"/>
  </r>
  <r>
    <x v="250"/>
    <x v="1"/>
    <x v="7"/>
    <x v="1"/>
    <x v="1"/>
    <x v="0"/>
    <s v="Sofa"/>
    <n v="13"/>
    <n v="956.49"/>
    <n v="11190.933000000001"/>
    <n v="1243.4370000000001"/>
    <n v="12434.37"/>
    <n v="2238.1866"/>
    <n v="14672.5566"/>
    <s v="Pakistan"/>
    <x v="1"/>
  </r>
  <r>
    <x v="101"/>
    <x v="2"/>
    <x v="2"/>
    <x v="2"/>
    <x v="2"/>
    <x v="0"/>
    <s v="Bed"/>
    <n v="19"/>
    <n v="3575.92"/>
    <n v="61148.231999999996"/>
    <n v="6794.2479999999996"/>
    <n v="67942.48"/>
    <n v="12229.6464"/>
    <n v="80172.126399999994"/>
    <s v="Pakistan"/>
    <x v="2"/>
  </r>
  <r>
    <x v="65"/>
    <x v="8"/>
    <x v="10"/>
    <x v="2"/>
    <x v="2"/>
    <x v="4"/>
    <s v="Smartphone"/>
    <n v="8"/>
    <n v="3971.12"/>
    <n v="28592.063999999998"/>
    <n v="3176.8960000000002"/>
    <n v="31768.959999999999"/>
    <n v="5718.4128000000001"/>
    <n v="37487.372799999997"/>
    <s v="Pakistan"/>
    <x v="2"/>
  </r>
  <r>
    <x v="228"/>
    <x v="4"/>
    <x v="3"/>
    <x v="3"/>
    <x v="3"/>
    <x v="2"/>
    <s v="Shirt"/>
    <n v="14"/>
    <n v="3631.62"/>
    <n v="45758.412000000004"/>
    <n v="5084.268"/>
    <n v="50842.68"/>
    <n v="9151.6823999999997"/>
    <n v="59994.362399999998"/>
    <s v="Pakistan"/>
    <x v="3"/>
  </r>
  <r>
    <x v="6"/>
    <x v="7"/>
    <x v="0"/>
    <x v="0"/>
    <x v="0"/>
    <x v="0"/>
    <s v="Bed"/>
    <n v="18"/>
    <n v="2589.64"/>
    <n v="41952.167999999998"/>
    <n v="4661.3519999999999"/>
    <n v="46613.52"/>
    <n v="8390.4335999999985"/>
    <n v="55003.953599999993"/>
    <s v="Pakistan"/>
    <x v="0"/>
  </r>
  <r>
    <x v="139"/>
    <x v="4"/>
    <x v="10"/>
    <x v="2"/>
    <x v="2"/>
    <x v="3"/>
    <s v="Sugar"/>
    <n v="2"/>
    <n v="2713.34"/>
    <n v="4884.0120000000006"/>
    <n v="542.66800000000001"/>
    <n v="5426.68"/>
    <n v="976.80240000000003"/>
    <n v="6403.4824000000008"/>
    <s v="Pakistan"/>
    <x v="2"/>
  </r>
  <r>
    <x v="76"/>
    <x v="5"/>
    <x v="2"/>
    <x v="2"/>
    <x v="2"/>
    <x v="1"/>
    <s v="Ruler"/>
    <n v="17"/>
    <n v="1294.56"/>
    <n v="19806.768"/>
    <n v="2200.752"/>
    <n v="22007.52"/>
    <n v="3961.3535999999999"/>
    <n v="25968.873599999999"/>
    <s v="Pakistan"/>
    <x v="2"/>
  </r>
  <r>
    <x v="69"/>
    <x v="4"/>
    <x v="4"/>
    <x v="2"/>
    <x v="2"/>
    <x v="1"/>
    <s v="Ruler"/>
    <n v="8"/>
    <n v="1171.53"/>
    <n v="8435.0159999999996"/>
    <n v="937.22400000000005"/>
    <n v="9372.24"/>
    <n v="1687.0031999999999"/>
    <n v="11059.243199999999"/>
    <s v="Pakistan"/>
    <x v="2"/>
  </r>
  <r>
    <x v="151"/>
    <x v="7"/>
    <x v="8"/>
    <x v="2"/>
    <x v="2"/>
    <x v="2"/>
    <s v="Jacket"/>
    <n v="15"/>
    <n v="4060.63"/>
    <n v="54818.504999999997"/>
    <n v="6090.9449999999997"/>
    <n v="60909.45"/>
    <n v="10963.700999999999"/>
    <n v="71873.150999999998"/>
    <s v="Pakistan"/>
    <x v="2"/>
  </r>
  <r>
    <x v="255"/>
    <x v="5"/>
    <x v="0"/>
    <x v="0"/>
    <x v="0"/>
    <x v="3"/>
    <s v="Lentils"/>
    <n v="4"/>
    <n v="442.23"/>
    <n v="1592.028"/>
    <n v="176.89200000000002"/>
    <n v="1768.92"/>
    <n v="318.40559999999999"/>
    <n v="2087.3256000000001"/>
    <s v="Pakistan"/>
    <x v="0"/>
  </r>
  <r>
    <x v="31"/>
    <x v="7"/>
    <x v="0"/>
    <x v="0"/>
    <x v="0"/>
    <x v="1"/>
    <s v="Eraser"/>
    <n v="5"/>
    <n v="3725.36"/>
    <n v="16764.12"/>
    <n v="1862.68"/>
    <n v="18626.8"/>
    <n v="3352.8239999999996"/>
    <n v="21979.624"/>
    <s v="Pakistan"/>
    <x v="0"/>
  </r>
  <r>
    <x v="251"/>
    <x v="7"/>
    <x v="7"/>
    <x v="1"/>
    <x v="1"/>
    <x v="2"/>
    <s v="Dress"/>
    <n v="20"/>
    <n v="2974.89"/>
    <n v="53548.020000000004"/>
    <n v="5949.7800000000007"/>
    <n v="59497.8"/>
    <n v="10709.603999999999"/>
    <n v="70207.40400000001"/>
    <s v="Pakistan"/>
    <x v="1"/>
  </r>
  <r>
    <x v="84"/>
    <x v="7"/>
    <x v="3"/>
    <x v="3"/>
    <x v="3"/>
    <x v="2"/>
    <s v="Jacket"/>
    <n v="1"/>
    <n v="1717.6"/>
    <n v="1545.84"/>
    <n v="171.76"/>
    <n v="1717.6"/>
    <n v="309.16799999999995"/>
    <n v="2026.7679999999998"/>
    <s v="Pakistan"/>
    <x v="3"/>
  </r>
  <r>
    <x v="180"/>
    <x v="6"/>
    <x v="4"/>
    <x v="2"/>
    <x v="2"/>
    <x v="0"/>
    <s v="Chair"/>
    <n v="5"/>
    <n v="2849.56"/>
    <n v="12823.02"/>
    <n v="1424.78"/>
    <n v="14247.8"/>
    <n v="2564.6039999999998"/>
    <n v="16812.403999999999"/>
    <s v="Pakistan"/>
    <x v="2"/>
  </r>
  <r>
    <x v="44"/>
    <x v="0"/>
    <x v="10"/>
    <x v="2"/>
    <x v="2"/>
    <x v="1"/>
    <s v="Ruler"/>
    <n v="18"/>
    <n v="4150.7700000000004"/>
    <n v="67242.474000000002"/>
    <n v="7471.3860000000004"/>
    <n v="74713.86"/>
    <n v="13448.4948"/>
    <n v="88162.354800000001"/>
    <s v="Pakistan"/>
    <x v="2"/>
  </r>
  <r>
    <x v="256"/>
    <x v="6"/>
    <x v="9"/>
    <x v="3"/>
    <x v="3"/>
    <x v="1"/>
    <s v="Notebook"/>
    <n v="18"/>
    <n v="2490.14"/>
    <n v="40340.267999999996"/>
    <n v="4482.2519999999995"/>
    <n v="44822.52"/>
    <n v="8068.0535999999993"/>
    <n v="52890.573599999996"/>
    <s v="Pakistan"/>
    <x v="3"/>
  </r>
  <r>
    <x v="124"/>
    <x v="6"/>
    <x v="11"/>
    <x v="1"/>
    <x v="1"/>
    <x v="1"/>
    <s v="Ruler"/>
    <n v="17"/>
    <n v="500.54"/>
    <n v="7658.2620000000006"/>
    <n v="850.91800000000012"/>
    <n v="8509.18"/>
    <n v="1531.6523999999999"/>
    <n v="10040.832399999999"/>
    <s v="Pakistan"/>
    <x v="1"/>
  </r>
  <r>
    <x v="257"/>
    <x v="9"/>
    <x v="8"/>
    <x v="2"/>
    <x v="2"/>
    <x v="4"/>
    <s v="Smartphone"/>
    <n v="19"/>
    <n v="1067.94"/>
    <n v="18261.774000000001"/>
    <n v="2029.0860000000002"/>
    <n v="20290.86"/>
    <n v="3652.3548000000001"/>
    <n v="23943.214800000002"/>
    <s v="Pakistan"/>
    <x v="2"/>
  </r>
  <r>
    <x v="96"/>
    <x v="9"/>
    <x v="12"/>
    <x v="1"/>
    <x v="1"/>
    <x v="3"/>
    <s v="Sugar"/>
    <n v="7"/>
    <n v="2264.87"/>
    <n v="14268.681"/>
    <n v="1585.4090000000001"/>
    <n v="15854.09"/>
    <n v="2853.7361999999998"/>
    <n v="18707.8262"/>
    <s v="Pakistan"/>
    <x v="1"/>
  </r>
  <r>
    <x v="258"/>
    <x v="1"/>
    <x v="11"/>
    <x v="1"/>
    <x v="1"/>
    <x v="3"/>
    <s v="Rice"/>
    <n v="18"/>
    <n v="2584.0700000000002"/>
    <n v="41861.934000000001"/>
    <n v="4651.326"/>
    <n v="46513.26"/>
    <n v="8372.3868000000002"/>
    <n v="54885.646800000002"/>
    <s v="Pakistan"/>
    <x v="1"/>
  </r>
  <r>
    <x v="257"/>
    <x v="9"/>
    <x v="2"/>
    <x v="2"/>
    <x v="2"/>
    <x v="1"/>
    <s v="Pen"/>
    <n v="13"/>
    <n v="4621.13"/>
    <n v="54067.221000000005"/>
    <n v="6007.469000000001"/>
    <n v="60074.69"/>
    <n v="10813.4442"/>
    <n v="70888.1342"/>
    <s v="Pakistan"/>
    <x v="2"/>
  </r>
  <r>
    <x v="229"/>
    <x v="1"/>
    <x v="11"/>
    <x v="1"/>
    <x v="1"/>
    <x v="3"/>
    <s v="Lentils"/>
    <n v="16"/>
    <n v="4826.2"/>
    <n v="69497.279999999999"/>
    <n v="7721.92"/>
    <n v="77219.199999999997"/>
    <n v="13899.455999999998"/>
    <n v="91118.655999999988"/>
    <s v="Pakistan"/>
    <x v="1"/>
  </r>
  <r>
    <x v="259"/>
    <x v="4"/>
    <x v="6"/>
    <x v="0"/>
    <x v="0"/>
    <x v="4"/>
    <s v="Laptop"/>
    <n v="5"/>
    <n v="4773.5600000000004"/>
    <n v="21481.02"/>
    <n v="2386.7800000000002"/>
    <n v="23867.8"/>
    <n v="4296.2039999999997"/>
    <n v="28164.004000000001"/>
    <s v="Pakistan"/>
    <x v="0"/>
  </r>
  <r>
    <x v="93"/>
    <x v="9"/>
    <x v="3"/>
    <x v="3"/>
    <x v="3"/>
    <x v="3"/>
    <s v="Sugar"/>
    <n v="9"/>
    <n v="3220.44"/>
    <n v="26085.563999999998"/>
    <n v="2898.3960000000002"/>
    <n v="28983.96"/>
    <n v="5217.1127999999999"/>
    <n v="34201.072800000002"/>
    <s v="Pakistan"/>
    <x v="3"/>
  </r>
  <r>
    <x v="201"/>
    <x v="9"/>
    <x v="5"/>
    <x v="2"/>
    <x v="2"/>
    <x v="3"/>
    <s v="Rice"/>
    <n v="15"/>
    <n v="4945.79"/>
    <n v="66768.165000000008"/>
    <n v="7418.6850000000013"/>
    <n v="74186.850000000006"/>
    <n v="13353.633"/>
    <n v="87540.483000000007"/>
    <s v="Pakistan"/>
    <x v="2"/>
  </r>
  <r>
    <x v="213"/>
    <x v="3"/>
    <x v="1"/>
    <x v="1"/>
    <x v="1"/>
    <x v="2"/>
    <s v="Jacket"/>
    <n v="14"/>
    <n v="2355.56"/>
    <n v="29680.055999999997"/>
    <n v="3297.7839999999997"/>
    <n v="32977.839999999997"/>
    <n v="5936.011199999999"/>
    <n v="38913.851199999997"/>
    <s v="Pakistan"/>
    <x v="1"/>
  </r>
  <r>
    <x v="24"/>
    <x v="1"/>
    <x v="7"/>
    <x v="1"/>
    <x v="1"/>
    <x v="2"/>
    <s v="Pants"/>
    <n v="4"/>
    <n v="4412.41"/>
    <n v="15884.675999999999"/>
    <n v="1764.9639999999999"/>
    <n v="17649.64"/>
    <n v="3176.9351999999999"/>
    <n v="20826.575199999999"/>
    <s v="Pakistan"/>
    <x v="1"/>
  </r>
  <r>
    <x v="120"/>
    <x v="7"/>
    <x v="8"/>
    <x v="2"/>
    <x v="2"/>
    <x v="1"/>
    <s v="Pen"/>
    <n v="5"/>
    <n v="355.6"/>
    <n v="1600.2"/>
    <n v="177.8"/>
    <n v="1778"/>
    <n v="320.03999999999996"/>
    <n v="2098.04"/>
    <s v="Pakistan"/>
    <x v="2"/>
  </r>
  <r>
    <x v="186"/>
    <x v="3"/>
    <x v="0"/>
    <x v="0"/>
    <x v="0"/>
    <x v="4"/>
    <s v="Headphones"/>
    <n v="12"/>
    <n v="4405.1899999999996"/>
    <n v="47576.052000000003"/>
    <n v="5286.2280000000001"/>
    <n v="52862.28"/>
    <n v="9515.2103999999999"/>
    <n v="62377.490399999995"/>
    <s v="Pakistan"/>
    <x v="0"/>
  </r>
  <r>
    <x v="260"/>
    <x v="1"/>
    <x v="4"/>
    <x v="2"/>
    <x v="2"/>
    <x v="3"/>
    <s v="Rice"/>
    <n v="9"/>
    <n v="877.89"/>
    <n v="7110.9090000000006"/>
    <n v="790.10100000000011"/>
    <n v="7901.01"/>
    <n v="1422.1818000000001"/>
    <n v="9323.1918000000005"/>
    <s v="Pakistan"/>
    <x v="2"/>
  </r>
  <r>
    <x v="261"/>
    <x v="1"/>
    <x v="13"/>
    <x v="1"/>
    <x v="1"/>
    <x v="2"/>
    <s v="Pants"/>
    <n v="1"/>
    <n v="2970.66"/>
    <n v="2673.5940000000001"/>
    <n v="297.06599999999997"/>
    <n v="2970.66"/>
    <n v="534.71879999999999"/>
    <n v="3505.3788"/>
    <s v="Pakistan"/>
    <x v="1"/>
  </r>
  <r>
    <x v="251"/>
    <x v="6"/>
    <x v="0"/>
    <x v="0"/>
    <x v="0"/>
    <x v="0"/>
    <s v="Sofa"/>
    <n v="15"/>
    <n v="3579.98"/>
    <n v="48329.729999999996"/>
    <n v="5369.97"/>
    <n v="53699.7"/>
    <n v="9665.9459999999999"/>
    <n v="63365.645999999993"/>
    <s v="Pakistan"/>
    <x v="0"/>
  </r>
  <r>
    <x v="231"/>
    <x v="9"/>
    <x v="13"/>
    <x v="1"/>
    <x v="1"/>
    <x v="4"/>
    <s v="Laptop"/>
    <n v="9"/>
    <n v="1605.02"/>
    <n v="13000.662"/>
    <n v="1444.518"/>
    <n v="14445.18"/>
    <n v="2600.1324"/>
    <n v="17045.312399999999"/>
    <s v="Pakistan"/>
    <x v="1"/>
  </r>
  <r>
    <x v="119"/>
    <x v="0"/>
    <x v="5"/>
    <x v="2"/>
    <x v="2"/>
    <x v="4"/>
    <s v="Headphones"/>
    <n v="12"/>
    <n v="1982.64"/>
    <n v="21412.512000000002"/>
    <n v="2379.1680000000001"/>
    <n v="23791.68"/>
    <n v="4282.5024000000003"/>
    <n v="28074.182400000002"/>
    <s v="Pakistan"/>
    <x v="2"/>
  </r>
  <r>
    <x v="262"/>
    <x v="8"/>
    <x v="13"/>
    <x v="1"/>
    <x v="1"/>
    <x v="1"/>
    <s v="Notebook"/>
    <n v="20"/>
    <n v="3195.53"/>
    <n v="57519.54"/>
    <n v="6391.06"/>
    <n v="63910.6"/>
    <n v="11503.907999999999"/>
    <n v="75414.508000000002"/>
    <s v="Pakistan"/>
    <x v="1"/>
  </r>
  <r>
    <x v="53"/>
    <x v="9"/>
    <x v="7"/>
    <x v="1"/>
    <x v="1"/>
    <x v="3"/>
    <s v="Sugar"/>
    <n v="20"/>
    <n v="1580.59"/>
    <n v="28450.62"/>
    <n v="3161.1800000000003"/>
    <n v="31611.8"/>
    <n v="5690.1239999999998"/>
    <n v="37301.923999999999"/>
    <s v="Pakistan"/>
    <x v="1"/>
  </r>
  <r>
    <x v="134"/>
    <x v="3"/>
    <x v="12"/>
    <x v="1"/>
    <x v="1"/>
    <x v="4"/>
    <s v="Smartphone"/>
    <n v="6"/>
    <n v="809.57"/>
    <n v="4371.6779999999999"/>
    <n v="485.74200000000002"/>
    <n v="4857.42"/>
    <n v="874.3356"/>
    <n v="5731.7556000000004"/>
    <s v="Pakistan"/>
    <x v="1"/>
  </r>
  <r>
    <x v="263"/>
    <x v="6"/>
    <x v="9"/>
    <x v="3"/>
    <x v="3"/>
    <x v="1"/>
    <s v="Eraser"/>
    <n v="6"/>
    <n v="1221.52"/>
    <n v="6596.2079999999996"/>
    <n v="732.91200000000003"/>
    <n v="7329.12"/>
    <n v="1319.2415999999998"/>
    <n v="8648.3616000000002"/>
    <s v="Pakistan"/>
    <x v="3"/>
  </r>
  <r>
    <x v="61"/>
    <x v="2"/>
    <x v="6"/>
    <x v="0"/>
    <x v="0"/>
    <x v="0"/>
    <s v="Table"/>
    <n v="4"/>
    <n v="2457.5"/>
    <n v="8847"/>
    <n v="983"/>
    <n v="9830"/>
    <n v="1769.3999999999999"/>
    <n v="11599.4"/>
    <s v="Pakistan"/>
    <x v="0"/>
  </r>
  <r>
    <x v="4"/>
    <x v="2"/>
    <x v="12"/>
    <x v="1"/>
    <x v="1"/>
    <x v="1"/>
    <s v="Notebook"/>
    <n v="12"/>
    <n v="2820.88"/>
    <n v="30465.503999999997"/>
    <n v="3385.056"/>
    <n v="33850.559999999998"/>
    <n v="6093.1007999999993"/>
    <n v="39943.660799999998"/>
    <s v="Pakistan"/>
    <x v="1"/>
  </r>
  <r>
    <x v="264"/>
    <x v="8"/>
    <x v="4"/>
    <x v="2"/>
    <x v="2"/>
    <x v="1"/>
    <s v="Ruler"/>
    <n v="10"/>
    <n v="1512.64"/>
    <n v="13613.76"/>
    <n v="1512.64"/>
    <n v="15126.4"/>
    <n v="2722.752"/>
    <n v="17849.151999999998"/>
    <s v="Pakistan"/>
    <x v="2"/>
  </r>
  <r>
    <x v="262"/>
    <x v="5"/>
    <x v="8"/>
    <x v="2"/>
    <x v="2"/>
    <x v="3"/>
    <s v="Lentils"/>
    <n v="5"/>
    <n v="3199.14"/>
    <n v="14396.130000000001"/>
    <n v="1599.5700000000002"/>
    <n v="15995.7"/>
    <n v="2879.2260000000001"/>
    <n v="18874.925999999999"/>
    <s v="Pakistan"/>
    <x v="2"/>
  </r>
  <r>
    <x v="265"/>
    <x v="0"/>
    <x v="7"/>
    <x v="1"/>
    <x v="1"/>
    <x v="4"/>
    <s v="Tablet"/>
    <n v="11"/>
    <n v="4315"/>
    <n v="42718.5"/>
    <n v="4746.5"/>
    <n v="47465"/>
    <n v="8543.6999999999989"/>
    <n v="56008.7"/>
    <s v="Pakistan"/>
    <x v="1"/>
  </r>
  <r>
    <x v="198"/>
    <x v="1"/>
    <x v="0"/>
    <x v="0"/>
    <x v="0"/>
    <x v="3"/>
    <s v="Sugar"/>
    <n v="9"/>
    <n v="2118.17"/>
    <n v="17157.177"/>
    <n v="1906.3530000000001"/>
    <n v="19063.53"/>
    <n v="3431.4353999999998"/>
    <n v="22494.965399999997"/>
    <s v="Pakistan"/>
    <x v="0"/>
  </r>
  <r>
    <x v="113"/>
    <x v="9"/>
    <x v="8"/>
    <x v="2"/>
    <x v="2"/>
    <x v="1"/>
    <s v="Eraser"/>
    <n v="18"/>
    <n v="1042.99"/>
    <n v="16896.438000000002"/>
    <n v="1877.3820000000001"/>
    <n v="18773.82"/>
    <n v="3379.2875999999997"/>
    <n v="22153.107599999999"/>
    <s v="Pakistan"/>
    <x v="2"/>
  </r>
  <r>
    <x v="8"/>
    <x v="1"/>
    <x v="11"/>
    <x v="1"/>
    <x v="1"/>
    <x v="4"/>
    <s v="Tablet"/>
    <n v="6"/>
    <n v="4707.38"/>
    <n v="25419.851999999999"/>
    <n v="2824.4279999999999"/>
    <n v="28244.28"/>
    <n v="5083.9703999999992"/>
    <n v="33328.250399999997"/>
    <s v="Pakistan"/>
    <x v="1"/>
  </r>
  <r>
    <x v="266"/>
    <x v="4"/>
    <x v="0"/>
    <x v="0"/>
    <x v="0"/>
    <x v="3"/>
    <s v="Sugar"/>
    <n v="8"/>
    <n v="360.87"/>
    <n v="2598.2640000000001"/>
    <n v="288.69600000000003"/>
    <n v="2886.96"/>
    <n v="519.65279999999996"/>
    <n v="3406.6127999999999"/>
    <s v="Pakistan"/>
    <x v="0"/>
  </r>
  <r>
    <x v="213"/>
    <x v="3"/>
    <x v="5"/>
    <x v="2"/>
    <x v="2"/>
    <x v="1"/>
    <s v="Pen"/>
    <n v="12"/>
    <n v="2519.65"/>
    <n v="27212.22"/>
    <n v="3023.58"/>
    <n v="30235.8"/>
    <n v="5442.4439999999995"/>
    <n v="35678.243999999999"/>
    <s v="Pakistan"/>
    <x v="2"/>
  </r>
  <r>
    <x v="53"/>
    <x v="2"/>
    <x v="8"/>
    <x v="2"/>
    <x v="2"/>
    <x v="1"/>
    <s v="Eraser"/>
    <n v="7"/>
    <n v="2861.67"/>
    <n v="18028.521000000001"/>
    <n v="2003.1689999999999"/>
    <n v="20031.689999999999"/>
    <n v="3605.7041999999997"/>
    <n v="23637.394199999999"/>
    <s v="Pakistan"/>
    <x v="2"/>
  </r>
  <r>
    <x v="141"/>
    <x v="2"/>
    <x v="4"/>
    <x v="2"/>
    <x v="2"/>
    <x v="3"/>
    <s v="Rice"/>
    <n v="11"/>
    <n v="4896.83"/>
    <n v="48478.616999999998"/>
    <n v="5386.5129999999999"/>
    <n v="53865.13"/>
    <n v="9695.7233999999989"/>
    <n v="63560.853399999993"/>
    <s v="Pakistan"/>
    <x v="2"/>
  </r>
  <r>
    <x v="257"/>
    <x v="1"/>
    <x v="7"/>
    <x v="1"/>
    <x v="1"/>
    <x v="4"/>
    <s v="Laptop"/>
    <n v="15"/>
    <n v="4180.6099999999997"/>
    <n v="56438.235000000001"/>
    <n v="6270.9150000000009"/>
    <n v="62709.15"/>
    <n v="11287.646999999999"/>
    <n v="73996.797000000006"/>
    <s v="Pakistan"/>
    <x v="1"/>
  </r>
  <r>
    <x v="267"/>
    <x v="5"/>
    <x v="11"/>
    <x v="1"/>
    <x v="1"/>
    <x v="3"/>
    <s v="Lentils"/>
    <n v="2"/>
    <n v="3747.71"/>
    <n v="6745.8780000000006"/>
    <n v="749.54200000000003"/>
    <n v="7495.42"/>
    <n v="1349.1756"/>
    <n v="8844.5956000000006"/>
    <s v="Pakistan"/>
    <x v="1"/>
  </r>
  <r>
    <x v="268"/>
    <x v="8"/>
    <x v="11"/>
    <x v="1"/>
    <x v="1"/>
    <x v="1"/>
    <s v="Pen"/>
    <n v="3"/>
    <n v="2792.38"/>
    <n v="7539.4259999999995"/>
    <n v="837.71399999999994"/>
    <n v="8377.14"/>
    <n v="1507.8851999999999"/>
    <n v="9885.0252"/>
    <s v="Pakistan"/>
    <x v="1"/>
  </r>
  <r>
    <x v="269"/>
    <x v="4"/>
    <x v="4"/>
    <x v="2"/>
    <x v="2"/>
    <x v="4"/>
    <s v="Laptop"/>
    <n v="17"/>
    <n v="683.31"/>
    <n v="10454.643"/>
    <n v="1161.6270000000002"/>
    <n v="11616.27"/>
    <n v="2090.9286000000002"/>
    <n v="13707.1986"/>
    <s v="Pakistan"/>
    <x v="2"/>
  </r>
  <r>
    <x v="179"/>
    <x v="5"/>
    <x v="4"/>
    <x v="2"/>
    <x v="2"/>
    <x v="2"/>
    <s v="Shirt"/>
    <n v="20"/>
    <n v="3463.6"/>
    <n v="62344.800000000003"/>
    <n v="6927.2000000000007"/>
    <n v="69272"/>
    <n v="12468.96"/>
    <n v="81740.959999999992"/>
    <s v="Pakistan"/>
    <x v="2"/>
  </r>
  <r>
    <x v="270"/>
    <x v="3"/>
    <x v="6"/>
    <x v="0"/>
    <x v="0"/>
    <x v="1"/>
    <s v="Notebook"/>
    <n v="9"/>
    <n v="1609.98"/>
    <n v="13040.838"/>
    <n v="1448.982"/>
    <n v="14489.82"/>
    <n v="2608.1675999999998"/>
    <n v="17097.9876"/>
    <s v="Pakistan"/>
    <x v="0"/>
  </r>
  <r>
    <x v="271"/>
    <x v="1"/>
    <x v="4"/>
    <x v="2"/>
    <x v="2"/>
    <x v="1"/>
    <s v="Pen"/>
    <n v="4"/>
    <n v="2836.34"/>
    <n v="10210.824000000001"/>
    <n v="1134.5360000000001"/>
    <n v="11345.36"/>
    <n v="2042.1648"/>
    <n v="13387.524800000001"/>
    <s v="Pakistan"/>
    <x v="2"/>
  </r>
  <r>
    <x v="101"/>
    <x v="7"/>
    <x v="7"/>
    <x v="1"/>
    <x v="1"/>
    <x v="4"/>
    <s v="Smartphone"/>
    <n v="18"/>
    <n v="3238.98"/>
    <n v="52471.476000000002"/>
    <n v="5830.1640000000007"/>
    <n v="58301.64"/>
    <n v="10494.295199999999"/>
    <n v="68795.935199999993"/>
    <s v="Pakistan"/>
    <x v="1"/>
  </r>
  <r>
    <x v="177"/>
    <x v="3"/>
    <x v="6"/>
    <x v="0"/>
    <x v="0"/>
    <x v="0"/>
    <s v="Sofa"/>
    <n v="20"/>
    <n v="2791.25"/>
    <n v="50242.5"/>
    <n v="5582.5"/>
    <n v="55825"/>
    <n v="10048.5"/>
    <n v="65873.5"/>
    <s v="Pakistan"/>
    <x v="0"/>
  </r>
  <r>
    <x v="253"/>
    <x v="1"/>
    <x v="10"/>
    <x v="2"/>
    <x v="2"/>
    <x v="2"/>
    <s v="Dress"/>
    <n v="1"/>
    <n v="3165.04"/>
    <n v="2848.5360000000001"/>
    <n v="316.50400000000002"/>
    <n v="3165.04"/>
    <n v="569.70719999999994"/>
    <n v="3734.7471999999998"/>
    <s v="Pakistan"/>
    <x v="2"/>
  </r>
  <r>
    <x v="272"/>
    <x v="1"/>
    <x v="0"/>
    <x v="0"/>
    <x v="0"/>
    <x v="1"/>
    <s v="Ruler"/>
    <n v="14"/>
    <n v="3414.59"/>
    <n v="43023.834000000003"/>
    <n v="4780.4260000000004"/>
    <n v="47804.26"/>
    <n v="8604.7667999999994"/>
    <n v="56409.0268"/>
    <s v="Pakistan"/>
    <x v="0"/>
  </r>
  <r>
    <x v="273"/>
    <x v="6"/>
    <x v="9"/>
    <x v="3"/>
    <x v="3"/>
    <x v="4"/>
    <s v="Smartphone"/>
    <n v="4"/>
    <n v="3896.69"/>
    <n v="14028.084000000001"/>
    <n v="1558.6760000000002"/>
    <n v="15586.76"/>
    <n v="2805.6167999999998"/>
    <n v="18392.376799999998"/>
    <s v="Pakistan"/>
    <x v="3"/>
  </r>
  <r>
    <x v="274"/>
    <x v="3"/>
    <x v="3"/>
    <x v="3"/>
    <x v="3"/>
    <x v="2"/>
    <s v="Jacket"/>
    <n v="5"/>
    <n v="2024.36"/>
    <n v="9109.619999999999"/>
    <n v="1012.18"/>
    <n v="10121.799999999999"/>
    <n v="1821.9239999999998"/>
    <n v="11943.723999999998"/>
    <s v="Pakistan"/>
    <x v="3"/>
  </r>
  <r>
    <x v="249"/>
    <x v="4"/>
    <x v="8"/>
    <x v="2"/>
    <x v="2"/>
    <x v="2"/>
    <s v="Dress"/>
    <n v="17"/>
    <n v="102.62"/>
    <n v="1570.086"/>
    <n v="174.45400000000001"/>
    <n v="1744.54"/>
    <n v="314.0172"/>
    <n v="2058.5572000000002"/>
    <s v="Pakistan"/>
    <x v="2"/>
  </r>
  <r>
    <x v="275"/>
    <x v="3"/>
    <x v="10"/>
    <x v="2"/>
    <x v="2"/>
    <x v="1"/>
    <s v="Ruler"/>
    <n v="7"/>
    <n v="146.52000000000001"/>
    <n v="923.07600000000014"/>
    <n v="102.56400000000002"/>
    <n v="1025.6400000000001"/>
    <n v="184.61520000000002"/>
    <n v="1210.2552000000001"/>
    <s v="Pakistan"/>
    <x v="2"/>
  </r>
  <r>
    <x v="276"/>
    <x v="4"/>
    <x v="8"/>
    <x v="2"/>
    <x v="2"/>
    <x v="0"/>
    <s v="Sofa"/>
    <n v="2"/>
    <n v="4248"/>
    <n v="7646.4000000000005"/>
    <n v="849.6"/>
    <n v="8496"/>
    <n v="1529.28"/>
    <n v="10025.280000000001"/>
    <s v="Pakistan"/>
    <x v="2"/>
  </r>
  <r>
    <x v="37"/>
    <x v="9"/>
    <x v="0"/>
    <x v="0"/>
    <x v="0"/>
    <x v="2"/>
    <s v="Dress"/>
    <n v="8"/>
    <n v="3075.58"/>
    <n v="22144.175999999999"/>
    <n v="2460.4639999999999"/>
    <n v="24604.639999999999"/>
    <n v="4428.8351999999995"/>
    <n v="29033.475200000001"/>
    <s v="Pakistan"/>
    <x v="0"/>
  </r>
  <r>
    <x v="275"/>
    <x v="5"/>
    <x v="4"/>
    <x v="2"/>
    <x v="2"/>
    <x v="3"/>
    <s v="Lentils"/>
    <n v="13"/>
    <n v="1246.1400000000001"/>
    <n v="14579.838"/>
    <n v="1619.982"/>
    <n v="16199.82"/>
    <n v="2915.9675999999999"/>
    <n v="19115.7876"/>
    <s v="Pakistan"/>
    <x v="2"/>
  </r>
  <r>
    <x v="85"/>
    <x v="8"/>
    <x v="1"/>
    <x v="1"/>
    <x v="1"/>
    <x v="4"/>
    <s v="Headphones"/>
    <n v="16"/>
    <n v="3942.95"/>
    <n v="56778.479999999996"/>
    <n v="6308.72"/>
    <n v="63087.199999999997"/>
    <n v="11355.696"/>
    <n v="74442.895999999993"/>
    <s v="Pakistan"/>
    <x v="1"/>
  </r>
  <r>
    <x v="194"/>
    <x v="9"/>
    <x v="4"/>
    <x v="2"/>
    <x v="2"/>
    <x v="1"/>
    <s v="Notebook"/>
    <n v="1"/>
    <n v="936.56"/>
    <n v="842.904"/>
    <n v="93.656000000000006"/>
    <n v="936.56"/>
    <n v="168.58079999999998"/>
    <n v="1105.1407999999999"/>
    <s v="Pakistan"/>
    <x v="2"/>
  </r>
  <r>
    <x v="138"/>
    <x v="6"/>
    <x v="8"/>
    <x v="2"/>
    <x v="2"/>
    <x v="2"/>
    <s v="Dress"/>
    <n v="7"/>
    <n v="1628.68"/>
    <n v="10260.684000000001"/>
    <n v="1140.076"/>
    <n v="11400.76"/>
    <n v="2052.1367999999998"/>
    <n v="13452.8968"/>
    <s v="Pakistan"/>
    <x v="2"/>
  </r>
  <r>
    <x v="277"/>
    <x v="7"/>
    <x v="10"/>
    <x v="2"/>
    <x v="2"/>
    <x v="1"/>
    <s v="Eraser"/>
    <n v="10"/>
    <n v="3400.28"/>
    <n v="30602.520000000004"/>
    <n v="3400.2800000000007"/>
    <n v="34002.800000000003"/>
    <n v="6120.5039999999999"/>
    <n v="40123.304000000004"/>
    <s v="Pakistan"/>
    <x v="2"/>
  </r>
  <r>
    <x v="2"/>
    <x v="4"/>
    <x v="12"/>
    <x v="1"/>
    <x v="1"/>
    <x v="1"/>
    <s v="Pen"/>
    <n v="18"/>
    <n v="2722.99"/>
    <n v="44112.438000000002"/>
    <n v="4901.3820000000005"/>
    <n v="49013.82"/>
    <n v="8822.4876000000004"/>
    <n v="57836.3076"/>
    <s v="Pakistan"/>
    <x v="1"/>
  </r>
  <r>
    <x v="27"/>
    <x v="2"/>
    <x v="2"/>
    <x v="2"/>
    <x v="2"/>
    <x v="3"/>
    <s v="Sugar"/>
    <n v="8"/>
    <n v="4612.53"/>
    <n v="33210.216"/>
    <n v="3690.0239999999999"/>
    <n v="36900.239999999998"/>
    <n v="6642.0431999999992"/>
    <n v="43542.283199999998"/>
    <s v="Pakistan"/>
    <x v="2"/>
  </r>
  <r>
    <x v="278"/>
    <x v="4"/>
    <x v="0"/>
    <x v="0"/>
    <x v="0"/>
    <x v="3"/>
    <s v="Lentils"/>
    <n v="13"/>
    <n v="2040.1"/>
    <n v="23869.17"/>
    <n v="2652.13"/>
    <n v="26521.3"/>
    <n v="4773.8339999999998"/>
    <n v="31295.133999999998"/>
    <s v="Pakistan"/>
    <x v="0"/>
  </r>
  <r>
    <x v="10"/>
    <x v="5"/>
    <x v="12"/>
    <x v="1"/>
    <x v="1"/>
    <x v="4"/>
    <s v="Tablet"/>
    <n v="17"/>
    <n v="1122.98"/>
    <n v="17181.594000000001"/>
    <n v="1909.066"/>
    <n v="19090.66"/>
    <n v="3436.3188"/>
    <n v="22526.978800000001"/>
    <s v="Pakistan"/>
    <x v="1"/>
  </r>
  <r>
    <x v="121"/>
    <x v="3"/>
    <x v="0"/>
    <x v="0"/>
    <x v="0"/>
    <x v="3"/>
    <s v="Lentils"/>
    <n v="16"/>
    <n v="2458.6"/>
    <n v="35403.839999999997"/>
    <n v="3933.76"/>
    <n v="39337.599999999999"/>
    <n v="7080.7679999999991"/>
    <n v="46418.367999999995"/>
    <s v="Pakistan"/>
    <x v="0"/>
  </r>
  <r>
    <x v="279"/>
    <x v="9"/>
    <x v="0"/>
    <x v="0"/>
    <x v="0"/>
    <x v="0"/>
    <s v="Bed"/>
    <n v="9"/>
    <n v="3195.18"/>
    <n v="25880.957999999999"/>
    <n v="2875.6620000000003"/>
    <n v="28756.62"/>
    <n v="5176.1915999999992"/>
    <n v="33932.811600000001"/>
    <s v="Pakistan"/>
    <x v="0"/>
  </r>
  <r>
    <x v="109"/>
    <x v="3"/>
    <x v="1"/>
    <x v="1"/>
    <x v="1"/>
    <x v="0"/>
    <s v="Sofa"/>
    <n v="3"/>
    <n v="384.96"/>
    <n v="1039.3920000000001"/>
    <n v="115.48800000000001"/>
    <n v="1154.8800000000001"/>
    <n v="207.8784"/>
    <n v="1362.7584000000002"/>
    <s v="Pakistan"/>
    <x v="1"/>
  </r>
  <r>
    <x v="280"/>
    <x v="6"/>
    <x v="0"/>
    <x v="0"/>
    <x v="0"/>
    <x v="3"/>
    <s v="Rice"/>
    <n v="4"/>
    <n v="3714.59"/>
    <n v="13372.524000000001"/>
    <n v="1485.8360000000002"/>
    <n v="14858.36"/>
    <n v="2674.5048000000002"/>
    <n v="17532.864799999999"/>
    <s v="Pakistan"/>
    <x v="0"/>
  </r>
  <r>
    <x v="281"/>
    <x v="9"/>
    <x v="2"/>
    <x v="2"/>
    <x v="2"/>
    <x v="3"/>
    <s v="Oil"/>
    <n v="9"/>
    <n v="1765.86"/>
    <n v="14303.466"/>
    <n v="1589.2740000000001"/>
    <n v="15892.74"/>
    <n v="2860.6931999999997"/>
    <n v="18753.433199999999"/>
    <s v="Pakistan"/>
    <x v="2"/>
  </r>
  <r>
    <x v="282"/>
    <x v="0"/>
    <x v="7"/>
    <x v="1"/>
    <x v="1"/>
    <x v="3"/>
    <s v="Rice"/>
    <n v="8"/>
    <n v="3069.86"/>
    <n v="22102.992000000002"/>
    <n v="2455.8880000000004"/>
    <n v="24558.880000000001"/>
    <n v="4420.5983999999999"/>
    <n v="28979.4784"/>
    <s v="Pakistan"/>
    <x v="1"/>
  </r>
  <r>
    <x v="155"/>
    <x v="7"/>
    <x v="11"/>
    <x v="1"/>
    <x v="1"/>
    <x v="0"/>
    <s v="Table"/>
    <n v="9"/>
    <n v="1720.47"/>
    <n v="13935.807000000001"/>
    <n v="1548.423"/>
    <n v="15484.23"/>
    <n v="2787.1614"/>
    <n v="18271.3914"/>
    <s v="Pakistan"/>
    <x v="1"/>
  </r>
  <r>
    <x v="283"/>
    <x v="4"/>
    <x v="6"/>
    <x v="0"/>
    <x v="0"/>
    <x v="2"/>
    <s v="Pants"/>
    <n v="7"/>
    <n v="3416.74"/>
    <n v="21525.462"/>
    <n v="2391.7180000000003"/>
    <n v="23917.18"/>
    <n v="4305.0923999999995"/>
    <n v="28222.272400000002"/>
    <s v="Pakistan"/>
    <x v="0"/>
  </r>
  <r>
    <x v="215"/>
    <x v="7"/>
    <x v="6"/>
    <x v="0"/>
    <x v="0"/>
    <x v="0"/>
    <s v="Table"/>
    <n v="7"/>
    <n v="4741.12"/>
    <n v="29869.055999999997"/>
    <n v="3318.7839999999997"/>
    <n v="33187.839999999997"/>
    <n v="5973.8111999999992"/>
    <n v="39161.651199999993"/>
    <s v="Pakistan"/>
    <x v="0"/>
  </r>
  <r>
    <x v="284"/>
    <x v="8"/>
    <x v="11"/>
    <x v="1"/>
    <x v="1"/>
    <x v="2"/>
    <s v="Shirt"/>
    <n v="20"/>
    <n v="2721.24"/>
    <n v="48982.320000000007"/>
    <n v="5442.4800000000005"/>
    <n v="54424.800000000003"/>
    <n v="9796.4639999999999"/>
    <n v="64221.264000000003"/>
    <s v="Pakistan"/>
    <x v="1"/>
  </r>
  <r>
    <x v="285"/>
    <x v="6"/>
    <x v="7"/>
    <x v="1"/>
    <x v="1"/>
    <x v="4"/>
    <s v="Laptop"/>
    <n v="4"/>
    <n v="3751.49"/>
    <n v="13505.364"/>
    <n v="1500.596"/>
    <n v="15005.96"/>
    <n v="2701.0727999999999"/>
    <n v="17707.032800000001"/>
    <s v="Pakistan"/>
    <x v="1"/>
  </r>
  <r>
    <x v="10"/>
    <x v="9"/>
    <x v="12"/>
    <x v="1"/>
    <x v="1"/>
    <x v="2"/>
    <s v="Jacket"/>
    <n v="19"/>
    <n v="4513.6000000000004"/>
    <n v="77182.559999999998"/>
    <n v="8575.84"/>
    <n v="85758.399999999994"/>
    <n v="15436.511999999999"/>
    <n v="101194.912"/>
    <s v="Pakistan"/>
    <x v="1"/>
  </r>
  <r>
    <x v="30"/>
    <x v="8"/>
    <x v="1"/>
    <x v="1"/>
    <x v="1"/>
    <x v="0"/>
    <s v="Chair"/>
    <n v="11"/>
    <n v="3514.12"/>
    <n v="34789.788"/>
    <n v="3865.5320000000002"/>
    <n v="38655.32"/>
    <n v="6957.9575999999997"/>
    <n v="45613.277600000001"/>
    <s v="Pakistan"/>
    <x v="1"/>
  </r>
  <r>
    <x v="276"/>
    <x v="7"/>
    <x v="6"/>
    <x v="0"/>
    <x v="0"/>
    <x v="0"/>
    <s v="Bed"/>
    <n v="13"/>
    <n v="2109.15"/>
    <n v="24677.055"/>
    <n v="2741.8950000000004"/>
    <n v="27418.95"/>
    <n v="4935.4110000000001"/>
    <n v="32354.361000000001"/>
    <s v="Pakistan"/>
    <x v="0"/>
  </r>
  <r>
    <x v="275"/>
    <x v="1"/>
    <x v="1"/>
    <x v="1"/>
    <x v="1"/>
    <x v="2"/>
    <s v="Pants"/>
    <n v="16"/>
    <n v="4090.26"/>
    <n v="58899.744000000006"/>
    <n v="6544.4160000000011"/>
    <n v="65444.160000000003"/>
    <n v="11779.9488"/>
    <n v="77224.108800000002"/>
    <s v="Pakistan"/>
    <x v="1"/>
  </r>
  <r>
    <x v="286"/>
    <x v="2"/>
    <x v="13"/>
    <x v="1"/>
    <x v="1"/>
    <x v="2"/>
    <s v="Shirt"/>
    <n v="12"/>
    <n v="219.32"/>
    <n v="2368.6560000000004"/>
    <n v="263.18400000000003"/>
    <n v="2631.84"/>
    <n v="473.7312"/>
    <n v="3105.5712000000003"/>
    <s v="Pakistan"/>
    <x v="1"/>
  </r>
  <r>
    <x v="24"/>
    <x v="0"/>
    <x v="11"/>
    <x v="1"/>
    <x v="1"/>
    <x v="1"/>
    <s v="Pen"/>
    <n v="14"/>
    <n v="264.77"/>
    <n v="3336.1020000000003"/>
    <n v="370.67800000000005"/>
    <n v="3706.78"/>
    <n v="667.22040000000004"/>
    <n v="4374.0003999999999"/>
    <s v="Pakistan"/>
    <x v="1"/>
  </r>
  <r>
    <x v="6"/>
    <x v="8"/>
    <x v="3"/>
    <x v="3"/>
    <x v="3"/>
    <x v="2"/>
    <s v="Shirt"/>
    <n v="9"/>
    <n v="2624.88"/>
    <n v="21261.527999999998"/>
    <n v="2362.3919999999998"/>
    <n v="23623.919999999998"/>
    <n v="4252.3055999999997"/>
    <n v="27876.225599999998"/>
    <s v="Pakistan"/>
    <x v="3"/>
  </r>
  <r>
    <x v="166"/>
    <x v="5"/>
    <x v="10"/>
    <x v="2"/>
    <x v="2"/>
    <x v="0"/>
    <s v="Sofa"/>
    <n v="15"/>
    <n v="1063.8800000000001"/>
    <n v="14362.380000000001"/>
    <n v="1595.8200000000002"/>
    <n v="15958.2"/>
    <n v="2872.4760000000001"/>
    <n v="18830.675999999999"/>
    <s v="Pakistan"/>
    <x v="2"/>
  </r>
  <r>
    <x v="280"/>
    <x v="8"/>
    <x v="5"/>
    <x v="2"/>
    <x v="2"/>
    <x v="2"/>
    <s v="Shirt"/>
    <n v="2"/>
    <n v="4277.8999999999996"/>
    <n v="7700.2199999999993"/>
    <n v="855.57999999999993"/>
    <n v="8555.7999999999993"/>
    <n v="1540.0439999999999"/>
    <n v="10095.843999999999"/>
    <s v="Pakistan"/>
    <x v="2"/>
  </r>
  <r>
    <x v="287"/>
    <x v="0"/>
    <x v="7"/>
    <x v="1"/>
    <x v="1"/>
    <x v="2"/>
    <s v="Jacket"/>
    <n v="13"/>
    <n v="1762.69"/>
    <n v="20623.473000000002"/>
    <n v="2291.4970000000003"/>
    <n v="22914.97"/>
    <n v="4124.6945999999998"/>
    <n v="27039.6646"/>
    <s v="Pakistan"/>
    <x v="1"/>
  </r>
  <r>
    <x v="63"/>
    <x v="4"/>
    <x v="6"/>
    <x v="0"/>
    <x v="0"/>
    <x v="2"/>
    <s v="Jacket"/>
    <n v="6"/>
    <n v="2069.96"/>
    <n v="11177.784"/>
    <n v="1241.9760000000001"/>
    <n v="12419.76"/>
    <n v="2235.5567999999998"/>
    <n v="14655.316800000001"/>
    <s v="Pakistan"/>
    <x v="0"/>
  </r>
  <r>
    <x v="268"/>
    <x v="1"/>
    <x v="4"/>
    <x v="2"/>
    <x v="2"/>
    <x v="2"/>
    <s v="Shirt"/>
    <n v="19"/>
    <n v="3822.54"/>
    <n v="65365.433999999994"/>
    <n v="7262.826"/>
    <n v="72628.259999999995"/>
    <n v="13073.086799999999"/>
    <n v="85701.346799999999"/>
    <s v="Pakistan"/>
    <x v="2"/>
  </r>
  <r>
    <x v="288"/>
    <x v="1"/>
    <x v="4"/>
    <x v="2"/>
    <x v="2"/>
    <x v="3"/>
    <s v="Sugar"/>
    <n v="16"/>
    <n v="242.23"/>
    <n v="3488.1120000000001"/>
    <n v="387.56799999999998"/>
    <n v="3875.68"/>
    <n v="697.62239999999997"/>
    <n v="4573.3023999999996"/>
    <s v="Pakistan"/>
    <x v="2"/>
  </r>
  <r>
    <x v="230"/>
    <x v="5"/>
    <x v="10"/>
    <x v="2"/>
    <x v="2"/>
    <x v="1"/>
    <s v="Eraser"/>
    <n v="12"/>
    <n v="2290.7600000000002"/>
    <n v="24740.207999999999"/>
    <n v="2748.9120000000003"/>
    <n v="27489.119999999999"/>
    <n v="4948.0415999999996"/>
    <n v="32437.161599999999"/>
    <s v="Pakistan"/>
    <x v="2"/>
  </r>
  <r>
    <x v="261"/>
    <x v="9"/>
    <x v="4"/>
    <x v="2"/>
    <x v="2"/>
    <x v="2"/>
    <s v="Shirt"/>
    <n v="18"/>
    <n v="1957.78"/>
    <n v="31716.036"/>
    <n v="3524.0040000000004"/>
    <n v="35240.04"/>
    <n v="6343.2071999999998"/>
    <n v="41583.247199999998"/>
    <s v="Pakistan"/>
    <x v="2"/>
  </r>
  <r>
    <x v="289"/>
    <x v="7"/>
    <x v="4"/>
    <x v="2"/>
    <x v="2"/>
    <x v="1"/>
    <s v="Notebook"/>
    <n v="1"/>
    <n v="4370.57"/>
    <n v="3933.5129999999999"/>
    <n v="437.05700000000002"/>
    <n v="4370.57"/>
    <n v="786.70259999999996"/>
    <n v="5157.2725999999993"/>
    <s v="Pakistan"/>
    <x v="2"/>
  </r>
  <r>
    <x v="278"/>
    <x v="4"/>
    <x v="4"/>
    <x v="2"/>
    <x v="2"/>
    <x v="3"/>
    <s v="Rice"/>
    <n v="3"/>
    <n v="1894.71"/>
    <n v="5115.7170000000006"/>
    <n v="568.41300000000001"/>
    <n v="5684.13"/>
    <n v="1023.1433999999999"/>
    <n v="6707.2734"/>
    <s v="Pakistan"/>
    <x v="2"/>
  </r>
  <r>
    <x v="185"/>
    <x v="2"/>
    <x v="10"/>
    <x v="2"/>
    <x v="2"/>
    <x v="3"/>
    <s v="Oil"/>
    <n v="14"/>
    <n v="367.1"/>
    <n v="4625.46"/>
    <n v="513.93999999999994"/>
    <n v="5139.3999999999996"/>
    <n v="925.09199999999987"/>
    <n v="6064.4919999999993"/>
    <s v="Pakistan"/>
    <x v="2"/>
  </r>
  <r>
    <x v="285"/>
    <x v="3"/>
    <x v="13"/>
    <x v="1"/>
    <x v="1"/>
    <x v="4"/>
    <s v="Headphones"/>
    <n v="10"/>
    <n v="4678.49"/>
    <n v="42106.41"/>
    <n v="4678.4900000000007"/>
    <n v="46784.9"/>
    <n v="8421.2819999999992"/>
    <n v="55206.182000000001"/>
    <s v="Pakistan"/>
    <x v="1"/>
  </r>
  <r>
    <x v="181"/>
    <x v="1"/>
    <x v="11"/>
    <x v="1"/>
    <x v="1"/>
    <x v="3"/>
    <s v="Sugar"/>
    <n v="12"/>
    <n v="1020.42"/>
    <n v="11020.536000000002"/>
    <n v="1224.5040000000001"/>
    <n v="12245.04"/>
    <n v="2204.1071999999999"/>
    <n v="14449.147200000001"/>
    <s v="Pakistan"/>
    <x v="1"/>
  </r>
  <r>
    <x v="278"/>
    <x v="4"/>
    <x v="2"/>
    <x v="2"/>
    <x v="2"/>
    <x v="4"/>
    <s v="Laptop"/>
    <n v="15"/>
    <n v="1669.04"/>
    <n v="22532.04"/>
    <n v="2503.56"/>
    <n v="25035.599999999999"/>
    <n v="4506.4079999999994"/>
    <n v="29542.007999999998"/>
    <s v="Pakistan"/>
    <x v="2"/>
  </r>
  <r>
    <x v="215"/>
    <x v="8"/>
    <x v="9"/>
    <x v="3"/>
    <x v="3"/>
    <x v="1"/>
    <s v="Notebook"/>
    <n v="18"/>
    <n v="138.01"/>
    <n v="2235.7619999999997"/>
    <n v="248.41800000000001"/>
    <n v="2484.1799999999998"/>
    <n v="447.15239999999994"/>
    <n v="2931.3323999999998"/>
    <s v="Pakistan"/>
    <x v="3"/>
  </r>
  <r>
    <x v="277"/>
    <x v="8"/>
    <x v="7"/>
    <x v="1"/>
    <x v="1"/>
    <x v="1"/>
    <s v="Ruler"/>
    <n v="6"/>
    <n v="3847.76"/>
    <n v="20777.904000000002"/>
    <n v="2308.6560000000004"/>
    <n v="23086.560000000001"/>
    <n v="4155.5807999999997"/>
    <n v="27242.140800000001"/>
    <s v="Pakistan"/>
    <x v="1"/>
  </r>
  <r>
    <x v="237"/>
    <x v="7"/>
    <x v="4"/>
    <x v="2"/>
    <x v="2"/>
    <x v="3"/>
    <s v="Lentils"/>
    <n v="4"/>
    <n v="3246.52"/>
    <n v="11687.472"/>
    <n v="1298.6080000000002"/>
    <n v="12986.08"/>
    <n v="2337.4944"/>
    <n v="15323.5744"/>
    <s v="Pakistan"/>
    <x v="2"/>
  </r>
  <r>
    <x v="101"/>
    <x v="9"/>
    <x v="4"/>
    <x v="2"/>
    <x v="2"/>
    <x v="1"/>
    <s v="Pen"/>
    <n v="14"/>
    <n v="569.91"/>
    <n v="7180.866"/>
    <n v="797.87400000000002"/>
    <n v="7978.74"/>
    <n v="1436.1732"/>
    <n v="9414.9131999999991"/>
    <s v="Pakistan"/>
    <x v="2"/>
  </r>
  <r>
    <x v="11"/>
    <x v="6"/>
    <x v="5"/>
    <x v="2"/>
    <x v="2"/>
    <x v="4"/>
    <s v="Laptop"/>
    <n v="15"/>
    <n v="4316.17"/>
    <n v="58268.295000000006"/>
    <n v="6474.255000000001"/>
    <n v="64742.55"/>
    <n v="11653.659"/>
    <n v="76396.209000000003"/>
    <s v="Pakistan"/>
    <x v="2"/>
  </r>
  <r>
    <x v="219"/>
    <x v="1"/>
    <x v="5"/>
    <x v="2"/>
    <x v="2"/>
    <x v="2"/>
    <s v="Dress"/>
    <n v="17"/>
    <n v="2209.62"/>
    <n v="33807.186000000002"/>
    <n v="3756.3540000000003"/>
    <n v="37563.54"/>
    <n v="6761.4372000000003"/>
    <n v="44324.977200000001"/>
    <s v="Pakistan"/>
    <x v="2"/>
  </r>
  <r>
    <x v="272"/>
    <x v="6"/>
    <x v="8"/>
    <x v="2"/>
    <x v="2"/>
    <x v="0"/>
    <s v="Sofa"/>
    <n v="16"/>
    <n v="3296.61"/>
    <n v="47471.184000000001"/>
    <n v="5274.5760000000009"/>
    <n v="52745.760000000002"/>
    <n v="9494.2368000000006"/>
    <n v="62239.996800000001"/>
    <s v="Pakistan"/>
    <x v="2"/>
  </r>
  <r>
    <x v="290"/>
    <x v="0"/>
    <x v="4"/>
    <x v="2"/>
    <x v="2"/>
    <x v="0"/>
    <s v="Table"/>
    <n v="13"/>
    <n v="523.83000000000004"/>
    <n v="6128.8109999999997"/>
    <n v="680.97900000000004"/>
    <n v="6809.79"/>
    <n v="1225.7621999999999"/>
    <n v="8035.5522000000001"/>
    <s v="Pakistan"/>
    <x v="2"/>
  </r>
  <r>
    <x v="188"/>
    <x v="4"/>
    <x v="2"/>
    <x v="2"/>
    <x v="2"/>
    <x v="4"/>
    <s v="Laptop"/>
    <n v="3"/>
    <n v="916.53"/>
    <n v="2474.6310000000003"/>
    <n v="274.959"/>
    <n v="2749.59"/>
    <n v="494.92619999999999"/>
    <n v="3244.5162"/>
    <s v="Pakistan"/>
    <x v="2"/>
  </r>
  <r>
    <x v="146"/>
    <x v="0"/>
    <x v="9"/>
    <x v="3"/>
    <x v="3"/>
    <x v="2"/>
    <s v="Shirt"/>
    <n v="13"/>
    <n v="1836.55"/>
    <n v="21487.635000000002"/>
    <n v="2387.5150000000003"/>
    <n v="23875.15"/>
    <n v="4297.527"/>
    <n v="28172.677000000003"/>
    <s v="Pakistan"/>
    <x v="3"/>
  </r>
  <r>
    <x v="218"/>
    <x v="3"/>
    <x v="11"/>
    <x v="1"/>
    <x v="1"/>
    <x v="2"/>
    <s v="Dress"/>
    <n v="19"/>
    <n v="2253.92"/>
    <n v="38542.032000000007"/>
    <n v="4282.4480000000003"/>
    <n v="42824.480000000003"/>
    <n v="7708.4063999999998"/>
    <n v="50532.886400000003"/>
    <s v="Pakistan"/>
    <x v="1"/>
  </r>
  <r>
    <x v="291"/>
    <x v="3"/>
    <x v="9"/>
    <x v="3"/>
    <x v="3"/>
    <x v="0"/>
    <s v="Table"/>
    <n v="13"/>
    <n v="3617.07"/>
    <n v="42319.719000000005"/>
    <n v="4702.1910000000007"/>
    <n v="47021.91"/>
    <n v="8463.9438000000009"/>
    <n v="55485.853800000004"/>
    <s v="Pakistan"/>
    <x v="3"/>
  </r>
  <r>
    <x v="292"/>
    <x v="7"/>
    <x v="6"/>
    <x v="0"/>
    <x v="0"/>
    <x v="3"/>
    <s v="Oil"/>
    <n v="5"/>
    <n v="417.76"/>
    <n v="1879.9200000000003"/>
    <n v="208.88000000000002"/>
    <n v="2088.8000000000002"/>
    <n v="375.98400000000004"/>
    <n v="2464.7840000000001"/>
    <s v="Pakistan"/>
    <x v="0"/>
  </r>
  <r>
    <x v="293"/>
    <x v="1"/>
    <x v="0"/>
    <x v="0"/>
    <x v="0"/>
    <x v="4"/>
    <s v="Headphones"/>
    <n v="11"/>
    <n v="864.29"/>
    <n v="8556.4710000000014"/>
    <n v="950.71900000000005"/>
    <n v="9507.19"/>
    <n v="1711.2942"/>
    <n v="11218.484200000001"/>
    <s v="Pakistan"/>
    <x v="0"/>
  </r>
  <r>
    <x v="294"/>
    <x v="4"/>
    <x v="8"/>
    <x v="2"/>
    <x v="2"/>
    <x v="4"/>
    <s v="Headphones"/>
    <n v="19"/>
    <n v="2006.79"/>
    <n v="34316.109000000004"/>
    <n v="3812.9010000000003"/>
    <n v="38129.01"/>
    <n v="6863.2218000000003"/>
    <n v="44992.231800000001"/>
    <s v="Pakistan"/>
    <x v="2"/>
  </r>
  <r>
    <x v="112"/>
    <x v="1"/>
    <x v="7"/>
    <x v="1"/>
    <x v="1"/>
    <x v="3"/>
    <s v="Sugar"/>
    <n v="1"/>
    <n v="403.2"/>
    <n v="362.88"/>
    <n v="40.32"/>
    <n v="403.2"/>
    <n v="72.575999999999993"/>
    <n v="475.77599999999995"/>
    <s v="Pakistan"/>
    <x v="1"/>
  </r>
  <r>
    <x v="8"/>
    <x v="8"/>
    <x v="9"/>
    <x v="3"/>
    <x v="3"/>
    <x v="0"/>
    <s v="Chair"/>
    <n v="7"/>
    <n v="2846.83"/>
    <n v="17935.029000000002"/>
    <n v="1992.7810000000002"/>
    <n v="19927.810000000001"/>
    <n v="3587.0057999999999"/>
    <n v="23514.8158"/>
    <s v="Pakistan"/>
    <x v="3"/>
  </r>
  <r>
    <x v="125"/>
    <x v="0"/>
    <x v="5"/>
    <x v="2"/>
    <x v="2"/>
    <x v="2"/>
    <s v="Dress"/>
    <n v="5"/>
    <n v="850.9"/>
    <n v="3829.05"/>
    <n v="425.45000000000005"/>
    <n v="4254.5"/>
    <n v="765.81"/>
    <n v="5020.3099999999995"/>
    <s v="Pakistan"/>
    <x v="2"/>
  </r>
  <r>
    <x v="248"/>
    <x v="5"/>
    <x v="8"/>
    <x v="2"/>
    <x v="2"/>
    <x v="4"/>
    <s v="Smartphone"/>
    <n v="16"/>
    <n v="3337.15"/>
    <n v="48054.96"/>
    <n v="5339.4400000000005"/>
    <n v="53394.400000000001"/>
    <n v="9610.9920000000002"/>
    <n v="63005.392"/>
    <s v="Pakistan"/>
    <x v="2"/>
  </r>
  <r>
    <x v="295"/>
    <x v="5"/>
    <x v="2"/>
    <x v="2"/>
    <x v="2"/>
    <x v="2"/>
    <s v="Pants"/>
    <n v="15"/>
    <n v="1299.55"/>
    <n v="17543.924999999999"/>
    <n v="1949.325"/>
    <n v="19493.25"/>
    <n v="3508.7849999999999"/>
    <n v="23002.035"/>
    <s v="Pakistan"/>
    <x v="2"/>
  </r>
  <r>
    <x v="63"/>
    <x v="5"/>
    <x v="2"/>
    <x v="2"/>
    <x v="2"/>
    <x v="3"/>
    <s v="Sugar"/>
    <n v="7"/>
    <n v="4898.57"/>
    <n v="30860.990999999998"/>
    <n v="3428.9989999999998"/>
    <n v="34289.99"/>
    <n v="6172.1981999999998"/>
    <n v="40462.188199999997"/>
    <s v="Pakistan"/>
    <x v="2"/>
  </r>
  <r>
    <x v="70"/>
    <x v="0"/>
    <x v="1"/>
    <x v="1"/>
    <x v="1"/>
    <x v="2"/>
    <s v="Jacket"/>
    <n v="11"/>
    <n v="2471.65"/>
    <n v="24469.335000000003"/>
    <n v="2718.8150000000005"/>
    <n v="27188.15"/>
    <n v="4893.8670000000002"/>
    <n v="32082.017"/>
    <s v="Pakistan"/>
    <x v="1"/>
  </r>
  <r>
    <x v="48"/>
    <x v="5"/>
    <x v="3"/>
    <x v="3"/>
    <x v="3"/>
    <x v="1"/>
    <s v="Eraser"/>
    <n v="2"/>
    <n v="1125.53"/>
    <n v="2025.954"/>
    <n v="225.10599999999999"/>
    <n v="2251.06"/>
    <n v="405.19079999999997"/>
    <n v="2656.2507999999998"/>
    <s v="Pakistan"/>
    <x v="3"/>
  </r>
  <r>
    <x v="85"/>
    <x v="2"/>
    <x v="7"/>
    <x v="1"/>
    <x v="1"/>
    <x v="0"/>
    <s v="Table"/>
    <n v="13"/>
    <n v="2835.8"/>
    <n v="33178.86"/>
    <n v="3686.5400000000004"/>
    <n v="36865.4"/>
    <n v="6635.7719999999999"/>
    <n v="43501.171999999999"/>
    <s v="Pakistan"/>
    <x v="1"/>
  </r>
  <r>
    <x v="296"/>
    <x v="6"/>
    <x v="2"/>
    <x v="2"/>
    <x v="2"/>
    <x v="3"/>
    <s v="Sugar"/>
    <n v="17"/>
    <n v="3973.87"/>
    <n v="60800.210999999996"/>
    <n v="6755.5789999999997"/>
    <n v="67555.789999999994"/>
    <n v="12160.042199999998"/>
    <n v="79715.83219999999"/>
    <s v="Pakistan"/>
    <x v="2"/>
  </r>
  <r>
    <x v="11"/>
    <x v="2"/>
    <x v="9"/>
    <x v="3"/>
    <x v="3"/>
    <x v="4"/>
    <s v="Tablet"/>
    <n v="4"/>
    <n v="1998.26"/>
    <n v="7193.7359999999999"/>
    <n v="799.30400000000009"/>
    <n v="7993.04"/>
    <n v="1438.7472"/>
    <n v="9431.7872000000007"/>
    <s v="Pakistan"/>
    <x v="3"/>
  </r>
  <r>
    <x v="233"/>
    <x v="4"/>
    <x v="6"/>
    <x v="0"/>
    <x v="0"/>
    <x v="1"/>
    <s v="Eraser"/>
    <n v="7"/>
    <n v="3820.3"/>
    <n v="24067.89"/>
    <n v="2674.21"/>
    <n v="26742.1"/>
    <n v="4813.5779999999995"/>
    <n v="31555.678"/>
    <s v="Pakistan"/>
    <x v="0"/>
  </r>
  <r>
    <x v="226"/>
    <x v="0"/>
    <x v="10"/>
    <x v="2"/>
    <x v="2"/>
    <x v="1"/>
    <s v="Notebook"/>
    <n v="19"/>
    <n v="2199.3200000000002"/>
    <n v="37608.372000000003"/>
    <n v="4178.7080000000005"/>
    <n v="41787.08"/>
    <n v="7521.6743999999999"/>
    <n v="49308.754400000005"/>
    <s v="Pakistan"/>
    <x v="2"/>
  </r>
  <r>
    <x v="257"/>
    <x v="3"/>
    <x v="1"/>
    <x v="1"/>
    <x v="1"/>
    <x v="3"/>
    <s v="Lentils"/>
    <n v="6"/>
    <n v="578.64"/>
    <n v="3124.6560000000004"/>
    <n v="347.18400000000003"/>
    <n v="3471.84"/>
    <n v="624.93119999999999"/>
    <n v="4096.7712000000001"/>
    <s v="Pakistan"/>
    <x v="1"/>
  </r>
  <r>
    <x v="209"/>
    <x v="4"/>
    <x v="5"/>
    <x v="2"/>
    <x v="2"/>
    <x v="4"/>
    <s v="Laptop"/>
    <n v="5"/>
    <n v="1488.21"/>
    <n v="6696.9450000000006"/>
    <n v="744.10500000000002"/>
    <n v="7441.05"/>
    <n v="1339.3889999999999"/>
    <n v="8780.4390000000003"/>
    <s v="Pakistan"/>
    <x v="2"/>
  </r>
  <r>
    <x v="297"/>
    <x v="7"/>
    <x v="1"/>
    <x v="1"/>
    <x v="1"/>
    <x v="0"/>
    <s v="Chair"/>
    <n v="19"/>
    <n v="3196.27"/>
    <n v="54656.216999999997"/>
    <n v="6072.9130000000005"/>
    <n v="60729.13"/>
    <n v="10931.243399999999"/>
    <n v="71660.373399999997"/>
    <s v="Pakistan"/>
    <x v="1"/>
  </r>
  <r>
    <x v="284"/>
    <x v="2"/>
    <x v="13"/>
    <x v="1"/>
    <x v="1"/>
    <x v="3"/>
    <s v="Lentils"/>
    <n v="5"/>
    <n v="1018.53"/>
    <n v="4583.3850000000002"/>
    <n v="509.26499999999999"/>
    <n v="5092.6499999999996"/>
    <n v="916.67699999999991"/>
    <n v="6009.3269999999993"/>
    <s v="Pakistan"/>
    <x v="1"/>
  </r>
  <r>
    <x v="246"/>
    <x v="6"/>
    <x v="8"/>
    <x v="2"/>
    <x v="2"/>
    <x v="1"/>
    <s v="Pen"/>
    <n v="13"/>
    <n v="1367.15"/>
    <n v="15995.655000000001"/>
    <n v="1777.2950000000001"/>
    <n v="17772.95"/>
    <n v="3199.1309999999999"/>
    <n v="20972.081000000002"/>
    <s v="Pakistan"/>
    <x v="2"/>
  </r>
  <r>
    <x v="272"/>
    <x v="2"/>
    <x v="5"/>
    <x v="2"/>
    <x v="2"/>
    <x v="4"/>
    <s v="Tablet"/>
    <n v="19"/>
    <n v="4996.28"/>
    <n v="85436.388000000006"/>
    <n v="9492.9320000000007"/>
    <n v="94929.32"/>
    <n v="17087.277600000001"/>
    <n v="112016.59760000001"/>
    <s v="Pakistan"/>
    <x v="2"/>
  </r>
  <r>
    <x v="119"/>
    <x v="9"/>
    <x v="4"/>
    <x v="2"/>
    <x v="2"/>
    <x v="2"/>
    <s v="Shirt"/>
    <n v="3"/>
    <n v="4447.8999999999996"/>
    <n v="12009.330000000002"/>
    <n v="1334.3700000000001"/>
    <n v="13343.7"/>
    <n v="2401.866"/>
    <n v="15745.566000000001"/>
    <s v="Pakistan"/>
    <x v="2"/>
  </r>
  <r>
    <x v="189"/>
    <x v="6"/>
    <x v="9"/>
    <x v="3"/>
    <x v="3"/>
    <x v="1"/>
    <s v="Ruler"/>
    <n v="10"/>
    <n v="1318.51"/>
    <n v="11866.59"/>
    <n v="1318.5100000000002"/>
    <n v="13185.1"/>
    <n v="2373.3179999999998"/>
    <n v="15558.418"/>
    <s v="Pakistan"/>
    <x v="3"/>
  </r>
  <r>
    <x v="18"/>
    <x v="0"/>
    <x v="1"/>
    <x v="1"/>
    <x v="1"/>
    <x v="3"/>
    <s v="Oil"/>
    <n v="20"/>
    <n v="1731.99"/>
    <n v="31175.820000000003"/>
    <n v="3463.9800000000005"/>
    <n v="34639.800000000003"/>
    <n v="6235.1640000000007"/>
    <n v="40874.964000000007"/>
    <s v="Pakistan"/>
    <x v="1"/>
  </r>
  <r>
    <x v="80"/>
    <x v="6"/>
    <x v="0"/>
    <x v="0"/>
    <x v="0"/>
    <x v="2"/>
    <s v="Dress"/>
    <n v="12"/>
    <n v="4514.3900000000003"/>
    <n v="48755.412000000004"/>
    <n v="5417.268"/>
    <n v="54172.68"/>
    <n v="9751.0823999999993"/>
    <n v="63923.7624"/>
    <s v="Pakistan"/>
    <x v="0"/>
  </r>
  <r>
    <x v="288"/>
    <x v="9"/>
    <x v="2"/>
    <x v="2"/>
    <x v="2"/>
    <x v="0"/>
    <s v="Sofa"/>
    <n v="20"/>
    <n v="1710.93"/>
    <n v="30796.739999999998"/>
    <n v="3421.86"/>
    <n v="34218.6"/>
    <n v="6159.348"/>
    <n v="40377.947999999997"/>
    <s v="Pakistan"/>
    <x v="2"/>
  </r>
  <r>
    <x v="32"/>
    <x v="1"/>
    <x v="12"/>
    <x v="1"/>
    <x v="1"/>
    <x v="1"/>
    <s v="Eraser"/>
    <n v="19"/>
    <n v="491.53"/>
    <n v="8405.1630000000005"/>
    <n v="933.90700000000004"/>
    <n v="9339.07"/>
    <n v="1681.0325999999998"/>
    <n v="11020.1026"/>
    <s v="Pakistan"/>
    <x v="1"/>
  </r>
  <r>
    <x v="148"/>
    <x v="9"/>
    <x v="2"/>
    <x v="2"/>
    <x v="2"/>
    <x v="3"/>
    <s v="Lentils"/>
    <n v="6"/>
    <n v="203.88"/>
    <n v="1100.952"/>
    <n v="122.328"/>
    <n v="1223.28"/>
    <n v="220.19039999999998"/>
    <n v="1443.4703999999999"/>
    <s v="Pakistan"/>
    <x v="2"/>
  </r>
  <r>
    <x v="120"/>
    <x v="1"/>
    <x v="4"/>
    <x v="2"/>
    <x v="2"/>
    <x v="1"/>
    <s v="Ruler"/>
    <n v="19"/>
    <n v="4786.8900000000003"/>
    <n v="81855.819000000003"/>
    <n v="9095.0910000000003"/>
    <n v="90950.91"/>
    <n v="16371.1638"/>
    <n v="107322.0738"/>
    <s v="Pakistan"/>
    <x v="2"/>
  </r>
  <r>
    <x v="122"/>
    <x v="9"/>
    <x v="6"/>
    <x v="0"/>
    <x v="0"/>
    <x v="2"/>
    <s v="Shirt"/>
    <n v="11"/>
    <n v="2666.77"/>
    <n v="26401.023000000001"/>
    <n v="2933.4470000000001"/>
    <n v="29334.47"/>
    <n v="5280.2046"/>
    <n v="34614.674599999998"/>
    <s v="Pakistan"/>
    <x v="0"/>
  </r>
  <r>
    <x v="181"/>
    <x v="3"/>
    <x v="0"/>
    <x v="0"/>
    <x v="0"/>
    <x v="4"/>
    <s v="Headphones"/>
    <n v="19"/>
    <n v="2174.7600000000002"/>
    <n v="37188.396000000001"/>
    <n v="4132.0440000000008"/>
    <n v="41320.44"/>
    <n v="7437.6792000000005"/>
    <n v="48758.119200000001"/>
    <s v="Pakistan"/>
    <x v="0"/>
  </r>
  <r>
    <x v="71"/>
    <x v="3"/>
    <x v="13"/>
    <x v="1"/>
    <x v="1"/>
    <x v="1"/>
    <s v="Notebook"/>
    <n v="1"/>
    <n v="1678.18"/>
    <n v="1510.3620000000001"/>
    <n v="167.81800000000001"/>
    <n v="1678.18"/>
    <n v="302.07240000000002"/>
    <n v="1980.2524000000001"/>
    <s v="Pakistan"/>
    <x v="1"/>
  </r>
  <r>
    <x v="47"/>
    <x v="5"/>
    <x v="0"/>
    <x v="0"/>
    <x v="0"/>
    <x v="4"/>
    <s v="Smartphone"/>
    <n v="20"/>
    <n v="2163.9499999999998"/>
    <n v="38951.1"/>
    <n v="4327.9000000000005"/>
    <n v="43279"/>
    <n v="7790.2199999999993"/>
    <n v="51069.22"/>
    <s v="Pakistan"/>
    <x v="0"/>
  </r>
  <r>
    <x v="298"/>
    <x v="3"/>
    <x v="0"/>
    <x v="0"/>
    <x v="0"/>
    <x v="0"/>
    <s v="Table"/>
    <n v="18"/>
    <n v="3511.28"/>
    <n v="56882.736000000004"/>
    <n v="6320.3040000000001"/>
    <n v="63203.040000000001"/>
    <n v="11376.547199999999"/>
    <n v="74579.587199999994"/>
    <s v="Pakistan"/>
    <x v="0"/>
  </r>
  <r>
    <x v="299"/>
    <x v="1"/>
    <x v="6"/>
    <x v="0"/>
    <x v="0"/>
    <x v="1"/>
    <s v="Pen"/>
    <n v="13"/>
    <n v="2979.65"/>
    <n v="34861.904999999999"/>
    <n v="3873.5450000000001"/>
    <n v="38735.449999999997"/>
    <n v="6972.3809999999994"/>
    <n v="45707.830999999998"/>
    <s v="Pakistan"/>
    <x v="0"/>
  </r>
  <r>
    <x v="67"/>
    <x v="8"/>
    <x v="0"/>
    <x v="0"/>
    <x v="0"/>
    <x v="2"/>
    <s v="Pants"/>
    <n v="4"/>
    <n v="2985.48"/>
    <n v="10747.728000000001"/>
    <n v="1194.192"/>
    <n v="11941.92"/>
    <n v="2149.5455999999999"/>
    <n v="14091.4656"/>
    <s v="Pakistan"/>
    <x v="0"/>
  </r>
  <r>
    <x v="54"/>
    <x v="4"/>
    <x v="6"/>
    <x v="0"/>
    <x v="0"/>
    <x v="1"/>
    <s v="Eraser"/>
    <n v="18"/>
    <n v="3989.44"/>
    <n v="64628.928"/>
    <n v="7180.9920000000002"/>
    <n v="71809.919999999998"/>
    <n v="12925.785599999999"/>
    <n v="84735.705600000001"/>
    <s v="Pakistan"/>
    <x v="0"/>
  </r>
  <r>
    <x v="261"/>
    <x v="4"/>
    <x v="7"/>
    <x v="1"/>
    <x v="1"/>
    <x v="4"/>
    <s v="Tablet"/>
    <n v="14"/>
    <n v="2251.87"/>
    <n v="28373.562000000002"/>
    <n v="3152.6180000000004"/>
    <n v="31526.18"/>
    <n v="5674.7123999999994"/>
    <n v="37200.892399999997"/>
    <s v="Pakistan"/>
    <x v="1"/>
  </r>
  <r>
    <x v="300"/>
    <x v="9"/>
    <x v="10"/>
    <x v="2"/>
    <x v="2"/>
    <x v="3"/>
    <s v="Oil"/>
    <n v="8"/>
    <n v="2519.3000000000002"/>
    <n v="18138.960000000003"/>
    <n v="2015.4400000000003"/>
    <n v="20154.400000000001"/>
    <n v="3627.7919999999999"/>
    <n v="23782.192000000003"/>
    <s v="Pakistan"/>
    <x v="2"/>
  </r>
  <r>
    <x v="260"/>
    <x v="2"/>
    <x v="6"/>
    <x v="0"/>
    <x v="0"/>
    <x v="2"/>
    <s v="Dress"/>
    <n v="3"/>
    <n v="1129.8800000000001"/>
    <n v="3050.6759999999999"/>
    <n v="338.964"/>
    <n v="3389.64"/>
    <n v="610.13519999999994"/>
    <n v="3999.7752"/>
    <s v="Pakistan"/>
    <x v="0"/>
  </r>
  <r>
    <x v="288"/>
    <x v="0"/>
    <x v="7"/>
    <x v="1"/>
    <x v="1"/>
    <x v="0"/>
    <s v="Sofa"/>
    <n v="15"/>
    <n v="4146.03"/>
    <n v="55971.404999999999"/>
    <n v="6219.0450000000001"/>
    <n v="62190.45"/>
    <n v="11194.280999999999"/>
    <n v="73384.731"/>
    <s v="Pakistan"/>
    <x v="1"/>
  </r>
  <r>
    <x v="216"/>
    <x v="8"/>
    <x v="0"/>
    <x v="0"/>
    <x v="0"/>
    <x v="0"/>
    <s v="Bed"/>
    <n v="4"/>
    <n v="3564.22"/>
    <n v="12831.191999999999"/>
    <n v="1425.6880000000001"/>
    <n v="14256.88"/>
    <n v="2566.2383999999997"/>
    <n v="16823.118399999999"/>
    <s v="Pakistan"/>
    <x v="0"/>
  </r>
  <r>
    <x v="266"/>
    <x v="8"/>
    <x v="1"/>
    <x v="1"/>
    <x v="1"/>
    <x v="0"/>
    <s v="Sofa"/>
    <n v="14"/>
    <n v="414.51"/>
    <n v="5222.826"/>
    <n v="580.31400000000008"/>
    <n v="5803.14"/>
    <n v="1044.5652"/>
    <n v="6847.7052000000003"/>
    <s v="Pakistan"/>
    <x v="1"/>
  </r>
  <r>
    <x v="149"/>
    <x v="9"/>
    <x v="7"/>
    <x v="1"/>
    <x v="1"/>
    <x v="0"/>
    <s v="Bed"/>
    <n v="11"/>
    <n v="1788.39"/>
    <n v="17705.061000000002"/>
    <n v="1967.2290000000003"/>
    <n v="19672.29"/>
    <n v="3541.0122000000001"/>
    <n v="23213.302200000002"/>
    <s v="Pakistan"/>
    <x v="1"/>
  </r>
  <r>
    <x v="14"/>
    <x v="5"/>
    <x v="12"/>
    <x v="1"/>
    <x v="1"/>
    <x v="2"/>
    <s v="Jacket"/>
    <n v="6"/>
    <n v="2867.98"/>
    <n v="15487.092000000001"/>
    <n v="1720.7880000000002"/>
    <n v="17207.88"/>
    <n v="3097.4184"/>
    <n v="20305.2984"/>
    <s v="Pakistan"/>
    <x v="1"/>
  </r>
  <r>
    <x v="260"/>
    <x v="3"/>
    <x v="0"/>
    <x v="0"/>
    <x v="0"/>
    <x v="2"/>
    <s v="Dress"/>
    <n v="6"/>
    <n v="3566.53"/>
    <n v="19259.262000000002"/>
    <n v="2139.9180000000001"/>
    <n v="21399.18"/>
    <n v="3851.8523999999998"/>
    <n v="25251.0324"/>
    <s v="Pakistan"/>
    <x v="0"/>
  </r>
  <r>
    <x v="139"/>
    <x v="7"/>
    <x v="10"/>
    <x v="2"/>
    <x v="2"/>
    <x v="1"/>
    <s v="Eraser"/>
    <n v="13"/>
    <n v="2669.5"/>
    <n v="31233.15"/>
    <n v="3470.3500000000004"/>
    <n v="34703.5"/>
    <n v="6246.63"/>
    <n v="40950.129999999997"/>
    <s v="Pakistan"/>
    <x v="2"/>
  </r>
  <r>
    <x v="301"/>
    <x v="6"/>
    <x v="5"/>
    <x v="2"/>
    <x v="2"/>
    <x v="3"/>
    <s v="Oil"/>
    <n v="6"/>
    <n v="3842.46"/>
    <n v="20749.284"/>
    <n v="2305.4760000000001"/>
    <n v="23054.76"/>
    <n v="4149.8567999999996"/>
    <n v="27204.616799999996"/>
    <s v="Pakistan"/>
    <x v="2"/>
  </r>
  <r>
    <x v="93"/>
    <x v="4"/>
    <x v="9"/>
    <x v="3"/>
    <x v="3"/>
    <x v="0"/>
    <s v="Table"/>
    <n v="13"/>
    <n v="1419.3"/>
    <n v="16605.810000000001"/>
    <n v="1845.0900000000001"/>
    <n v="18450.900000000001"/>
    <n v="3321.1620000000003"/>
    <n v="21772.062000000002"/>
    <s v="Pakistan"/>
    <x v="3"/>
  </r>
  <r>
    <x v="196"/>
    <x v="3"/>
    <x v="8"/>
    <x v="2"/>
    <x v="2"/>
    <x v="4"/>
    <s v="Headphones"/>
    <n v="1"/>
    <n v="3187.31"/>
    <n v="2868.5790000000002"/>
    <n v="318.73099999999999"/>
    <n v="3187.31"/>
    <n v="573.71579999999994"/>
    <n v="3761.0257999999999"/>
    <s v="Pakistan"/>
    <x v="2"/>
  </r>
  <r>
    <x v="206"/>
    <x v="0"/>
    <x v="2"/>
    <x v="2"/>
    <x v="2"/>
    <x v="3"/>
    <s v="Oil"/>
    <n v="12"/>
    <n v="1837.2"/>
    <n v="19841.760000000002"/>
    <n v="2204.6400000000003"/>
    <n v="22046.400000000001"/>
    <n v="3968.3520000000003"/>
    <n v="26014.752"/>
    <s v="Pakistan"/>
    <x v="2"/>
  </r>
  <r>
    <x v="162"/>
    <x v="3"/>
    <x v="7"/>
    <x v="1"/>
    <x v="1"/>
    <x v="4"/>
    <s v="Tablet"/>
    <n v="2"/>
    <n v="4081.92"/>
    <n v="7347.4560000000001"/>
    <n v="816.38400000000001"/>
    <n v="8163.84"/>
    <n v="1469.4911999999999"/>
    <n v="9633.3312000000005"/>
    <s v="Pakistan"/>
    <x v="1"/>
  </r>
  <r>
    <x v="302"/>
    <x v="1"/>
    <x v="7"/>
    <x v="1"/>
    <x v="1"/>
    <x v="3"/>
    <s v="Lentils"/>
    <n v="20"/>
    <n v="3184.86"/>
    <n v="57327.479999999996"/>
    <n v="6369.72"/>
    <n v="63697.2"/>
    <n v="11465.495999999999"/>
    <n v="75162.695999999996"/>
    <s v="Pakistan"/>
    <x v="1"/>
  </r>
  <r>
    <x v="292"/>
    <x v="4"/>
    <x v="1"/>
    <x v="1"/>
    <x v="1"/>
    <x v="0"/>
    <s v="Sofa"/>
    <n v="8"/>
    <n v="3402.24"/>
    <n v="24496.128000000001"/>
    <n v="2721.7919999999999"/>
    <n v="27217.919999999998"/>
    <n v="4899.2255999999998"/>
    <n v="32117.145599999996"/>
    <s v="Pakistan"/>
    <x v="1"/>
  </r>
  <r>
    <x v="85"/>
    <x v="4"/>
    <x v="4"/>
    <x v="2"/>
    <x v="2"/>
    <x v="0"/>
    <s v="Sofa"/>
    <n v="10"/>
    <n v="2750.69"/>
    <n v="24756.210000000003"/>
    <n v="2750.6900000000005"/>
    <n v="27506.9"/>
    <n v="4951.2420000000002"/>
    <n v="32458.142"/>
    <s v="Pakistan"/>
    <x v="2"/>
  </r>
  <r>
    <x v="194"/>
    <x v="9"/>
    <x v="9"/>
    <x v="3"/>
    <x v="3"/>
    <x v="4"/>
    <s v="Headphones"/>
    <n v="13"/>
    <n v="4090.9"/>
    <n v="47863.53"/>
    <n v="5318.17"/>
    <n v="53181.7"/>
    <n v="9572.7059999999983"/>
    <n v="62754.405999999995"/>
    <s v="Pakistan"/>
    <x v="3"/>
  </r>
  <r>
    <x v="159"/>
    <x v="8"/>
    <x v="2"/>
    <x v="2"/>
    <x v="2"/>
    <x v="3"/>
    <s v="Sugar"/>
    <n v="3"/>
    <n v="4234"/>
    <n v="11431.800000000001"/>
    <n v="1270.2"/>
    <n v="12702"/>
    <n v="2286.36"/>
    <n v="14988.36"/>
    <s v="Pakistan"/>
    <x v="2"/>
  </r>
  <r>
    <x v="131"/>
    <x v="9"/>
    <x v="3"/>
    <x v="3"/>
    <x v="3"/>
    <x v="4"/>
    <s v="Smartphone"/>
    <n v="12"/>
    <n v="1701.3"/>
    <n v="18374.04"/>
    <n v="2041.56"/>
    <n v="20415.599999999999"/>
    <n v="3674.8079999999995"/>
    <n v="24090.407999999999"/>
    <s v="Pakistan"/>
    <x v="3"/>
  </r>
  <r>
    <x v="303"/>
    <x v="7"/>
    <x v="5"/>
    <x v="2"/>
    <x v="2"/>
    <x v="4"/>
    <s v="Tablet"/>
    <n v="18"/>
    <n v="1599.01"/>
    <n v="25903.962"/>
    <n v="2878.2180000000003"/>
    <n v="28782.18"/>
    <n v="5180.7924000000003"/>
    <n v="33962.972399999999"/>
    <s v="Pakistan"/>
    <x v="2"/>
  </r>
  <r>
    <x v="127"/>
    <x v="7"/>
    <x v="12"/>
    <x v="1"/>
    <x v="1"/>
    <x v="4"/>
    <s v="Headphones"/>
    <n v="11"/>
    <n v="4564.7299999999996"/>
    <n v="45190.826999999997"/>
    <n v="5021.2030000000004"/>
    <n v="50212.03"/>
    <n v="9038.1653999999999"/>
    <n v="59250.195399999997"/>
    <s v="Pakistan"/>
    <x v="1"/>
  </r>
  <r>
    <x v="84"/>
    <x v="0"/>
    <x v="7"/>
    <x v="1"/>
    <x v="1"/>
    <x v="0"/>
    <s v="Bed"/>
    <n v="14"/>
    <n v="3507.75"/>
    <n v="44197.65"/>
    <n v="4910.8500000000004"/>
    <n v="49108.5"/>
    <n v="8839.5299999999988"/>
    <n v="57948.03"/>
    <s v="Pakistan"/>
    <x v="1"/>
  </r>
  <r>
    <x v="120"/>
    <x v="6"/>
    <x v="4"/>
    <x v="2"/>
    <x v="2"/>
    <x v="1"/>
    <s v="Eraser"/>
    <n v="4"/>
    <n v="810.38"/>
    <n v="2917.3679999999999"/>
    <n v="324.15200000000004"/>
    <n v="3241.52"/>
    <n v="583.47359999999992"/>
    <n v="3824.9935999999998"/>
    <s v="Pakistan"/>
    <x v="2"/>
  </r>
  <r>
    <x v="29"/>
    <x v="0"/>
    <x v="9"/>
    <x v="3"/>
    <x v="3"/>
    <x v="4"/>
    <s v="Smartphone"/>
    <n v="7"/>
    <n v="698.8"/>
    <n v="4402.4400000000005"/>
    <n v="489.16000000000008"/>
    <n v="4891.6000000000004"/>
    <n v="880.48800000000006"/>
    <n v="5772.0880000000006"/>
    <s v="Pakistan"/>
    <x v="3"/>
  </r>
  <r>
    <x v="170"/>
    <x v="8"/>
    <x v="1"/>
    <x v="1"/>
    <x v="1"/>
    <x v="4"/>
    <s v="Tablet"/>
    <n v="14"/>
    <n v="2833.44"/>
    <n v="35701.344000000005"/>
    <n v="3966.8160000000007"/>
    <n v="39668.160000000003"/>
    <n v="7140.2688000000007"/>
    <n v="46808.428800000002"/>
    <s v="Pakistan"/>
    <x v="1"/>
  </r>
  <r>
    <x v="129"/>
    <x v="3"/>
    <x v="2"/>
    <x v="2"/>
    <x v="2"/>
    <x v="3"/>
    <s v="Sugar"/>
    <n v="20"/>
    <n v="2409.6799999999998"/>
    <n v="43374.239999999998"/>
    <n v="4819.3599999999997"/>
    <n v="48193.599999999999"/>
    <n v="8674.848"/>
    <n v="56868.447999999997"/>
    <s v="Pakistan"/>
    <x v="2"/>
  </r>
  <r>
    <x v="110"/>
    <x v="8"/>
    <x v="5"/>
    <x v="2"/>
    <x v="2"/>
    <x v="3"/>
    <s v="Oil"/>
    <n v="17"/>
    <n v="2448.5100000000002"/>
    <n v="37462.203000000001"/>
    <n v="4162.4669999999996"/>
    <n v="41624.67"/>
    <n v="7492.440599999999"/>
    <n v="49117.1106"/>
    <s v="Pakistan"/>
    <x v="2"/>
  </r>
  <r>
    <x v="249"/>
    <x v="9"/>
    <x v="5"/>
    <x v="2"/>
    <x v="2"/>
    <x v="2"/>
    <s v="Pants"/>
    <n v="7"/>
    <n v="4029.58"/>
    <n v="25386.354000000003"/>
    <n v="2820.7060000000001"/>
    <n v="28207.06"/>
    <n v="5077.2708000000002"/>
    <n v="33284.330800000003"/>
    <s v="Pakistan"/>
    <x v="2"/>
  </r>
  <r>
    <x v="270"/>
    <x v="3"/>
    <x v="3"/>
    <x v="3"/>
    <x v="3"/>
    <x v="3"/>
    <s v="Rice"/>
    <n v="15"/>
    <n v="3999.29"/>
    <n v="53990.415000000001"/>
    <n v="5998.9350000000004"/>
    <n v="59989.35"/>
    <n v="10798.082999999999"/>
    <n v="70787.43299999999"/>
    <s v="Pakistan"/>
    <x v="3"/>
  </r>
  <r>
    <x v="186"/>
    <x v="5"/>
    <x v="6"/>
    <x v="0"/>
    <x v="0"/>
    <x v="1"/>
    <s v="Pen"/>
    <n v="17"/>
    <n v="583.88"/>
    <n v="8933.3639999999996"/>
    <n v="992.596"/>
    <n v="9925.9599999999991"/>
    <n v="1786.6727999999998"/>
    <n v="11712.632799999999"/>
    <s v="Pakistan"/>
    <x v="0"/>
  </r>
  <r>
    <x v="304"/>
    <x v="9"/>
    <x v="10"/>
    <x v="2"/>
    <x v="2"/>
    <x v="2"/>
    <s v="Shirt"/>
    <n v="7"/>
    <n v="1319.32"/>
    <n v="8311.7160000000003"/>
    <n v="923.524"/>
    <n v="9235.24"/>
    <n v="1662.3431999999998"/>
    <n v="10897.583199999999"/>
    <s v="Pakistan"/>
    <x v="2"/>
  </r>
  <r>
    <x v="168"/>
    <x v="4"/>
    <x v="0"/>
    <x v="0"/>
    <x v="0"/>
    <x v="0"/>
    <s v="Chair"/>
    <n v="15"/>
    <n v="2698.6"/>
    <n v="36431.1"/>
    <n v="4047.9"/>
    <n v="40479"/>
    <n v="7286.2199999999993"/>
    <n v="47765.22"/>
    <s v="Pakistan"/>
    <x v="0"/>
  </r>
  <r>
    <x v="75"/>
    <x v="2"/>
    <x v="2"/>
    <x v="2"/>
    <x v="2"/>
    <x v="1"/>
    <s v="Pen"/>
    <n v="19"/>
    <n v="4364.6400000000003"/>
    <n v="74635.344000000012"/>
    <n v="8292.8160000000007"/>
    <n v="82928.160000000003"/>
    <n v="14927.068800000001"/>
    <n v="97855.228800000012"/>
    <s v="Pakistan"/>
    <x v="2"/>
  </r>
  <r>
    <x v="218"/>
    <x v="7"/>
    <x v="3"/>
    <x v="3"/>
    <x v="3"/>
    <x v="0"/>
    <s v="Bed"/>
    <n v="8"/>
    <n v="4740.97"/>
    <n v="34134.984000000004"/>
    <n v="3792.7760000000003"/>
    <n v="37927.760000000002"/>
    <n v="6826.9967999999999"/>
    <n v="44754.756800000003"/>
    <s v="Pakistan"/>
    <x v="3"/>
  </r>
  <r>
    <x v="112"/>
    <x v="4"/>
    <x v="6"/>
    <x v="0"/>
    <x v="0"/>
    <x v="1"/>
    <s v="Pen"/>
    <n v="4"/>
    <n v="917.97"/>
    <n v="3304.692"/>
    <n v="367.18800000000005"/>
    <n v="3671.88"/>
    <n v="660.9384"/>
    <n v="4332.8184000000001"/>
    <s v="Pakistan"/>
    <x v="0"/>
  </r>
  <r>
    <x v="89"/>
    <x v="4"/>
    <x v="10"/>
    <x v="2"/>
    <x v="2"/>
    <x v="2"/>
    <s v="Pants"/>
    <n v="10"/>
    <n v="224.53"/>
    <n v="2020.7700000000002"/>
    <n v="224.53000000000003"/>
    <n v="2245.3000000000002"/>
    <n v="404.154"/>
    <n v="2649.4540000000002"/>
    <s v="Pakistan"/>
    <x v="2"/>
  </r>
  <r>
    <x v="305"/>
    <x v="1"/>
    <x v="4"/>
    <x v="2"/>
    <x v="2"/>
    <x v="1"/>
    <s v="Pen"/>
    <n v="1"/>
    <n v="3246.08"/>
    <n v="2921.4720000000002"/>
    <n v="324.608"/>
    <n v="3246.08"/>
    <n v="584.2944"/>
    <n v="3830.3743999999997"/>
    <s v="Pakistan"/>
    <x v="2"/>
  </r>
  <r>
    <x v="115"/>
    <x v="2"/>
    <x v="0"/>
    <x v="0"/>
    <x v="0"/>
    <x v="0"/>
    <s v="Chair"/>
    <n v="16"/>
    <n v="1411.33"/>
    <n v="20323.151999999998"/>
    <n v="2258.1280000000002"/>
    <n v="22581.279999999999"/>
    <n v="4064.6303999999996"/>
    <n v="26645.910399999997"/>
    <s v="Pakistan"/>
    <x v="0"/>
  </r>
  <r>
    <x v="135"/>
    <x v="0"/>
    <x v="5"/>
    <x v="2"/>
    <x v="2"/>
    <x v="2"/>
    <s v="Jacket"/>
    <n v="19"/>
    <n v="2174.06"/>
    <n v="37176.425999999999"/>
    <n v="4130.7139999999999"/>
    <n v="41307.14"/>
    <n v="7435.2851999999993"/>
    <n v="48742.425199999998"/>
    <s v="Pakistan"/>
    <x v="2"/>
  </r>
  <r>
    <x v="203"/>
    <x v="0"/>
    <x v="3"/>
    <x v="3"/>
    <x v="3"/>
    <x v="3"/>
    <s v="Rice"/>
    <n v="2"/>
    <n v="1194.4000000000001"/>
    <n v="2149.92"/>
    <n v="238.88000000000002"/>
    <n v="2388.8000000000002"/>
    <n v="429.98400000000004"/>
    <n v="2818.7840000000001"/>
    <s v="Pakistan"/>
    <x v="3"/>
  </r>
  <r>
    <x v="295"/>
    <x v="8"/>
    <x v="10"/>
    <x v="2"/>
    <x v="2"/>
    <x v="2"/>
    <s v="Pants"/>
    <n v="2"/>
    <n v="3726.58"/>
    <n v="6707.8440000000001"/>
    <n v="745.31600000000003"/>
    <n v="7453.16"/>
    <n v="1341.5688"/>
    <n v="8794.7288000000008"/>
    <s v="Pakistan"/>
    <x v="2"/>
  </r>
  <r>
    <x v="293"/>
    <x v="5"/>
    <x v="5"/>
    <x v="2"/>
    <x v="2"/>
    <x v="0"/>
    <s v="Sofa"/>
    <n v="5"/>
    <n v="1599.65"/>
    <n v="7198.4250000000002"/>
    <n v="799.82500000000005"/>
    <n v="7998.25"/>
    <n v="1439.6849999999999"/>
    <n v="9437.9349999999995"/>
    <s v="Pakistan"/>
    <x v="2"/>
  </r>
  <r>
    <x v="14"/>
    <x v="7"/>
    <x v="11"/>
    <x v="1"/>
    <x v="1"/>
    <x v="0"/>
    <s v="Table"/>
    <n v="16"/>
    <n v="1628.19"/>
    <n v="23445.936000000002"/>
    <n v="2605.1040000000003"/>
    <n v="26051.040000000001"/>
    <n v="4689.1872000000003"/>
    <n v="30740.227200000001"/>
    <s v="Pakistan"/>
    <x v="1"/>
  </r>
  <r>
    <x v="193"/>
    <x v="7"/>
    <x v="2"/>
    <x v="2"/>
    <x v="2"/>
    <x v="2"/>
    <s v="Shirt"/>
    <n v="17"/>
    <n v="3381.75"/>
    <n v="51740.775000000001"/>
    <n v="5748.9750000000004"/>
    <n v="57489.75"/>
    <n v="10348.154999999999"/>
    <n v="67837.904999999999"/>
    <s v="Pakistan"/>
    <x v="2"/>
  </r>
  <r>
    <x v="69"/>
    <x v="1"/>
    <x v="6"/>
    <x v="0"/>
    <x v="0"/>
    <x v="1"/>
    <s v="Ruler"/>
    <n v="18"/>
    <n v="3627.09"/>
    <n v="58758.858"/>
    <n v="6528.7620000000006"/>
    <n v="65287.62"/>
    <n v="11751.7716"/>
    <n v="77039.391600000003"/>
    <s v="Pakistan"/>
    <x v="0"/>
  </r>
  <r>
    <x v="97"/>
    <x v="0"/>
    <x v="10"/>
    <x v="2"/>
    <x v="2"/>
    <x v="3"/>
    <s v="Lentils"/>
    <n v="2"/>
    <n v="3106.64"/>
    <n v="5591.9520000000002"/>
    <n v="621.32799999999997"/>
    <n v="6213.28"/>
    <n v="1118.3904"/>
    <n v="7331.6704"/>
    <s v="Pakistan"/>
    <x v="2"/>
  </r>
  <r>
    <x v="55"/>
    <x v="0"/>
    <x v="9"/>
    <x v="3"/>
    <x v="3"/>
    <x v="4"/>
    <s v="Laptop"/>
    <n v="15"/>
    <n v="4310.01"/>
    <n v="58185.135000000002"/>
    <n v="6465.0150000000003"/>
    <n v="64650.15"/>
    <n v="11637.027"/>
    <n v="76287.176999999996"/>
    <s v="Pakistan"/>
    <x v="3"/>
  </r>
  <r>
    <x v="133"/>
    <x v="6"/>
    <x v="13"/>
    <x v="1"/>
    <x v="1"/>
    <x v="0"/>
    <s v="Table"/>
    <n v="14"/>
    <n v="3352.19"/>
    <n v="42237.594000000005"/>
    <n v="4693.0660000000007"/>
    <n v="46930.66"/>
    <n v="8447.5187999999998"/>
    <n v="55378.178800000002"/>
    <s v="Pakistan"/>
    <x v="1"/>
  </r>
  <r>
    <x v="240"/>
    <x v="3"/>
    <x v="11"/>
    <x v="1"/>
    <x v="1"/>
    <x v="4"/>
    <s v="Smartphone"/>
    <n v="18"/>
    <n v="214.47"/>
    <n v="3474.4140000000002"/>
    <n v="386.04600000000005"/>
    <n v="3860.46"/>
    <n v="694.88279999999997"/>
    <n v="4555.3428000000004"/>
    <s v="Pakistan"/>
    <x v="1"/>
  </r>
  <r>
    <x v="129"/>
    <x v="0"/>
    <x v="12"/>
    <x v="1"/>
    <x v="1"/>
    <x v="3"/>
    <s v="Lentils"/>
    <n v="3"/>
    <n v="1810.87"/>
    <n v="4889.3490000000002"/>
    <n v="543.26099999999997"/>
    <n v="5432.61"/>
    <n v="977.86979999999994"/>
    <n v="6410.4797999999992"/>
    <s v="Pakistan"/>
    <x v="1"/>
  </r>
  <r>
    <x v="101"/>
    <x v="8"/>
    <x v="8"/>
    <x v="2"/>
    <x v="2"/>
    <x v="0"/>
    <s v="Sofa"/>
    <n v="3"/>
    <n v="1105.46"/>
    <n v="2984.7420000000002"/>
    <n v="331.63800000000003"/>
    <n v="3316.38"/>
    <n v="596.94839999999999"/>
    <n v="3913.3284000000003"/>
    <s v="Pakistan"/>
    <x v="2"/>
  </r>
  <r>
    <x v="302"/>
    <x v="9"/>
    <x v="4"/>
    <x v="2"/>
    <x v="2"/>
    <x v="3"/>
    <s v="Rice"/>
    <n v="10"/>
    <n v="3707.43"/>
    <n v="33366.870000000003"/>
    <n v="3707.4300000000003"/>
    <n v="37074.300000000003"/>
    <n v="6673.3740000000007"/>
    <n v="43747.674000000006"/>
    <s v="Pakistan"/>
    <x v="2"/>
  </r>
  <r>
    <x v="156"/>
    <x v="7"/>
    <x v="3"/>
    <x v="3"/>
    <x v="3"/>
    <x v="4"/>
    <s v="Smartphone"/>
    <n v="18"/>
    <n v="584.4"/>
    <n v="9467.2800000000007"/>
    <n v="1051.92"/>
    <n v="10519.2"/>
    <n v="1893.4560000000001"/>
    <n v="12412.656000000001"/>
    <s v="Pakistan"/>
    <x v="3"/>
  </r>
  <r>
    <x v="275"/>
    <x v="1"/>
    <x v="12"/>
    <x v="1"/>
    <x v="1"/>
    <x v="0"/>
    <s v="Sofa"/>
    <n v="1"/>
    <n v="2498.7399999999998"/>
    <n v="2248.866"/>
    <n v="249.874"/>
    <n v="2498.7399999999998"/>
    <n v="449.77319999999992"/>
    <n v="2948.5131999999999"/>
    <s v="Pakistan"/>
    <x v="1"/>
  </r>
  <r>
    <x v="306"/>
    <x v="4"/>
    <x v="2"/>
    <x v="2"/>
    <x v="2"/>
    <x v="4"/>
    <s v="Smartphone"/>
    <n v="17"/>
    <n v="2460.73"/>
    <n v="37649.169000000002"/>
    <n v="4183.2410000000009"/>
    <n v="41832.410000000003"/>
    <n v="7529.8338000000003"/>
    <n v="49362.243800000004"/>
    <s v="Pakistan"/>
    <x v="2"/>
  </r>
  <r>
    <x v="11"/>
    <x v="8"/>
    <x v="0"/>
    <x v="0"/>
    <x v="0"/>
    <x v="0"/>
    <s v="Table"/>
    <n v="13"/>
    <n v="4630.9799999999996"/>
    <n v="54182.466"/>
    <n v="6020.2740000000003"/>
    <n v="60202.74"/>
    <n v="10836.493199999999"/>
    <n v="71039.233200000002"/>
    <s v="Pakistan"/>
    <x v="0"/>
  </r>
  <r>
    <x v="174"/>
    <x v="3"/>
    <x v="2"/>
    <x v="2"/>
    <x v="2"/>
    <x v="4"/>
    <s v="Tablet"/>
    <n v="3"/>
    <n v="4324.88"/>
    <n v="11677.175999999999"/>
    <n v="1297.4639999999999"/>
    <n v="12974.64"/>
    <n v="2335.4351999999999"/>
    <n v="15310.075199999999"/>
    <s v="Pakistan"/>
    <x v="2"/>
  </r>
  <r>
    <x v="242"/>
    <x v="0"/>
    <x v="8"/>
    <x v="2"/>
    <x v="2"/>
    <x v="4"/>
    <s v="Tablet"/>
    <n v="20"/>
    <n v="4049.4"/>
    <n v="72889.2"/>
    <n v="8098.8"/>
    <n v="80988"/>
    <n v="14577.84"/>
    <n v="95565.84"/>
    <s v="Pakistan"/>
    <x v="2"/>
  </r>
  <r>
    <x v="233"/>
    <x v="1"/>
    <x v="13"/>
    <x v="1"/>
    <x v="1"/>
    <x v="3"/>
    <s v="Oil"/>
    <n v="16"/>
    <n v="2347.21"/>
    <n v="33799.824000000001"/>
    <n v="3755.5360000000001"/>
    <n v="37555.360000000001"/>
    <n v="6759.9647999999997"/>
    <n v="44315.324800000002"/>
    <s v="Pakistan"/>
    <x v="1"/>
  </r>
  <r>
    <x v="52"/>
    <x v="1"/>
    <x v="9"/>
    <x v="3"/>
    <x v="3"/>
    <x v="2"/>
    <s v="Jacket"/>
    <n v="2"/>
    <n v="3743.52"/>
    <n v="6738.3360000000002"/>
    <n v="748.70400000000006"/>
    <n v="7487.04"/>
    <n v="1347.6671999999999"/>
    <n v="8834.7072000000007"/>
    <s v="Pakistan"/>
    <x v="3"/>
  </r>
  <r>
    <x v="79"/>
    <x v="2"/>
    <x v="6"/>
    <x v="0"/>
    <x v="0"/>
    <x v="3"/>
    <s v="Sugar"/>
    <n v="8"/>
    <n v="303.48"/>
    <n v="2185.056"/>
    <n v="242.78400000000002"/>
    <n v="2427.84"/>
    <n v="437.01120000000003"/>
    <n v="2864.8512000000001"/>
    <s v="Pakistan"/>
    <x v="0"/>
  </r>
  <r>
    <x v="270"/>
    <x v="7"/>
    <x v="1"/>
    <x v="1"/>
    <x v="1"/>
    <x v="0"/>
    <s v="Bed"/>
    <n v="7"/>
    <n v="1373.41"/>
    <n v="8652.4830000000002"/>
    <n v="961.38700000000017"/>
    <n v="9613.8700000000008"/>
    <n v="1730.4966000000002"/>
    <n v="11344.366600000001"/>
    <s v="Pakistan"/>
    <x v="1"/>
  </r>
  <r>
    <x v="307"/>
    <x v="7"/>
    <x v="11"/>
    <x v="1"/>
    <x v="1"/>
    <x v="4"/>
    <s v="Smartphone"/>
    <n v="10"/>
    <n v="3048.2"/>
    <n v="27433.8"/>
    <n v="3048.2000000000003"/>
    <n v="30482"/>
    <n v="5486.76"/>
    <n v="35968.76"/>
    <s v="Pakistan"/>
    <x v="1"/>
  </r>
  <r>
    <x v="308"/>
    <x v="8"/>
    <x v="7"/>
    <x v="1"/>
    <x v="1"/>
    <x v="0"/>
    <s v="Bed"/>
    <n v="20"/>
    <n v="2818.78"/>
    <n v="50738.04"/>
    <n v="5637.56"/>
    <n v="56375.6"/>
    <n v="10147.608"/>
    <n v="66523.207999999999"/>
    <s v="Pakistan"/>
    <x v="1"/>
  </r>
  <r>
    <x v="121"/>
    <x v="1"/>
    <x v="9"/>
    <x v="3"/>
    <x v="3"/>
    <x v="2"/>
    <s v="Jacket"/>
    <n v="1"/>
    <n v="4647.3"/>
    <n v="4182.5700000000006"/>
    <n v="464.73"/>
    <n v="4647.3"/>
    <n v="836.51400000000001"/>
    <n v="5483.8140000000003"/>
    <s v="Pakistan"/>
    <x v="3"/>
  </r>
  <r>
    <x v="70"/>
    <x v="2"/>
    <x v="10"/>
    <x v="2"/>
    <x v="2"/>
    <x v="2"/>
    <s v="Dress"/>
    <n v="20"/>
    <n v="2302.4699999999998"/>
    <n v="41444.46"/>
    <n v="4604.9400000000005"/>
    <n v="46049.4"/>
    <n v="8288.8919999999998"/>
    <n v="54338.292000000001"/>
    <s v="Pakistan"/>
    <x v="2"/>
  </r>
  <r>
    <x v="120"/>
    <x v="9"/>
    <x v="11"/>
    <x v="1"/>
    <x v="1"/>
    <x v="0"/>
    <s v="Bed"/>
    <n v="17"/>
    <n v="2805.45"/>
    <n v="42923.385000000002"/>
    <n v="4769.2650000000003"/>
    <n v="47692.65"/>
    <n v="8584.6769999999997"/>
    <n v="56277.327000000005"/>
    <s v="Pakistan"/>
    <x v="1"/>
  </r>
  <r>
    <x v="309"/>
    <x v="9"/>
    <x v="1"/>
    <x v="1"/>
    <x v="1"/>
    <x v="4"/>
    <s v="Laptop"/>
    <n v="3"/>
    <n v="413.26"/>
    <n v="1115.8019999999999"/>
    <n v="123.97800000000001"/>
    <n v="1239.78"/>
    <n v="223.16039999999998"/>
    <n v="1462.9404"/>
    <s v="Pakistan"/>
    <x v="1"/>
  </r>
  <r>
    <x v="294"/>
    <x v="4"/>
    <x v="10"/>
    <x v="2"/>
    <x v="2"/>
    <x v="2"/>
    <s v="Pants"/>
    <n v="17"/>
    <n v="3203.04"/>
    <n v="49006.512000000002"/>
    <n v="5445.1680000000006"/>
    <n v="54451.68"/>
    <n v="9801.3024000000005"/>
    <n v="64252.982400000001"/>
    <s v="Pakistan"/>
    <x v="2"/>
  </r>
  <r>
    <x v="309"/>
    <x v="5"/>
    <x v="7"/>
    <x v="1"/>
    <x v="1"/>
    <x v="2"/>
    <s v="Dress"/>
    <n v="4"/>
    <n v="1906.89"/>
    <n v="6864.8040000000001"/>
    <n v="762.75600000000009"/>
    <n v="7627.56"/>
    <n v="1372.9608000000001"/>
    <n v="9000.5208000000002"/>
    <s v="Pakistan"/>
    <x v="1"/>
  </r>
  <r>
    <x v="64"/>
    <x v="8"/>
    <x v="8"/>
    <x v="2"/>
    <x v="2"/>
    <x v="3"/>
    <s v="Oil"/>
    <n v="14"/>
    <n v="3829.68"/>
    <n v="48253.968000000001"/>
    <n v="5361.5519999999997"/>
    <n v="53615.519999999997"/>
    <n v="9650.7935999999991"/>
    <n v="63266.313599999994"/>
    <s v="Pakistan"/>
    <x v="2"/>
  </r>
  <r>
    <x v="310"/>
    <x v="1"/>
    <x v="5"/>
    <x v="2"/>
    <x v="2"/>
    <x v="1"/>
    <s v="Ruler"/>
    <n v="19"/>
    <n v="2636.08"/>
    <n v="45076.968000000001"/>
    <n v="5008.5519999999997"/>
    <n v="50085.52"/>
    <n v="9015.3935999999994"/>
    <n v="59100.9136"/>
    <s v="Pakistan"/>
    <x v="2"/>
  </r>
  <r>
    <x v="232"/>
    <x v="0"/>
    <x v="1"/>
    <x v="1"/>
    <x v="1"/>
    <x v="4"/>
    <s v="Headphones"/>
    <n v="13"/>
    <n v="3994.86"/>
    <n v="46739.862000000001"/>
    <n v="5193.3180000000002"/>
    <n v="51933.18"/>
    <n v="9347.9724000000006"/>
    <n v="61281.152399999999"/>
    <s v="Pakistan"/>
    <x v="1"/>
  </r>
  <r>
    <x v="0"/>
    <x v="4"/>
    <x v="7"/>
    <x v="1"/>
    <x v="1"/>
    <x v="1"/>
    <s v="Eraser"/>
    <n v="12"/>
    <n v="1554.75"/>
    <n v="16791.3"/>
    <n v="1865.7"/>
    <n v="18657"/>
    <n v="3358.2599999999998"/>
    <n v="22015.26"/>
    <s v="Pakistan"/>
    <x v="1"/>
  </r>
  <r>
    <x v="311"/>
    <x v="5"/>
    <x v="6"/>
    <x v="0"/>
    <x v="0"/>
    <x v="1"/>
    <s v="Notebook"/>
    <n v="9"/>
    <n v="4674.04"/>
    <n v="37859.724000000002"/>
    <n v="4206.6360000000004"/>
    <n v="42066.36"/>
    <n v="7571.9448000000002"/>
    <n v="49638.304799999998"/>
    <s v="Pakistan"/>
    <x v="0"/>
  </r>
  <r>
    <x v="42"/>
    <x v="5"/>
    <x v="13"/>
    <x v="1"/>
    <x v="1"/>
    <x v="0"/>
    <s v="Table"/>
    <n v="2"/>
    <n v="1252.3"/>
    <n v="2254.14"/>
    <n v="250.46"/>
    <n v="2504.6"/>
    <n v="450.82799999999997"/>
    <n v="2955.4279999999999"/>
    <s v="Pakistan"/>
    <x v="1"/>
  </r>
  <r>
    <x v="312"/>
    <x v="3"/>
    <x v="12"/>
    <x v="1"/>
    <x v="1"/>
    <x v="1"/>
    <s v="Eraser"/>
    <n v="15"/>
    <n v="1738.86"/>
    <n v="23474.61"/>
    <n v="2608.2900000000004"/>
    <n v="26082.9"/>
    <n v="4694.9220000000005"/>
    <n v="30777.822"/>
    <s v="Pakistan"/>
    <x v="1"/>
  </r>
  <r>
    <x v="69"/>
    <x v="1"/>
    <x v="10"/>
    <x v="2"/>
    <x v="2"/>
    <x v="2"/>
    <s v="Pants"/>
    <n v="4"/>
    <n v="2527.15"/>
    <n v="9097.74"/>
    <n v="1010.8600000000001"/>
    <n v="10108.6"/>
    <n v="1819.548"/>
    <n v="11928.148000000001"/>
    <s v="Pakistan"/>
    <x v="2"/>
  </r>
  <r>
    <x v="313"/>
    <x v="3"/>
    <x v="7"/>
    <x v="1"/>
    <x v="1"/>
    <x v="2"/>
    <s v="Dress"/>
    <n v="17"/>
    <n v="4247.5600000000004"/>
    <n v="64987.668000000005"/>
    <n v="7220.8520000000008"/>
    <n v="72208.52"/>
    <n v="12997.533600000001"/>
    <n v="85206.053599999999"/>
    <s v="Pakistan"/>
    <x v="1"/>
  </r>
  <r>
    <x v="152"/>
    <x v="8"/>
    <x v="5"/>
    <x v="2"/>
    <x v="2"/>
    <x v="3"/>
    <s v="Lentils"/>
    <n v="8"/>
    <n v="978.4"/>
    <n v="7044.48"/>
    <n v="782.72"/>
    <n v="7827.2"/>
    <n v="1408.896"/>
    <n v="9236.0959999999995"/>
    <s v="Pakistan"/>
    <x v="2"/>
  </r>
  <r>
    <x v="210"/>
    <x v="8"/>
    <x v="13"/>
    <x v="1"/>
    <x v="1"/>
    <x v="0"/>
    <s v="Sofa"/>
    <n v="5"/>
    <n v="1530.16"/>
    <n v="6885.72"/>
    <n v="765.08"/>
    <n v="7650.8"/>
    <n v="1377.144"/>
    <n v="9027.9439999999995"/>
    <s v="Pakistan"/>
    <x v="1"/>
  </r>
  <r>
    <x v="202"/>
    <x v="9"/>
    <x v="1"/>
    <x v="1"/>
    <x v="1"/>
    <x v="0"/>
    <s v="Sofa"/>
    <n v="15"/>
    <n v="4748.62"/>
    <n v="64106.37"/>
    <n v="7122.93"/>
    <n v="71229.3"/>
    <n v="12821.273999999999"/>
    <n v="84050.574000000008"/>
    <s v="Pakistan"/>
    <x v="1"/>
  </r>
  <r>
    <x v="287"/>
    <x v="8"/>
    <x v="2"/>
    <x v="2"/>
    <x v="2"/>
    <x v="0"/>
    <s v="Table"/>
    <n v="5"/>
    <n v="4402.72"/>
    <n v="19812.239999999998"/>
    <n v="2201.36"/>
    <n v="22013.599999999999"/>
    <n v="3962.4479999999994"/>
    <n v="25976.047999999999"/>
    <s v="Pakistan"/>
    <x v="2"/>
  </r>
  <r>
    <x v="314"/>
    <x v="0"/>
    <x v="4"/>
    <x v="2"/>
    <x v="2"/>
    <x v="2"/>
    <s v="Dress"/>
    <n v="16"/>
    <n v="3858.12"/>
    <n v="55556.928"/>
    <n v="6172.9920000000002"/>
    <n v="61729.919999999998"/>
    <n v="11111.3856"/>
    <n v="72841.305599999992"/>
    <s v="Pakistan"/>
    <x v="2"/>
  </r>
  <r>
    <x v="101"/>
    <x v="2"/>
    <x v="13"/>
    <x v="1"/>
    <x v="1"/>
    <x v="3"/>
    <s v="Rice"/>
    <n v="10"/>
    <n v="4939.99"/>
    <n v="44459.91"/>
    <n v="4939.9900000000007"/>
    <n v="49399.9"/>
    <n v="8891.982"/>
    <n v="58291.881999999998"/>
    <s v="Pakistan"/>
    <x v="1"/>
  </r>
  <r>
    <x v="25"/>
    <x v="0"/>
    <x v="1"/>
    <x v="1"/>
    <x v="1"/>
    <x v="0"/>
    <s v="Chair"/>
    <n v="8"/>
    <n v="2394.87"/>
    <n v="17243.063999999998"/>
    <n v="1915.896"/>
    <n v="19158.96"/>
    <n v="3448.6127999999999"/>
    <n v="22607.572799999998"/>
    <s v="Pakistan"/>
    <x v="1"/>
  </r>
  <r>
    <x v="171"/>
    <x v="1"/>
    <x v="13"/>
    <x v="1"/>
    <x v="1"/>
    <x v="2"/>
    <s v="Jacket"/>
    <n v="11"/>
    <n v="3277.74"/>
    <n v="32449.626"/>
    <n v="3605.5140000000001"/>
    <n v="36055.14"/>
    <n v="6489.9251999999997"/>
    <n v="42545.065199999997"/>
    <s v="Pakistan"/>
    <x v="1"/>
  </r>
  <r>
    <x v="95"/>
    <x v="4"/>
    <x v="2"/>
    <x v="2"/>
    <x v="2"/>
    <x v="0"/>
    <s v="Chair"/>
    <n v="5"/>
    <n v="2411.33"/>
    <n v="10850.985000000001"/>
    <n v="1205.665"/>
    <n v="12056.65"/>
    <n v="2170.1969999999997"/>
    <n v="14226.847"/>
    <s v="Pakistan"/>
    <x v="2"/>
  </r>
  <r>
    <x v="38"/>
    <x v="2"/>
    <x v="7"/>
    <x v="1"/>
    <x v="1"/>
    <x v="1"/>
    <s v="Pen"/>
    <n v="17"/>
    <n v="3844.7"/>
    <n v="58823.91"/>
    <n v="6535.9900000000007"/>
    <n v="65359.9"/>
    <n v="11764.781999999999"/>
    <n v="77124.682000000001"/>
    <s v="Pakistan"/>
    <x v="1"/>
  </r>
  <r>
    <x v="142"/>
    <x v="8"/>
    <x v="1"/>
    <x v="1"/>
    <x v="1"/>
    <x v="2"/>
    <s v="Shirt"/>
    <n v="14"/>
    <n v="816.99"/>
    <n v="10294.074000000001"/>
    <n v="1143.7860000000001"/>
    <n v="11437.86"/>
    <n v="2058.8148000000001"/>
    <n v="13496.674800000001"/>
    <s v="Pakistan"/>
    <x v="1"/>
  </r>
  <r>
    <x v="276"/>
    <x v="6"/>
    <x v="5"/>
    <x v="2"/>
    <x v="2"/>
    <x v="4"/>
    <s v="Tablet"/>
    <n v="3"/>
    <n v="3102.92"/>
    <n v="8377.884"/>
    <n v="930.87600000000009"/>
    <n v="9308.76"/>
    <n v="1675.5768"/>
    <n v="10984.336800000001"/>
    <s v="Pakistan"/>
    <x v="2"/>
  </r>
  <r>
    <x v="160"/>
    <x v="3"/>
    <x v="7"/>
    <x v="1"/>
    <x v="1"/>
    <x v="4"/>
    <s v="Laptop"/>
    <n v="11"/>
    <n v="490.34"/>
    <n v="4854.366"/>
    <n v="539.37400000000002"/>
    <n v="5393.74"/>
    <n v="970.87319999999988"/>
    <n v="6364.6131999999998"/>
    <s v="Pakistan"/>
    <x v="1"/>
  </r>
  <r>
    <x v="215"/>
    <x v="5"/>
    <x v="9"/>
    <x v="3"/>
    <x v="3"/>
    <x v="2"/>
    <s v="Shirt"/>
    <n v="6"/>
    <n v="4079.26"/>
    <n v="22028.004000000001"/>
    <n v="2447.556"/>
    <n v="24475.56"/>
    <n v="4405.6008000000002"/>
    <n v="28881.160800000001"/>
    <s v="Pakistan"/>
    <x v="3"/>
  </r>
  <r>
    <x v="133"/>
    <x v="0"/>
    <x v="4"/>
    <x v="2"/>
    <x v="2"/>
    <x v="0"/>
    <s v="Chair"/>
    <n v="12"/>
    <n v="3229.61"/>
    <n v="34879.788"/>
    <n v="3875.5320000000002"/>
    <n v="38755.32"/>
    <n v="6975.9575999999997"/>
    <n v="45731.277600000001"/>
    <s v="Pakistan"/>
    <x v="2"/>
  </r>
  <r>
    <x v="222"/>
    <x v="4"/>
    <x v="3"/>
    <x v="3"/>
    <x v="3"/>
    <x v="1"/>
    <s v="Pen"/>
    <n v="16"/>
    <n v="1873.12"/>
    <n v="26972.928"/>
    <n v="2996.9920000000002"/>
    <n v="29969.919999999998"/>
    <n v="5394.5855999999994"/>
    <n v="35364.505599999997"/>
    <s v="Pakistan"/>
    <x v="3"/>
  </r>
  <r>
    <x v="194"/>
    <x v="3"/>
    <x v="4"/>
    <x v="2"/>
    <x v="2"/>
    <x v="3"/>
    <s v="Sugar"/>
    <n v="7"/>
    <n v="1640.58"/>
    <n v="10335.654"/>
    <n v="1148.4059999999999"/>
    <n v="11484.06"/>
    <n v="2067.1307999999999"/>
    <n v="13551.1908"/>
    <s v="Pakistan"/>
    <x v="2"/>
  </r>
  <r>
    <x v="167"/>
    <x v="0"/>
    <x v="0"/>
    <x v="0"/>
    <x v="0"/>
    <x v="4"/>
    <s v="Laptop"/>
    <n v="13"/>
    <n v="4843.21"/>
    <n v="56665.557000000001"/>
    <n v="6296.1730000000007"/>
    <n v="62961.73"/>
    <n v="11333.1114"/>
    <n v="74294.841400000005"/>
    <s v="Pakistan"/>
    <x v="0"/>
  </r>
  <r>
    <x v="69"/>
    <x v="9"/>
    <x v="8"/>
    <x v="2"/>
    <x v="2"/>
    <x v="1"/>
    <s v="Ruler"/>
    <n v="13"/>
    <n v="1782.01"/>
    <n v="20849.517"/>
    <n v="2316.6130000000003"/>
    <n v="23166.13"/>
    <n v="4169.9034000000001"/>
    <n v="27336.0334"/>
    <s v="Pakistan"/>
    <x v="2"/>
  </r>
  <r>
    <x v="142"/>
    <x v="9"/>
    <x v="6"/>
    <x v="0"/>
    <x v="0"/>
    <x v="3"/>
    <s v="Sugar"/>
    <n v="19"/>
    <n v="1120.5999999999999"/>
    <n v="19162.260000000002"/>
    <n v="2129.1400000000003"/>
    <n v="21291.4"/>
    <n v="3832.4520000000002"/>
    <n v="25123.852000000003"/>
    <s v="Pakistan"/>
    <x v="0"/>
  </r>
  <r>
    <x v="16"/>
    <x v="6"/>
    <x v="2"/>
    <x v="2"/>
    <x v="2"/>
    <x v="0"/>
    <s v="Bed"/>
    <n v="2"/>
    <n v="1927.02"/>
    <n v="3468.636"/>
    <n v="385.404"/>
    <n v="3854.04"/>
    <n v="693.72719999999993"/>
    <n v="4547.7672000000002"/>
    <s v="Pakistan"/>
    <x v="2"/>
  </r>
  <r>
    <x v="169"/>
    <x v="3"/>
    <x v="4"/>
    <x v="2"/>
    <x v="2"/>
    <x v="0"/>
    <s v="Sofa"/>
    <n v="15"/>
    <n v="4642.6899999999996"/>
    <n v="62676.31500000001"/>
    <n v="6964.0350000000008"/>
    <n v="69640.350000000006"/>
    <n v="12535.263000000001"/>
    <n v="82175.613000000012"/>
    <s v="Pakistan"/>
    <x v="2"/>
  </r>
  <r>
    <x v="315"/>
    <x v="3"/>
    <x v="4"/>
    <x v="2"/>
    <x v="2"/>
    <x v="1"/>
    <s v="Ruler"/>
    <n v="19"/>
    <n v="3316.87"/>
    <n v="56718.476999999999"/>
    <n v="6302.0529999999999"/>
    <n v="63020.53"/>
    <n v="11343.695399999999"/>
    <n v="74364.225399999996"/>
    <s v="Pakistan"/>
    <x v="2"/>
  </r>
  <r>
    <x v="36"/>
    <x v="1"/>
    <x v="10"/>
    <x v="2"/>
    <x v="2"/>
    <x v="1"/>
    <s v="Notebook"/>
    <n v="19"/>
    <n v="1372.28"/>
    <n v="23465.988000000001"/>
    <n v="2607.3320000000003"/>
    <n v="26073.32"/>
    <n v="4693.1975999999995"/>
    <n v="30766.517599999999"/>
    <s v="Pakistan"/>
    <x v="2"/>
  </r>
  <r>
    <x v="99"/>
    <x v="3"/>
    <x v="2"/>
    <x v="2"/>
    <x v="2"/>
    <x v="1"/>
    <s v="Notebook"/>
    <n v="8"/>
    <n v="4786.4799999999996"/>
    <n v="34462.655999999995"/>
    <n v="3829.1839999999997"/>
    <n v="38291.839999999997"/>
    <n v="6892.5311999999994"/>
    <n v="45184.371199999994"/>
    <s v="Pakistan"/>
    <x v="2"/>
  </r>
  <r>
    <x v="101"/>
    <x v="2"/>
    <x v="5"/>
    <x v="2"/>
    <x v="2"/>
    <x v="0"/>
    <s v="Sofa"/>
    <n v="18"/>
    <n v="620.92999999999995"/>
    <n v="10059.066000000001"/>
    <n v="1117.674"/>
    <n v="11176.74"/>
    <n v="2011.8131999999998"/>
    <n v="13188.5532"/>
    <s v="Pakistan"/>
    <x v="2"/>
  </r>
  <r>
    <x v="3"/>
    <x v="9"/>
    <x v="5"/>
    <x v="2"/>
    <x v="2"/>
    <x v="4"/>
    <s v="Tablet"/>
    <n v="4"/>
    <n v="1241.21"/>
    <n v="4468.3560000000007"/>
    <n v="496.48400000000004"/>
    <n v="4964.84"/>
    <n v="893.6712"/>
    <n v="5858.5111999999999"/>
    <s v="Pakistan"/>
    <x v="2"/>
  </r>
  <r>
    <x v="221"/>
    <x v="0"/>
    <x v="9"/>
    <x v="3"/>
    <x v="3"/>
    <x v="4"/>
    <s v="Tablet"/>
    <n v="10"/>
    <n v="1823.34"/>
    <n v="16410.060000000001"/>
    <n v="1823.3400000000001"/>
    <n v="18233.400000000001"/>
    <n v="3282.0120000000002"/>
    <n v="21515.412"/>
    <s v="Pakistan"/>
    <x v="3"/>
  </r>
  <r>
    <x v="172"/>
    <x v="8"/>
    <x v="9"/>
    <x v="3"/>
    <x v="3"/>
    <x v="2"/>
    <s v="Pants"/>
    <n v="10"/>
    <n v="4304.71"/>
    <n v="38742.39"/>
    <n v="4304.71"/>
    <n v="43047.1"/>
    <n v="7748.4779999999992"/>
    <n v="50795.577999999994"/>
    <s v="Pakistan"/>
    <x v="3"/>
  </r>
  <r>
    <x v="316"/>
    <x v="9"/>
    <x v="1"/>
    <x v="1"/>
    <x v="1"/>
    <x v="3"/>
    <s v="Sugar"/>
    <n v="11"/>
    <n v="4446.37"/>
    <n v="44019.063000000002"/>
    <n v="4891.0070000000005"/>
    <n v="48910.07"/>
    <n v="8803.8125999999993"/>
    <n v="57713.882599999997"/>
    <s v="Pakistan"/>
    <x v="1"/>
  </r>
  <r>
    <x v="128"/>
    <x v="2"/>
    <x v="4"/>
    <x v="2"/>
    <x v="2"/>
    <x v="3"/>
    <s v="Lentils"/>
    <n v="8"/>
    <n v="465.32"/>
    <n v="3350.3040000000001"/>
    <n v="372.25600000000003"/>
    <n v="3722.56"/>
    <n v="670.06079999999997"/>
    <n v="4392.6207999999997"/>
    <s v="Pakistan"/>
    <x v="2"/>
  </r>
  <r>
    <x v="79"/>
    <x v="5"/>
    <x v="3"/>
    <x v="3"/>
    <x v="3"/>
    <x v="1"/>
    <s v="Pen"/>
    <n v="1"/>
    <n v="3431.7"/>
    <n v="3088.5299999999997"/>
    <n v="343.17"/>
    <n v="3431.7"/>
    <n v="617.7059999999999"/>
    <n v="4049.4059999999999"/>
    <s v="Pakistan"/>
    <x v="3"/>
  </r>
  <r>
    <x v="317"/>
    <x v="3"/>
    <x v="4"/>
    <x v="2"/>
    <x v="2"/>
    <x v="0"/>
    <s v="Sofa"/>
    <n v="20"/>
    <n v="1365.33"/>
    <n v="24575.94"/>
    <n v="2730.66"/>
    <n v="27306.6"/>
    <n v="4915.1879999999992"/>
    <n v="32221.787999999997"/>
    <s v="Pakistan"/>
    <x v="2"/>
  </r>
  <r>
    <x v="253"/>
    <x v="2"/>
    <x v="1"/>
    <x v="1"/>
    <x v="1"/>
    <x v="4"/>
    <s v="Headphones"/>
    <n v="14"/>
    <n v="2343.4"/>
    <n v="29526.84"/>
    <n v="3280.76"/>
    <n v="32807.599999999999"/>
    <n v="5905.3679999999995"/>
    <n v="38712.968000000001"/>
    <s v="Pakistan"/>
    <x v="1"/>
  </r>
  <r>
    <x v="99"/>
    <x v="7"/>
    <x v="7"/>
    <x v="1"/>
    <x v="1"/>
    <x v="4"/>
    <s v="Laptop"/>
    <n v="15"/>
    <n v="447.71"/>
    <n v="6044.085"/>
    <n v="671.56500000000005"/>
    <n v="6715.65"/>
    <n v="1208.8169999999998"/>
    <n v="7924.4669999999996"/>
    <s v="Pakistan"/>
    <x v="1"/>
  </r>
  <r>
    <x v="299"/>
    <x v="7"/>
    <x v="13"/>
    <x v="1"/>
    <x v="1"/>
    <x v="3"/>
    <s v="Oil"/>
    <n v="3"/>
    <n v="2393.7199999999998"/>
    <n v="6463.0439999999999"/>
    <n v="718.11599999999999"/>
    <n v="7181.16"/>
    <n v="1292.6088"/>
    <n v="8473.7687999999998"/>
    <s v="Pakistan"/>
    <x v="1"/>
  </r>
  <r>
    <x v="171"/>
    <x v="9"/>
    <x v="8"/>
    <x v="2"/>
    <x v="2"/>
    <x v="2"/>
    <s v="Pants"/>
    <n v="20"/>
    <n v="138.6"/>
    <n v="2494.8000000000002"/>
    <n v="277.2"/>
    <n v="2772"/>
    <n v="498.96"/>
    <n v="3270.96"/>
    <s v="Pakistan"/>
    <x v="2"/>
  </r>
  <r>
    <x v="208"/>
    <x v="6"/>
    <x v="4"/>
    <x v="2"/>
    <x v="2"/>
    <x v="3"/>
    <s v="Lentils"/>
    <n v="6"/>
    <n v="3119.62"/>
    <n v="16845.948"/>
    <n v="1871.7720000000002"/>
    <n v="18717.72"/>
    <n v="3369.1896000000002"/>
    <n v="22086.909600000003"/>
    <s v="Pakistan"/>
    <x v="2"/>
  </r>
  <r>
    <x v="252"/>
    <x v="4"/>
    <x v="5"/>
    <x v="2"/>
    <x v="2"/>
    <x v="4"/>
    <s v="Tablet"/>
    <n v="1"/>
    <n v="4175.7"/>
    <n v="3758.13"/>
    <n v="417.57"/>
    <n v="4175.7"/>
    <n v="751.62599999999998"/>
    <n v="4927.326"/>
    <s v="Pakistan"/>
    <x v="2"/>
  </r>
  <r>
    <x v="5"/>
    <x v="8"/>
    <x v="11"/>
    <x v="1"/>
    <x v="1"/>
    <x v="1"/>
    <s v="Pen"/>
    <n v="17"/>
    <n v="2655.23"/>
    <n v="40625.019000000008"/>
    <n v="4513.8910000000005"/>
    <n v="45138.91"/>
    <n v="8125.0038000000004"/>
    <n v="53263.913800000002"/>
    <s v="Pakistan"/>
    <x v="1"/>
  </r>
  <r>
    <x v="51"/>
    <x v="7"/>
    <x v="4"/>
    <x v="2"/>
    <x v="2"/>
    <x v="3"/>
    <s v="Oil"/>
    <n v="14"/>
    <n v="4235.22"/>
    <n v="53363.772000000004"/>
    <n v="5929.3080000000009"/>
    <n v="59293.08"/>
    <n v="10672.7544"/>
    <n v="69965.834400000007"/>
    <s v="Pakistan"/>
    <x v="2"/>
  </r>
  <r>
    <x v="214"/>
    <x v="0"/>
    <x v="8"/>
    <x v="2"/>
    <x v="2"/>
    <x v="1"/>
    <s v="Pen"/>
    <n v="20"/>
    <n v="3393.01"/>
    <n v="61074.18"/>
    <n v="6786.02"/>
    <n v="67860.2"/>
    <n v="12214.835999999999"/>
    <n v="80075.035999999993"/>
    <s v="Pakistan"/>
    <x v="2"/>
  </r>
  <r>
    <x v="196"/>
    <x v="7"/>
    <x v="6"/>
    <x v="0"/>
    <x v="0"/>
    <x v="4"/>
    <s v="Headphones"/>
    <n v="14"/>
    <n v="1247.48"/>
    <n v="15718.248000000001"/>
    <n v="1746.4720000000002"/>
    <n v="17464.72"/>
    <n v="3143.6496000000002"/>
    <n v="20608.369600000002"/>
    <s v="Pakistan"/>
    <x v="0"/>
  </r>
  <r>
    <x v="61"/>
    <x v="8"/>
    <x v="7"/>
    <x v="1"/>
    <x v="1"/>
    <x v="2"/>
    <s v="Dress"/>
    <n v="20"/>
    <n v="4428.59"/>
    <n v="79714.62000000001"/>
    <n v="8857.18"/>
    <n v="88571.8"/>
    <n v="15942.923999999999"/>
    <n v="104514.724"/>
    <s v="Pakistan"/>
    <x v="1"/>
  </r>
  <r>
    <x v="298"/>
    <x v="4"/>
    <x v="5"/>
    <x v="2"/>
    <x v="2"/>
    <x v="1"/>
    <s v="Ruler"/>
    <n v="9"/>
    <n v="2251.19"/>
    <n v="18234.638999999999"/>
    <n v="2026.0709999999999"/>
    <n v="20260.71"/>
    <n v="3646.9277999999999"/>
    <n v="23907.6378"/>
    <s v="Pakistan"/>
    <x v="2"/>
  </r>
  <r>
    <x v="318"/>
    <x v="2"/>
    <x v="1"/>
    <x v="1"/>
    <x v="1"/>
    <x v="4"/>
    <s v="Smartphone"/>
    <n v="19"/>
    <n v="2240.89"/>
    <n v="38319.219000000005"/>
    <n v="4257.6910000000007"/>
    <n v="42576.91"/>
    <n v="7663.8438000000006"/>
    <n v="50240.753800000006"/>
    <s v="Pakistan"/>
    <x v="1"/>
  </r>
  <r>
    <x v="272"/>
    <x v="5"/>
    <x v="8"/>
    <x v="2"/>
    <x v="2"/>
    <x v="0"/>
    <s v="Sofa"/>
    <n v="19"/>
    <n v="4089.21"/>
    <n v="69925.491000000009"/>
    <n v="7769.4990000000007"/>
    <n v="77694.990000000005"/>
    <n v="13985.0982"/>
    <n v="91680.088199999998"/>
    <s v="Pakistan"/>
    <x v="2"/>
  </r>
  <r>
    <x v="126"/>
    <x v="7"/>
    <x v="1"/>
    <x v="1"/>
    <x v="1"/>
    <x v="3"/>
    <s v="Rice"/>
    <n v="6"/>
    <n v="4286.28"/>
    <n v="23145.912"/>
    <n v="2571.768"/>
    <n v="25717.68"/>
    <n v="4629.1823999999997"/>
    <n v="30346.862399999998"/>
    <s v="Pakistan"/>
    <x v="1"/>
  </r>
  <r>
    <x v="127"/>
    <x v="3"/>
    <x v="3"/>
    <x v="3"/>
    <x v="3"/>
    <x v="4"/>
    <s v="Laptop"/>
    <n v="20"/>
    <n v="1316.67"/>
    <n v="23700.06"/>
    <n v="2633.34"/>
    <n v="26333.4"/>
    <n v="4740.0119999999997"/>
    <n v="31073.412"/>
    <s v="Pakistan"/>
    <x v="3"/>
  </r>
  <r>
    <x v="254"/>
    <x v="7"/>
    <x v="10"/>
    <x v="2"/>
    <x v="2"/>
    <x v="2"/>
    <s v="Jacket"/>
    <n v="17"/>
    <n v="3145.73"/>
    <n v="48129.669000000002"/>
    <n v="5347.7410000000009"/>
    <n v="53477.41"/>
    <n v="9625.9338000000007"/>
    <n v="63103.343800000002"/>
    <s v="Pakistan"/>
    <x v="2"/>
  </r>
  <r>
    <x v="147"/>
    <x v="7"/>
    <x v="9"/>
    <x v="3"/>
    <x v="3"/>
    <x v="2"/>
    <s v="Pants"/>
    <n v="10"/>
    <n v="2523.59"/>
    <n v="22712.31"/>
    <n v="2523.59"/>
    <n v="25235.9"/>
    <n v="4542.4620000000004"/>
    <n v="29778.362000000001"/>
    <s v="Pakistan"/>
    <x v="3"/>
  </r>
  <r>
    <x v="261"/>
    <x v="2"/>
    <x v="11"/>
    <x v="1"/>
    <x v="1"/>
    <x v="1"/>
    <s v="Ruler"/>
    <n v="2"/>
    <n v="2851.64"/>
    <n v="5132.9520000000002"/>
    <n v="570.32799999999997"/>
    <n v="5703.28"/>
    <n v="1026.5903999999998"/>
    <n v="6729.8703999999998"/>
    <s v="Pakistan"/>
    <x v="1"/>
  </r>
  <r>
    <x v="234"/>
    <x v="7"/>
    <x v="9"/>
    <x v="3"/>
    <x v="3"/>
    <x v="1"/>
    <s v="Ruler"/>
    <n v="20"/>
    <n v="3193.18"/>
    <n v="57477.24"/>
    <n v="6386.3600000000006"/>
    <n v="63863.6"/>
    <n v="11495.447999999999"/>
    <n v="75359.047999999995"/>
    <s v="Pakistan"/>
    <x v="3"/>
  </r>
  <r>
    <x v="150"/>
    <x v="2"/>
    <x v="4"/>
    <x v="2"/>
    <x v="2"/>
    <x v="2"/>
    <s v="Pants"/>
    <n v="8"/>
    <n v="4663.82"/>
    <n v="33579.504000000001"/>
    <n v="3731.056"/>
    <n v="37310.559999999998"/>
    <n v="6715.9007999999994"/>
    <n v="44026.460800000001"/>
    <s v="Pakistan"/>
    <x v="2"/>
  </r>
  <r>
    <x v="80"/>
    <x v="5"/>
    <x v="4"/>
    <x v="2"/>
    <x v="2"/>
    <x v="1"/>
    <s v="Notebook"/>
    <n v="13"/>
    <n v="4263.79"/>
    <n v="49886.343000000001"/>
    <n v="5542.9269999999997"/>
    <n v="55429.27"/>
    <n v="9977.2685999999994"/>
    <n v="65406.5386"/>
    <s v="Pakistan"/>
    <x v="2"/>
  </r>
  <r>
    <x v="227"/>
    <x v="9"/>
    <x v="3"/>
    <x v="3"/>
    <x v="3"/>
    <x v="0"/>
    <s v="Chair"/>
    <n v="11"/>
    <n v="819.85"/>
    <n v="8116.5150000000003"/>
    <n v="901.83500000000004"/>
    <n v="9018.35"/>
    <n v="1623.3030000000001"/>
    <n v="10641.653"/>
    <s v="Pakistan"/>
    <x v="3"/>
  </r>
  <r>
    <x v="319"/>
    <x v="8"/>
    <x v="3"/>
    <x v="3"/>
    <x v="3"/>
    <x v="4"/>
    <s v="Tablet"/>
    <n v="8"/>
    <n v="2784.08"/>
    <n v="20045.376"/>
    <n v="2227.2640000000001"/>
    <n v="22272.639999999999"/>
    <n v="4009.0751999999998"/>
    <n v="26281.715199999999"/>
    <s v="Pakistan"/>
    <x v="3"/>
  </r>
  <r>
    <x v="154"/>
    <x v="7"/>
    <x v="5"/>
    <x v="2"/>
    <x v="2"/>
    <x v="2"/>
    <s v="Shirt"/>
    <n v="8"/>
    <n v="2240.2199999999998"/>
    <n v="16129.583999999999"/>
    <n v="1792.1759999999999"/>
    <n v="17921.759999999998"/>
    <n v="3225.9167999999995"/>
    <n v="21147.676799999997"/>
    <s v="Pakistan"/>
    <x v="2"/>
  </r>
  <r>
    <x v="20"/>
    <x v="1"/>
    <x v="5"/>
    <x v="2"/>
    <x v="2"/>
    <x v="4"/>
    <s v="Headphones"/>
    <n v="18"/>
    <n v="1039.3800000000001"/>
    <n v="16837.956000000002"/>
    <n v="1870.884"/>
    <n v="18708.84"/>
    <n v="3367.5911999999998"/>
    <n v="22076.431199999999"/>
    <s v="Pakistan"/>
    <x v="2"/>
  </r>
  <r>
    <x v="209"/>
    <x v="3"/>
    <x v="10"/>
    <x v="2"/>
    <x v="2"/>
    <x v="3"/>
    <s v="Rice"/>
    <n v="18"/>
    <n v="1297.93"/>
    <n v="21026.466"/>
    <n v="2336.2740000000003"/>
    <n v="23362.74"/>
    <n v="4205.2932000000001"/>
    <n v="27568.033200000002"/>
    <s v="Pakistan"/>
    <x v="2"/>
  </r>
  <r>
    <x v="299"/>
    <x v="9"/>
    <x v="4"/>
    <x v="2"/>
    <x v="2"/>
    <x v="0"/>
    <s v="Sofa"/>
    <n v="4"/>
    <n v="4293.74"/>
    <n v="15457.464"/>
    <n v="1717.4960000000001"/>
    <n v="17174.96"/>
    <n v="3091.4927999999995"/>
    <n v="20266.452799999999"/>
    <s v="Pakistan"/>
    <x v="2"/>
  </r>
  <r>
    <x v="320"/>
    <x v="4"/>
    <x v="4"/>
    <x v="2"/>
    <x v="2"/>
    <x v="4"/>
    <s v="Headphones"/>
    <n v="11"/>
    <n v="2133.36"/>
    <n v="21120.263999999999"/>
    <n v="2346.6959999999999"/>
    <n v="23466.959999999999"/>
    <n v="4224.0527999999995"/>
    <n v="27691.012799999997"/>
    <s v="Pakistan"/>
    <x v="2"/>
  </r>
  <r>
    <x v="79"/>
    <x v="0"/>
    <x v="2"/>
    <x v="2"/>
    <x v="2"/>
    <x v="3"/>
    <s v="Sugar"/>
    <n v="11"/>
    <n v="735.74"/>
    <n v="7283.826"/>
    <n v="809.31400000000008"/>
    <n v="8093.14"/>
    <n v="1456.7652"/>
    <n v="9549.9052000000011"/>
    <s v="Pakistan"/>
    <x v="2"/>
  </r>
  <r>
    <x v="235"/>
    <x v="2"/>
    <x v="8"/>
    <x v="2"/>
    <x v="2"/>
    <x v="2"/>
    <s v="Dress"/>
    <n v="14"/>
    <n v="271.27"/>
    <n v="3418.0020000000004"/>
    <n v="379.77800000000002"/>
    <n v="3797.78"/>
    <n v="683.60040000000004"/>
    <n v="4481.3804"/>
    <s v="Pakistan"/>
    <x v="2"/>
  </r>
  <r>
    <x v="122"/>
    <x v="2"/>
    <x v="2"/>
    <x v="2"/>
    <x v="2"/>
    <x v="0"/>
    <s v="Table"/>
    <n v="5"/>
    <n v="4759.1899999999996"/>
    <n v="21416.355"/>
    <n v="2379.5950000000003"/>
    <n v="23795.95"/>
    <n v="4283.2709999999997"/>
    <n v="28079.221000000001"/>
    <s v="Pakistan"/>
    <x v="2"/>
  </r>
  <r>
    <x v="68"/>
    <x v="1"/>
    <x v="7"/>
    <x v="1"/>
    <x v="1"/>
    <x v="4"/>
    <s v="Laptop"/>
    <n v="11"/>
    <n v="941.97"/>
    <n v="9325.5030000000006"/>
    <n v="1036.1670000000001"/>
    <n v="10361.67"/>
    <n v="1865.1006"/>
    <n v="12226.7706"/>
    <s v="Pakistan"/>
    <x v="1"/>
  </r>
  <r>
    <x v="232"/>
    <x v="1"/>
    <x v="3"/>
    <x v="3"/>
    <x v="3"/>
    <x v="3"/>
    <s v="Oil"/>
    <n v="11"/>
    <n v="2182.46"/>
    <n v="21606.354000000003"/>
    <n v="2400.7060000000001"/>
    <n v="24007.06"/>
    <n v="4321.2708000000002"/>
    <n v="28328.330800000003"/>
    <s v="Pakistan"/>
    <x v="3"/>
  </r>
  <r>
    <x v="297"/>
    <x v="1"/>
    <x v="4"/>
    <x v="2"/>
    <x v="2"/>
    <x v="3"/>
    <s v="Sugar"/>
    <n v="10"/>
    <n v="2112.91"/>
    <n v="19016.189999999999"/>
    <n v="2112.91"/>
    <n v="21129.1"/>
    <n v="3803.2379999999994"/>
    <n v="24932.337999999996"/>
    <s v="Pakistan"/>
    <x v="2"/>
  </r>
  <r>
    <x v="118"/>
    <x v="3"/>
    <x v="10"/>
    <x v="2"/>
    <x v="2"/>
    <x v="2"/>
    <s v="Dress"/>
    <n v="13"/>
    <n v="3495.08"/>
    <n v="40892.436000000002"/>
    <n v="4543.6040000000003"/>
    <n v="45436.04"/>
    <n v="8178.4871999999996"/>
    <n v="53614.527199999997"/>
    <s v="Pakistan"/>
    <x v="2"/>
  </r>
  <r>
    <x v="290"/>
    <x v="0"/>
    <x v="11"/>
    <x v="1"/>
    <x v="1"/>
    <x v="3"/>
    <s v="Lentils"/>
    <n v="2"/>
    <n v="3439.47"/>
    <n v="6191.0459999999994"/>
    <n v="687.89400000000001"/>
    <n v="6878.94"/>
    <n v="1238.2091999999998"/>
    <n v="8117.1491999999998"/>
    <s v="Pakistan"/>
    <x v="1"/>
  </r>
  <r>
    <x v="30"/>
    <x v="2"/>
    <x v="13"/>
    <x v="1"/>
    <x v="1"/>
    <x v="0"/>
    <s v="Table"/>
    <n v="20"/>
    <n v="3279.25"/>
    <n v="59026.5"/>
    <n v="6558.5"/>
    <n v="65585"/>
    <n v="11805.3"/>
    <n v="77390.3"/>
    <s v="Pakistan"/>
    <x v="1"/>
  </r>
  <r>
    <x v="313"/>
    <x v="2"/>
    <x v="4"/>
    <x v="2"/>
    <x v="2"/>
    <x v="0"/>
    <s v="Bed"/>
    <n v="16"/>
    <n v="3320.8"/>
    <n v="47819.520000000004"/>
    <n v="5313.2800000000007"/>
    <n v="53132.800000000003"/>
    <n v="9563.9040000000005"/>
    <n v="62696.704000000005"/>
    <s v="Pakistan"/>
    <x v="2"/>
  </r>
  <r>
    <x v="208"/>
    <x v="2"/>
    <x v="9"/>
    <x v="3"/>
    <x v="3"/>
    <x v="2"/>
    <s v="Jacket"/>
    <n v="6"/>
    <n v="4105.1899999999996"/>
    <n v="22168.026000000002"/>
    <n v="2463.114"/>
    <n v="24631.14"/>
    <n v="4433.6052"/>
    <n v="29064.745199999998"/>
    <s v="Pakistan"/>
    <x v="3"/>
  </r>
  <r>
    <x v="315"/>
    <x v="6"/>
    <x v="11"/>
    <x v="1"/>
    <x v="1"/>
    <x v="3"/>
    <s v="Rice"/>
    <n v="7"/>
    <n v="1830.46"/>
    <n v="11531.897999999999"/>
    <n v="1281.3220000000001"/>
    <n v="12813.22"/>
    <n v="2306.3795999999998"/>
    <n v="15119.5996"/>
    <s v="Pakistan"/>
    <x v="1"/>
  </r>
  <r>
    <x v="321"/>
    <x v="1"/>
    <x v="11"/>
    <x v="1"/>
    <x v="1"/>
    <x v="1"/>
    <s v="Notebook"/>
    <n v="19"/>
    <n v="3901.75"/>
    <n v="66719.925000000003"/>
    <n v="7413.3250000000007"/>
    <n v="74133.25"/>
    <n v="13343.984999999999"/>
    <n v="87477.235000000001"/>
    <s v="Pakistan"/>
    <x v="1"/>
  </r>
  <r>
    <x v="322"/>
    <x v="1"/>
    <x v="1"/>
    <x v="1"/>
    <x v="1"/>
    <x v="3"/>
    <s v="Lentils"/>
    <n v="10"/>
    <n v="3031.91"/>
    <n v="27287.19"/>
    <n v="3031.91"/>
    <n v="30319.1"/>
    <n v="5457.4379999999992"/>
    <n v="35776.538"/>
    <s v="Pakistan"/>
    <x v="1"/>
  </r>
  <r>
    <x v="197"/>
    <x v="5"/>
    <x v="0"/>
    <x v="0"/>
    <x v="0"/>
    <x v="1"/>
    <s v="Ruler"/>
    <n v="18"/>
    <n v="3575.04"/>
    <n v="57915.648000000001"/>
    <n v="6435.0720000000001"/>
    <n v="64350.720000000001"/>
    <n v="11583.1296"/>
    <n v="75933.849600000001"/>
    <s v="Pakistan"/>
    <x v="0"/>
  </r>
  <r>
    <x v="323"/>
    <x v="6"/>
    <x v="2"/>
    <x v="2"/>
    <x v="2"/>
    <x v="3"/>
    <s v="Sugar"/>
    <n v="17"/>
    <n v="2920.06"/>
    <n v="44676.917999999998"/>
    <n v="4964.1019999999999"/>
    <n v="49641.02"/>
    <n v="8935.3835999999992"/>
    <n v="58576.403599999998"/>
    <s v="Pakistan"/>
    <x v="2"/>
  </r>
  <r>
    <x v="309"/>
    <x v="7"/>
    <x v="4"/>
    <x v="2"/>
    <x v="2"/>
    <x v="4"/>
    <s v="Tablet"/>
    <n v="15"/>
    <n v="2796.48"/>
    <n v="37752.479999999996"/>
    <n v="4194.72"/>
    <n v="41947.199999999997"/>
    <n v="7550.4959999999992"/>
    <n v="49497.695999999996"/>
    <s v="Pakistan"/>
    <x v="2"/>
  </r>
  <r>
    <x v="324"/>
    <x v="4"/>
    <x v="5"/>
    <x v="2"/>
    <x v="2"/>
    <x v="4"/>
    <s v="Laptop"/>
    <n v="1"/>
    <n v="2918.29"/>
    <n v="2626.4610000000002"/>
    <n v="291.82900000000001"/>
    <n v="2918.29"/>
    <n v="525.29219999999998"/>
    <n v="3443.5821999999998"/>
    <s v="Pakistan"/>
    <x v="2"/>
  </r>
  <r>
    <x v="325"/>
    <x v="6"/>
    <x v="7"/>
    <x v="1"/>
    <x v="1"/>
    <x v="0"/>
    <s v="Bed"/>
    <n v="10"/>
    <n v="1097.83"/>
    <n v="9880.4699999999993"/>
    <n v="1097.83"/>
    <n v="10978.3"/>
    <n v="1976.0939999999998"/>
    <n v="12954.393999999998"/>
    <s v="Pakistan"/>
    <x v="1"/>
  </r>
  <r>
    <x v="258"/>
    <x v="0"/>
    <x v="4"/>
    <x v="2"/>
    <x v="2"/>
    <x v="2"/>
    <s v="Shirt"/>
    <n v="10"/>
    <n v="3391.5"/>
    <n v="30523.5"/>
    <n v="3391.5"/>
    <n v="33915"/>
    <n v="6104.7"/>
    <n v="40019.699999999997"/>
    <s v="Pakistan"/>
    <x v="2"/>
  </r>
  <r>
    <x v="53"/>
    <x v="8"/>
    <x v="4"/>
    <x v="2"/>
    <x v="2"/>
    <x v="3"/>
    <s v="Sugar"/>
    <n v="13"/>
    <n v="2225.88"/>
    <n v="26042.795999999998"/>
    <n v="2893.6440000000002"/>
    <n v="28936.44"/>
    <n v="5208.5591999999997"/>
    <n v="34144.999199999998"/>
    <s v="Pakistan"/>
    <x v="2"/>
  </r>
  <r>
    <x v="298"/>
    <x v="5"/>
    <x v="9"/>
    <x v="3"/>
    <x v="3"/>
    <x v="2"/>
    <s v="Shirt"/>
    <n v="2"/>
    <n v="1559.76"/>
    <n v="2807.5680000000002"/>
    <n v="311.952"/>
    <n v="3119.52"/>
    <n v="561.5136"/>
    <n v="3681.0335999999998"/>
    <s v="Pakistan"/>
    <x v="3"/>
  </r>
  <r>
    <x v="124"/>
    <x v="2"/>
    <x v="13"/>
    <x v="1"/>
    <x v="1"/>
    <x v="3"/>
    <s v="Rice"/>
    <n v="13"/>
    <n v="4719.96"/>
    <n v="55223.532000000007"/>
    <n v="6135.9480000000003"/>
    <n v="61359.48"/>
    <n v="11044.706400000001"/>
    <n v="72404.186400000006"/>
    <s v="Pakistan"/>
    <x v="1"/>
  </r>
  <r>
    <x v="326"/>
    <x v="9"/>
    <x v="2"/>
    <x v="2"/>
    <x v="2"/>
    <x v="1"/>
    <s v="Eraser"/>
    <n v="5"/>
    <n v="1593.02"/>
    <n v="7168.59"/>
    <n v="796.5100000000001"/>
    <n v="7965.1"/>
    <n v="1433.7180000000001"/>
    <n v="9398.8180000000011"/>
    <s v="Pakistan"/>
    <x v="2"/>
  </r>
  <r>
    <x v="39"/>
    <x v="4"/>
    <x v="5"/>
    <x v="2"/>
    <x v="2"/>
    <x v="2"/>
    <s v="Dress"/>
    <n v="7"/>
    <n v="1233.6300000000001"/>
    <n v="7771.8689999999997"/>
    <n v="863.54100000000005"/>
    <n v="8635.41"/>
    <n v="1554.3737999999998"/>
    <n v="10189.783799999999"/>
    <s v="Pakistan"/>
    <x v="2"/>
  </r>
  <r>
    <x v="112"/>
    <x v="3"/>
    <x v="3"/>
    <x v="3"/>
    <x v="3"/>
    <x v="4"/>
    <s v="Smartphone"/>
    <n v="2"/>
    <n v="2261.69"/>
    <n v="4071.0420000000004"/>
    <n v="452.33800000000002"/>
    <n v="4523.38"/>
    <n v="814.20839999999998"/>
    <n v="5337.5884000000005"/>
    <s v="Pakistan"/>
    <x v="3"/>
  </r>
  <r>
    <x v="83"/>
    <x v="6"/>
    <x v="1"/>
    <x v="1"/>
    <x v="1"/>
    <x v="3"/>
    <s v="Sugar"/>
    <n v="15"/>
    <n v="1197.31"/>
    <n v="16163.685000000001"/>
    <n v="1795.9650000000001"/>
    <n v="17959.650000000001"/>
    <n v="3232.7370000000001"/>
    <n v="21192.387000000002"/>
    <s v="Pakistan"/>
    <x v="1"/>
  </r>
  <r>
    <x v="300"/>
    <x v="1"/>
    <x v="6"/>
    <x v="0"/>
    <x v="0"/>
    <x v="1"/>
    <s v="Eraser"/>
    <n v="9"/>
    <n v="3441.09"/>
    <n v="27872.829000000002"/>
    <n v="3096.9810000000002"/>
    <n v="30969.81"/>
    <n v="5574.5658000000003"/>
    <n v="36544.375800000002"/>
    <s v="Pakistan"/>
    <x v="0"/>
  </r>
  <r>
    <x v="239"/>
    <x v="1"/>
    <x v="4"/>
    <x v="2"/>
    <x v="2"/>
    <x v="0"/>
    <s v="Sofa"/>
    <n v="2"/>
    <n v="3325.99"/>
    <n v="5986.7820000000002"/>
    <n v="665.19799999999998"/>
    <n v="6651.98"/>
    <n v="1197.3563999999999"/>
    <n v="7849.3363999999992"/>
    <s v="Pakistan"/>
    <x v="2"/>
  </r>
  <r>
    <x v="274"/>
    <x v="9"/>
    <x v="4"/>
    <x v="2"/>
    <x v="2"/>
    <x v="2"/>
    <s v="Dress"/>
    <n v="2"/>
    <n v="991.8"/>
    <n v="1785.24"/>
    <n v="198.36"/>
    <n v="1983.6"/>
    <n v="357.04799999999994"/>
    <n v="2340.6479999999997"/>
    <s v="Pakistan"/>
    <x v="2"/>
  </r>
  <r>
    <x v="310"/>
    <x v="8"/>
    <x v="4"/>
    <x v="2"/>
    <x v="2"/>
    <x v="3"/>
    <s v="Lentils"/>
    <n v="9"/>
    <n v="4763.01"/>
    <n v="38580.381000000001"/>
    <n v="4286.7089999999998"/>
    <n v="42867.09"/>
    <n v="7716.0761999999995"/>
    <n v="50583.166199999992"/>
    <s v="Pakistan"/>
    <x v="2"/>
  </r>
  <r>
    <x v="117"/>
    <x v="7"/>
    <x v="13"/>
    <x v="1"/>
    <x v="1"/>
    <x v="2"/>
    <s v="Jacket"/>
    <n v="8"/>
    <n v="826.71"/>
    <n v="5952.3120000000008"/>
    <n v="661.36800000000005"/>
    <n v="6613.68"/>
    <n v="1190.4624000000001"/>
    <n v="7804.1424000000006"/>
    <s v="Pakistan"/>
    <x v="1"/>
  </r>
  <r>
    <x v="7"/>
    <x v="0"/>
    <x v="2"/>
    <x v="2"/>
    <x v="2"/>
    <x v="3"/>
    <s v="Oil"/>
    <n v="9"/>
    <n v="209.57"/>
    <n v="1697.5170000000001"/>
    <n v="188.61300000000003"/>
    <n v="1886.13"/>
    <n v="339.5034"/>
    <n v="2225.6334000000002"/>
    <s v="Pakistan"/>
    <x v="2"/>
  </r>
  <r>
    <x v="184"/>
    <x v="4"/>
    <x v="2"/>
    <x v="2"/>
    <x v="2"/>
    <x v="4"/>
    <s v="Headphones"/>
    <n v="7"/>
    <n v="2538.4299999999998"/>
    <n v="15992.108999999999"/>
    <n v="1776.9009999999998"/>
    <n v="17769.009999999998"/>
    <n v="3198.4217999999996"/>
    <n v="20967.431799999998"/>
    <s v="Pakistan"/>
    <x v="2"/>
  </r>
  <r>
    <x v="256"/>
    <x v="3"/>
    <x v="10"/>
    <x v="2"/>
    <x v="2"/>
    <x v="3"/>
    <s v="Sugar"/>
    <n v="7"/>
    <n v="4116.9799999999996"/>
    <n v="25936.974000000002"/>
    <n v="2881.8860000000004"/>
    <n v="28818.86"/>
    <n v="5187.3948"/>
    <n v="34006.254800000002"/>
    <s v="Pakistan"/>
    <x v="2"/>
  </r>
  <r>
    <x v="224"/>
    <x v="1"/>
    <x v="9"/>
    <x v="3"/>
    <x v="3"/>
    <x v="4"/>
    <s v="Laptop"/>
    <n v="20"/>
    <n v="3638.01"/>
    <n v="65484.18"/>
    <n v="7276.02"/>
    <n v="72760.2"/>
    <n v="13096.835999999999"/>
    <n v="85857.035999999993"/>
    <s v="Pakistan"/>
    <x v="3"/>
  </r>
  <r>
    <x v="321"/>
    <x v="9"/>
    <x v="8"/>
    <x v="2"/>
    <x v="2"/>
    <x v="0"/>
    <s v="Sofa"/>
    <n v="8"/>
    <n v="4523.4399999999996"/>
    <n v="32568.767999999996"/>
    <n v="3618.752"/>
    <n v="36187.519999999997"/>
    <n v="6513.7535999999991"/>
    <n v="42701.273599999993"/>
    <s v="Pakistan"/>
    <x v="2"/>
  </r>
  <r>
    <x v="317"/>
    <x v="3"/>
    <x v="4"/>
    <x v="2"/>
    <x v="2"/>
    <x v="0"/>
    <s v="Bed"/>
    <n v="17"/>
    <n v="2042"/>
    <n v="31242.600000000002"/>
    <n v="3471.4"/>
    <n v="34714"/>
    <n v="6248.5199999999995"/>
    <n v="40962.519999999997"/>
    <s v="Pakistan"/>
    <x v="2"/>
  </r>
  <r>
    <x v="102"/>
    <x v="9"/>
    <x v="3"/>
    <x v="3"/>
    <x v="3"/>
    <x v="1"/>
    <s v="Ruler"/>
    <n v="19"/>
    <n v="2357.62"/>
    <n v="40315.302000000003"/>
    <n v="4479.4780000000001"/>
    <n v="44794.78"/>
    <n v="8063.0603999999994"/>
    <n v="52857.840400000001"/>
    <s v="Pakistan"/>
    <x v="3"/>
  </r>
  <r>
    <x v="46"/>
    <x v="2"/>
    <x v="6"/>
    <x v="0"/>
    <x v="0"/>
    <x v="2"/>
    <s v="Dress"/>
    <n v="18"/>
    <n v="941.19"/>
    <n v="15247.277999999998"/>
    <n v="1694.1419999999998"/>
    <n v="16941.419999999998"/>
    <n v="3049.4555999999998"/>
    <n v="19990.875599999999"/>
    <s v="Pakistan"/>
    <x v="0"/>
  </r>
  <r>
    <x v="244"/>
    <x v="8"/>
    <x v="1"/>
    <x v="1"/>
    <x v="1"/>
    <x v="2"/>
    <s v="Shirt"/>
    <n v="9"/>
    <n v="3927.83"/>
    <n v="31815.423000000003"/>
    <n v="3535.0470000000005"/>
    <n v="35350.47"/>
    <n v="6363.0846000000001"/>
    <n v="41713.554600000003"/>
    <s v="Pakistan"/>
    <x v="1"/>
  </r>
  <r>
    <x v="140"/>
    <x v="1"/>
    <x v="2"/>
    <x v="2"/>
    <x v="2"/>
    <x v="3"/>
    <s v="Sugar"/>
    <n v="1"/>
    <n v="4555.42"/>
    <n v="4099.8780000000006"/>
    <n v="455.54200000000003"/>
    <n v="4555.42"/>
    <n v="819.97559999999999"/>
    <n v="5375.3955999999998"/>
    <s v="Pakistan"/>
    <x v="2"/>
  </r>
  <r>
    <x v="207"/>
    <x v="4"/>
    <x v="0"/>
    <x v="0"/>
    <x v="0"/>
    <x v="2"/>
    <s v="Shirt"/>
    <n v="18"/>
    <n v="3271.29"/>
    <n v="52994.898000000001"/>
    <n v="5888.3220000000001"/>
    <n v="58883.22"/>
    <n v="10598.979600000001"/>
    <n v="69482.199600000007"/>
    <s v="Pakistan"/>
    <x v="0"/>
  </r>
  <r>
    <x v="71"/>
    <x v="0"/>
    <x v="13"/>
    <x v="1"/>
    <x v="1"/>
    <x v="4"/>
    <s v="Smartphone"/>
    <n v="15"/>
    <n v="4406.3100000000004"/>
    <n v="59485.184999999998"/>
    <n v="6609.4650000000001"/>
    <n v="66094.649999999994"/>
    <n v="11897.036999999998"/>
    <n v="77991.686999999991"/>
    <s v="Pakistan"/>
    <x v="1"/>
  </r>
  <r>
    <x v="58"/>
    <x v="7"/>
    <x v="10"/>
    <x v="2"/>
    <x v="2"/>
    <x v="1"/>
    <s v="Notebook"/>
    <n v="19"/>
    <n v="2016.56"/>
    <n v="34483.175999999999"/>
    <n v="3831.4639999999999"/>
    <n v="38314.639999999999"/>
    <n v="6896.6351999999997"/>
    <n v="45211.275199999996"/>
    <s v="Pakistan"/>
    <x v="2"/>
  </r>
  <r>
    <x v="295"/>
    <x v="7"/>
    <x v="13"/>
    <x v="1"/>
    <x v="1"/>
    <x v="0"/>
    <s v="Chair"/>
    <n v="13"/>
    <n v="3531.03"/>
    <n v="41313.050999999999"/>
    <n v="4590.3389999999999"/>
    <n v="45903.39"/>
    <n v="8262.6101999999992"/>
    <n v="54166.000199999995"/>
    <s v="Pakistan"/>
    <x v="1"/>
  </r>
  <r>
    <x v="327"/>
    <x v="5"/>
    <x v="1"/>
    <x v="1"/>
    <x v="1"/>
    <x v="0"/>
    <s v="Table"/>
    <n v="7"/>
    <n v="4077.95"/>
    <n v="25691.085000000003"/>
    <n v="2854.5650000000005"/>
    <n v="28545.65"/>
    <n v="5138.2169999999996"/>
    <n v="33683.866999999998"/>
    <s v="Pakistan"/>
    <x v="1"/>
  </r>
  <r>
    <x v="236"/>
    <x v="4"/>
    <x v="6"/>
    <x v="0"/>
    <x v="0"/>
    <x v="3"/>
    <s v="Oil"/>
    <n v="1"/>
    <n v="1628.88"/>
    <n v="1465.9920000000002"/>
    <n v="162.88800000000003"/>
    <n v="1628.88"/>
    <n v="293.19839999999999"/>
    <n v="1922.0784000000001"/>
    <s v="Pakistan"/>
    <x v="0"/>
  </r>
  <r>
    <x v="18"/>
    <x v="1"/>
    <x v="2"/>
    <x v="2"/>
    <x v="2"/>
    <x v="2"/>
    <s v="Dress"/>
    <n v="15"/>
    <n v="2093.0300000000002"/>
    <n v="28255.905000000002"/>
    <n v="3139.5450000000001"/>
    <n v="31395.45"/>
    <n v="5651.1809999999996"/>
    <n v="37046.631000000001"/>
    <s v="Pakistan"/>
    <x v="2"/>
  </r>
  <r>
    <x v="84"/>
    <x v="8"/>
    <x v="11"/>
    <x v="1"/>
    <x v="1"/>
    <x v="2"/>
    <s v="Shirt"/>
    <n v="14"/>
    <n v="2441.0700000000002"/>
    <n v="30757.482000000004"/>
    <n v="3417.4980000000005"/>
    <n v="34174.980000000003"/>
    <n v="6151.4964"/>
    <n v="40326.4764"/>
    <s v="Pakistan"/>
    <x v="1"/>
  </r>
  <r>
    <x v="146"/>
    <x v="9"/>
    <x v="9"/>
    <x v="3"/>
    <x v="3"/>
    <x v="0"/>
    <s v="Sofa"/>
    <n v="18"/>
    <n v="134.66999999999999"/>
    <n v="2181.654"/>
    <n v="242.40600000000001"/>
    <n v="2424.06"/>
    <n v="436.33079999999995"/>
    <n v="2860.3908000000001"/>
    <s v="Pakistan"/>
    <x v="3"/>
  </r>
  <r>
    <x v="249"/>
    <x v="1"/>
    <x v="6"/>
    <x v="0"/>
    <x v="0"/>
    <x v="4"/>
    <s v="Headphones"/>
    <n v="8"/>
    <n v="2518.13"/>
    <n v="18130.536"/>
    <n v="2014.5040000000001"/>
    <n v="20145.04"/>
    <n v="3626.1071999999999"/>
    <n v="23771.147199999999"/>
    <s v="Pakistan"/>
    <x v="0"/>
  </r>
  <r>
    <x v="61"/>
    <x v="2"/>
    <x v="11"/>
    <x v="1"/>
    <x v="1"/>
    <x v="1"/>
    <s v="Pen"/>
    <n v="1"/>
    <n v="2366.64"/>
    <n v="2129.9760000000001"/>
    <n v="236.66399999999999"/>
    <n v="2366.64"/>
    <n v="425.99519999999995"/>
    <n v="2792.6351999999997"/>
    <s v="Pakistan"/>
    <x v="1"/>
  </r>
  <r>
    <x v="269"/>
    <x v="1"/>
    <x v="4"/>
    <x v="2"/>
    <x v="2"/>
    <x v="1"/>
    <s v="Ruler"/>
    <n v="14"/>
    <n v="3167.49"/>
    <n v="39910.374000000003"/>
    <n v="4434.4859999999999"/>
    <n v="44344.86"/>
    <n v="7982.0747999999994"/>
    <n v="52326.934800000003"/>
    <s v="Pakistan"/>
    <x v="2"/>
  </r>
  <r>
    <x v="328"/>
    <x v="4"/>
    <x v="4"/>
    <x v="2"/>
    <x v="2"/>
    <x v="4"/>
    <s v="Laptop"/>
    <n v="9"/>
    <n v="109.56"/>
    <n v="887.43600000000004"/>
    <n v="98.603999999999999"/>
    <n v="986.04"/>
    <n v="177.48719999999997"/>
    <n v="1163.5272"/>
    <s v="Pakistan"/>
    <x v="2"/>
  </r>
  <r>
    <x v="15"/>
    <x v="5"/>
    <x v="11"/>
    <x v="1"/>
    <x v="1"/>
    <x v="4"/>
    <s v="Tablet"/>
    <n v="20"/>
    <n v="652.87"/>
    <n v="11751.66"/>
    <n v="1305.74"/>
    <n v="13057.4"/>
    <n v="2350.3319999999999"/>
    <n v="15407.732"/>
    <s v="Pakistan"/>
    <x v="1"/>
  </r>
  <r>
    <x v="129"/>
    <x v="4"/>
    <x v="2"/>
    <x v="2"/>
    <x v="2"/>
    <x v="2"/>
    <s v="Shirt"/>
    <n v="4"/>
    <n v="2563.65"/>
    <n v="9229.1400000000012"/>
    <n v="1025.46"/>
    <n v="10254.6"/>
    <n v="1845.828"/>
    <n v="12100.428"/>
    <s v="Pakistan"/>
    <x v="2"/>
  </r>
  <r>
    <x v="92"/>
    <x v="3"/>
    <x v="5"/>
    <x v="2"/>
    <x v="2"/>
    <x v="3"/>
    <s v="Rice"/>
    <n v="2"/>
    <n v="771.23"/>
    <n v="1388.2140000000002"/>
    <n v="154.24600000000001"/>
    <n v="1542.46"/>
    <n v="277.64280000000002"/>
    <n v="1820.1028000000001"/>
    <s v="Pakistan"/>
    <x v="2"/>
  </r>
  <r>
    <x v="175"/>
    <x v="6"/>
    <x v="3"/>
    <x v="3"/>
    <x v="3"/>
    <x v="2"/>
    <s v="Shirt"/>
    <n v="19"/>
    <n v="2290.6799999999998"/>
    <n v="39170.627999999997"/>
    <n v="4352.2920000000004"/>
    <n v="43522.92"/>
    <n v="7834.1255999999994"/>
    <n v="51357.045599999998"/>
    <s v="Pakistan"/>
    <x v="3"/>
  </r>
  <r>
    <x v="33"/>
    <x v="4"/>
    <x v="12"/>
    <x v="1"/>
    <x v="1"/>
    <x v="1"/>
    <s v="Eraser"/>
    <n v="9"/>
    <n v="4965.3"/>
    <n v="40218.93"/>
    <n v="4468.7699999999995"/>
    <n v="44687.7"/>
    <n v="8043.7859999999991"/>
    <n v="52731.485999999997"/>
    <s v="Pakistan"/>
    <x v="1"/>
  </r>
  <r>
    <x v="261"/>
    <x v="3"/>
    <x v="0"/>
    <x v="0"/>
    <x v="0"/>
    <x v="4"/>
    <s v="Laptop"/>
    <n v="4"/>
    <n v="3684.5"/>
    <n v="13264.2"/>
    <n v="1473.8000000000002"/>
    <n v="14738"/>
    <n v="2652.8399999999997"/>
    <n v="17390.84"/>
    <s v="Pakistan"/>
    <x v="0"/>
  </r>
  <r>
    <x v="159"/>
    <x v="2"/>
    <x v="7"/>
    <x v="1"/>
    <x v="1"/>
    <x v="3"/>
    <s v="Oil"/>
    <n v="14"/>
    <n v="4566.12"/>
    <n v="57533.112000000001"/>
    <n v="6392.5680000000002"/>
    <n v="63925.68"/>
    <n v="11506.6224"/>
    <n v="75432.3024"/>
    <s v="Pakistan"/>
    <x v="1"/>
  </r>
  <r>
    <x v="52"/>
    <x v="5"/>
    <x v="5"/>
    <x v="2"/>
    <x v="2"/>
    <x v="0"/>
    <s v="Chair"/>
    <n v="17"/>
    <n v="2246.8200000000002"/>
    <n v="34376.346000000005"/>
    <n v="3819.5940000000005"/>
    <n v="38195.94"/>
    <n v="6875.2691999999997"/>
    <n v="45071.209200000005"/>
    <s v="Pakistan"/>
    <x v="2"/>
  </r>
  <r>
    <x v="146"/>
    <x v="2"/>
    <x v="4"/>
    <x v="2"/>
    <x v="2"/>
    <x v="1"/>
    <s v="Ruler"/>
    <n v="3"/>
    <n v="215.21"/>
    <n v="581.06700000000001"/>
    <n v="64.563000000000002"/>
    <n v="645.63"/>
    <n v="116.21339999999999"/>
    <n v="761.84339999999997"/>
    <s v="Pakistan"/>
    <x v="2"/>
  </r>
  <r>
    <x v="322"/>
    <x v="9"/>
    <x v="2"/>
    <x v="2"/>
    <x v="2"/>
    <x v="4"/>
    <s v="Headphones"/>
    <n v="7"/>
    <n v="1294.31"/>
    <n v="8154.1530000000002"/>
    <n v="906.01700000000005"/>
    <n v="9060.17"/>
    <n v="1630.8306"/>
    <n v="10691.000599999999"/>
    <s v="Pakistan"/>
    <x v="2"/>
  </r>
  <r>
    <x v="211"/>
    <x v="4"/>
    <x v="13"/>
    <x v="1"/>
    <x v="1"/>
    <x v="3"/>
    <s v="Oil"/>
    <n v="9"/>
    <n v="1558.74"/>
    <n v="12625.794"/>
    <n v="1402.866"/>
    <n v="14028.66"/>
    <n v="2525.1587999999997"/>
    <n v="16553.818800000001"/>
    <s v="Pakistan"/>
    <x v="1"/>
  </r>
  <r>
    <x v="95"/>
    <x v="7"/>
    <x v="1"/>
    <x v="1"/>
    <x v="1"/>
    <x v="1"/>
    <s v="Notebook"/>
    <n v="11"/>
    <n v="4382.91"/>
    <n v="43390.809000000001"/>
    <n v="4821.201"/>
    <n v="48212.01"/>
    <n v="8678.1617999999999"/>
    <n v="56890.171800000004"/>
    <s v="Pakistan"/>
    <x v="1"/>
  </r>
  <r>
    <x v="277"/>
    <x v="4"/>
    <x v="4"/>
    <x v="2"/>
    <x v="2"/>
    <x v="4"/>
    <s v="Smartphone"/>
    <n v="6"/>
    <n v="4197.59"/>
    <n v="22666.986000000001"/>
    <n v="2518.5540000000001"/>
    <n v="25185.54"/>
    <n v="4533.3972000000003"/>
    <n v="29718.9372"/>
    <s v="Pakistan"/>
    <x v="2"/>
  </r>
  <r>
    <x v="42"/>
    <x v="0"/>
    <x v="5"/>
    <x v="2"/>
    <x v="2"/>
    <x v="1"/>
    <s v="Notebook"/>
    <n v="2"/>
    <n v="4137.49"/>
    <n v="7447.482"/>
    <n v="827.49800000000005"/>
    <n v="8274.98"/>
    <n v="1489.4963999999998"/>
    <n v="9764.4763999999996"/>
    <s v="Pakistan"/>
    <x v="2"/>
  </r>
  <r>
    <x v="185"/>
    <x v="6"/>
    <x v="11"/>
    <x v="1"/>
    <x v="1"/>
    <x v="4"/>
    <s v="Smartphone"/>
    <n v="16"/>
    <n v="1598.06"/>
    <n v="23012.063999999998"/>
    <n v="2556.8960000000002"/>
    <n v="25568.959999999999"/>
    <n v="4602.4128000000001"/>
    <n v="30171.372799999997"/>
    <s v="Pakistan"/>
    <x v="1"/>
  </r>
  <r>
    <x v="326"/>
    <x v="1"/>
    <x v="4"/>
    <x v="2"/>
    <x v="2"/>
    <x v="0"/>
    <s v="Chair"/>
    <n v="3"/>
    <n v="3044.02"/>
    <n v="8218.8539999999994"/>
    <n v="913.20600000000002"/>
    <n v="9132.06"/>
    <n v="1643.7707999999998"/>
    <n v="10775.8308"/>
    <s v="Pakistan"/>
    <x v="2"/>
  </r>
  <r>
    <x v="100"/>
    <x v="0"/>
    <x v="9"/>
    <x v="3"/>
    <x v="3"/>
    <x v="2"/>
    <s v="Jacket"/>
    <n v="6"/>
    <n v="4270.03"/>
    <n v="23058.162"/>
    <n v="2562.018"/>
    <n v="25620.18"/>
    <n v="4611.6323999999995"/>
    <n v="30231.812399999999"/>
    <s v="Pakistan"/>
    <x v="3"/>
  </r>
  <r>
    <x v="170"/>
    <x v="1"/>
    <x v="9"/>
    <x v="3"/>
    <x v="3"/>
    <x v="0"/>
    <s v="Chair"/>
    <n v="13"/>
    <n v="298.08999999999997"/>
    <n v="3487.6530000000002"/>
    <n v="387.51700000000005"/>
    <n v="3875.17"/>
    <n v="697.53059999999994"/>
    <n v="4572.7006000000001"/>
    <s v="Pakistan"/>
    <x v="3"/>
  </r>
  <r>
    <x v="88"/>
    <x v="6"/>
    <x v="13"/>
    <x v="1"/>
    <x v="1"/>
    <x v="4"/>
    <s v="Laptop"/>
    <n v="3"/>
    <n v="1453.68"/>
    <n v="3924.9360000000001"/>
    <n v="436.10400000000004"/>
    <n v="4361.04"/>
    <n v="784.98719999999992"/>
    <n v="5146.0271999999995"/>
    <s v="Pakistan"/>
    <x v="1"/>
  </r>
  <r>
    <x v="114"/>
    <x v="8"/>
    <x v="11"/>
    <x v="1"/>
    <x v="1"/>
    <x v="1"/>
    <s v="Pen"/>
    <n v="4"/>
    <n v="1009.78"/>
    <n v="3635.2080000000001"/>
    <n v="403.91200000000003"/>
    <n v="4039.12"/>
    <n v="727.0415999999999"/>
    <n v="4766.1615999999995"/>
    <s v="Pakistan"/>
    <x v="1"/>
  </r>
  <r>
    <x v="109"/>
    <x v="0"/>
    <x v="3"/>
    <x v="3"/>
    <x v="3"/>
    <x v="4"/>
    <s v="Headphones"/>
    <n v="12"/>
    <n v="231.07"/>
    <n v="2495.556"/>
    <n v="277.28400000000005"/>
    <n v="2772.84"/>
    <n v="499.1112"/>
    <n v="3271.9512"/>
    <s v="Pakistan"/>
    <x v="3"/>
  </r>
  <r>
    <x v="46"/>
    <x v="0"/>
    <x v="0"/>
    <x v="0"/>
    <x v="0"/>
    <x v="4"/>
    <s v="Laptop"/>
    <n v="12"/>
    <n v="1410.03"/>
    <n v="15228.324000000001"/>
    <n v="1692.0360000000001"/>
    <n v="16920.36"/>
    <n v="3045.6648"/>
    <n v="19966.024799999999"/>
    <s v="Pakistan"/>
    <x v="0"/>
  </r>
  <r>
    <x v="329"/>
    <x v="6"/>
    <x v="9"/>
    <x v="3"/>
    <x v="3"/>
    <x v="1"/>
    <s v="Eraser"/>
    <n v="6"/>
    <n v="1610.91"/>
    <n v="8698.9139999999989"/>
    <n v="966.54599999999994"/>
    <n v="9665.4599999999991"/>
    <n v="1739.7827999999997"/>
    <n v="11405.242799999998"/>
    <s v="Pakistan"/>
    <x v="3"/>
  </r>
  <r>
    <x v="70"/>
    <x v="7"/>
    <x v="12"/>
    <x v="1"/>
    <x v="1"/>
    <x v="1"/>
    <s v="Eraser"/>
    <n v="7"/>
    <n v="3396.62"/>
    <n v="21398.706000000002"/>
    <n v="2377.634"/>
    <n v="23776.34"/>
    <n v="4279.7411999999995"/>
    <n v="28056.081200000001"/>
    <s v="Pakistan"/>
    <x v="1"/>
  </r>
  <r>
    <x v="104"/>
    <x v="9"/>
    <x v="12"/>
    <x v="1"/>
    <x v="1"/>
    <x v="1"/>
    <s v="Pen"/>
    <n v="14"/>
    <n v="4164.33"/>
    <n v="52470.558000000005"/>
    <n v="5830.0620000000008"/>
    <n v="58300.62"/>
    <n v="10494.1116"/>
    <n v="68794.731599999999"/>
    <s v="Pakistan"/>
    <x v="1"/>
  </r>
  <r>
    <x v="28"/>
    <x v="9"/>
    <x v="0"/>
    <x v="0"/>
    <x v="0"/>
    <x v="0"/>
    <s v="Bed"/>
    <n v="12"/>
    <n v="4414.2700000000004"/>
    <n v="47674.116000000002"/>
    <n v="5297.1239999999998"/>
    <n v="52971.24"/>
    <n v="9534.8231999999989"/>
    <n v="62506.063199999997"/>
    <s v="Pakistan"/>
    <x v="0"/>
  </r>
  <r>
    <x v="283"/>
    <x v="7"/>
    <x v="5"/>
    <x v="2"/>
    <x v="2"/>
    <x v="2"/>
    <s v="Jacket"/>
    <n v="13"/>
    <n v="3101.42"/>
    <n v="36286.614000000001"/>
    <n v="4031.846"/>
    <n v="40318.46"/>
    <n v="7257.3227999999999"/>
    <n v="47575.782800000001"/>
    <s v="Pakistan"/>
    <x v="2"/>
  </r>
  <r>
    <x v="211"/>
    <x v="8"/>
    <x v="3"/>
    <x v="3"/>
    <x v="3"/>
    <x v="1"/>
    <s v="Notebook"/>
    <n v="18"/>
    <n v="3002.55"/>
    <n v="48641.310000000005"/>
    <n v="5404.59"/>
    <n v="54045.9"/>
    <n v="9728.2620000000006"/>
    <n v="63774.162000000004"/>
    <s v="Pakistan"/>
    <x v="3"/>
  </r>
  <r>
    <x v="202"/>
    <x v="0"/>
    <x v="8"/>
    <x v="2"/>
    <x v="2"/>
    <x v="0"/>
    <s v="Table"/>
    <n v="13"/>
    <n v="2098.65"/>
    <n v="24554.205000000002"/>
    <n v="2728.2450000000003"/>
    <n v="27282.45"/>
    <n v="4910.8410000000003"/>
    <n v="32193.291000000001"/>
    <s v="Pakistan"/>
    <x v="2"/>
  </r>
  <r>
    <x v="288"/>
    <x v="7"/>
    <x v="10"/>
    <x v="2"/>
    <x v="2"/>
    <x v="4"/>
    <s v="Smartphone"/>
    <n v="5"/>
    <n v="4106.79"/>
    <n v="18480.555"/>
    <n v="2053.395"/>
    <n v="20533.95"/>
    <n v="3696.1109999999999"/>
    <n v="24230.061000000002"/>
    <s v="Pakistan"/>
    <x v="2"/>
  </r>
  <r>
    <x v="97"/>
    <x v="3"/>
    <x v="11"/>
    <x v="1"/>
    <x v="1"/>
    <x v="2"/>
    <s v="Dress"/>
    <n v="1"/>
    <n v="3041.26"/>
    <n v="2737.1340000000005"/>
    <n v="304.12600000000003"/>
    <n v="3041.26"/>
    <n v="547.42680000000007"/>
    <n v="3588.6868000000004"/>
    <s v="Pakistan"/>
    <x v="1"/>
  </r>
  <r>
    <x v="115"/>
    <x v="3"/>
    <x v="4"/>
    <x v="2"/>
    <x v="2"/>
    <x v="1"/>
    <s v="Eraser"/>
    <n v="7"/>
    <n v="4514.21"/>
    <n v="28439.523000000001"/>
    <n v="3159.9470000000001"/>
    <n v="31599.47"/>
    <n v="5687.9045999999998"/>
    <n v="37287.374600000003"/>
    <s v="Pakistan"/>
    <x v="2"/>
  </r>
  <r>
    <x v="307"/>
    <x v="9"/>
    <x v="5"/>
    <x v="2"/>
    <x v="2"/>
    <x v="2"/>
    <s v="Dress"/>
    <n v="18"/>
    <n v="2971.68"/>
    <n v="48141.216"/>
    <n v="5349.0240000000003"/>
    <n v="53490.239999999998"/>
    <n v="9628.243199999999"/>
    <n v="63118.483199999995"/>
    <s v="Pakistan"/>
    <x v="2"/>
  </r>
  <r>
    <x v="34"/>
    <x v="6"/>
    <x v="6"/>
    <x v="0"/>
    <x v="0"/>
    <x v="3"/>
    <s v="Lentils"/>
    <n v="6"/>
    <n v="2263.36"/>
    <n v="12222.144"/>
    <n v="1358.0160000000001"/>
    <n v="13580.16"/>
    <n v="2444.4287999999997"/>
    <n v="16024.5888"/>
    <s v="Pakistan"/>
    <x v="0"/>
  </r>
  <r>
    <x v="330"/>
    <x v="0"/>
    <x v="1"/>
    <x v="1"/>
    <x v="1"/>
    <x v="0"/>
    <s v="Sofa"/>
    <n v="8"/>
    <n v="3859.28"/>
    <n v="27786.816000000003"/>
    <n v="3087.4240000000004"/>
    <n v="30874.240000000002"/>
    <n v="5557.3631999999998"/>
    <n v="36431.603199999998"/>
    <s v="Pakistan"/>
    <x v="1"/>
  </r>
  <r>
    <x v="240"/>
    <x v="7"/>
    <x v="0"/>
    <x v="0"/>
    <x v="0"/>
    <x v="0"/>
    <s v="Chair"/>
    <n v="14"/>
    <n v="3044.71"/>
    <n v="38363.346000000005"/>
    <n v="4262.5940000000001"/>
    <n v="42625.94"/>
    <n v="7672.6692000000003"/>
    <n v="50298.609200000006"/>
    <s v="Pakistan"/>
    <x v="0"/>
  </r>
  <r>
    <x v="246"/>
    <x v="3"/>
    <x v="12"/>
    <x v="1"/>
    <x v="1"/>
    <x v="1"/>
    <s v="Pen"/>
    <n v="11"/>
    <n v="4653.38"/>
    <n v="46068.462"/>
    <n v="5118.7180000000008"/>
    <n v="51187.18"/>
    <n v="9213.6923999999999"/>
    <n v="60400.8724"/>
    <s v="Pakistan"/>
    <x v="1"/>
  </r>
  <r>
    <x v="70"/>
    <x v="6"/>
    <x v="6"/>
    <x v="0"/>
    <x v="0"/>
    <x v="0"/>
    <s v="Chair"/>
    <n v="9"/>
    <n v="3425.59"/>
    <n v="27747.279000000002"/>
    <n v="3083.0310000000004"/>
    <n v="30830.31"/>
    <n v="5549.4557999999997"/>
    <n v="36379.765800000001"/>
    <s v="Pakistan"/>
    <x v="0"/>
  </r>
  <r>
    <x v="256"/>
    <x v="0"/>
    <x v="4"/>
    <x v="2"/>
    <x v="2"/>
    <x v="2"/>
    <s v="Dress"/>
    <n v="15"/>
    <n v="4671.6899999999996"/>
    <n v="63067.81500000001"/>
    <n v="7007.5350000000008"/>
    <n v="70075.350000000006"/>
    <n v="12613.563"/>
    <n v="82688.913"/>
    <s v="Pakistan"/>
    <x v="2"/>
  </r>
  <r>
    <x v="215"/>
    <x v="1"/>
    <x v="9"/>
    <x v="3"/>
    <x v="3"/>
    <x v="1"/>
    <s v="Notebook"/>
    <n v="5"/>
    <n v="4600.38"/>
    <n v="20701.710000000003"/>
    <n v="2300.19"/>
    <n v="23001.9"/>
    <n v="4140.3420000000006"/>
    <n v="27142.242000000002"/>
    <s v="Pakistan"/>
    <x v="3"/>
  </r>
  <r>
    <x v="50"/>
    <x v="8"/>
    <x v="5"/>
    <x v="2"/>
    <x v="2"/>
    <x v="3"/>
    <s v="Oil"/>
    <n v="19"/>
    <n v="2183.09"/>
    <n v="37330.839"/>
    <n v="4147.8710000000001"/>
    <n v="41478.71"/>
    <n v="7466.1677999999993"/>
    <n v="48944.877800000002"/>
    <s v="Pakistan"/>
    <x v="2"/>
  </r>
  <r>
    <x v="223"/>
    <x v="6"/>
    <x v="3"/>
    <x v="3"/>
    <x v="3"/>
    <x v="4"/>
    <s v="Laptop"/>
    <n v="8"/>
    <n v="1850.8"/>
    <n v="13325.76"/>
    <n v="1480.64"/>
    <n v="14806.4"/>
    <n v="2665.152"/>
    <n v="17471.552"/>
    <s v="Pakistan"/>
    <x v="3"/>
  </r>
  <r>
    <x v="200"/>
    <x v="1"/>
    <x v="11"/>
    <x v="1"/>
    <x v="1"/>
    <x v="4"/>
    <s v="Smartphone"/>
    <n v="12"/>
    <n v="3695.68"/>
    <n v="39913.344000000005"/>
    <n v="4434.8160000000007"/>
    <n v="44348.160000000003"/>
    <n v="7982.6688000000004"/>
    <n v="52330.828800000003"/>
    <s v="Pakistan"/>
    <x v="1"/>
  </r>
  <r>
    <x v="331"/>
    <x v="0"/>
    <x v="7"/>
    <x v="1"/>
    <x v="1"/>
    <x v="0"/>
    <s v="Chair"/>
    <n v="14"/>
    <n v="3099.57"/>
    <n v="39054.582000000002"/>
    <n v="4339.3980000000001"/>
    <n v="43393.98"/>
    <n v="7810.9164000000001"/>
    <n v="51204.896400000005"/>
    <s v="Pakistan"/>
    <x v="1"/>
  </r>
  <r>
    <x v="7"/>
    <x v="5"/>
    <x v="0"/>
    <x v="0"/>
    <x v="0"/>
    <x v="2"/>
    <s v="Pants"/>
    <n v="1"/>
    <n v="3758.07"/>
    <n v="3382.2630000000004"/>
    <n v="375.80700000000002"/>
    <n v="3758.07"/>
    <n v="676.45259999999996"/>
    <n v="4434.5226000000002"/>
    <s v="Pakistan"/>
    <x v="0"/>
  </r>
  <r>
    <x v="71"/>
    <x v="4"/>
    <x v="8"/>
    <x v="2"/>
    <x v="2"/>
    <x v="0"/>
    <s v="Bed"/>
    <n v="5"/>
    <n v="2536.65"/>
    <n v="11414.925000000001"/>
    <n v="1268.325"/>
    <n v="12683.25"/>
    <n v="2282.9850000000001"/>
    <n v="14966.235000000001"/>
    <s v="Pakistan"/>
    <x v="2"/>
  </r>
  <r>
    <x v="228"/>
    <x v="5"/>
    <x v="4"/>
    <x v="2"/>
    <x v="2"/>
    <x v="3"/>
    <s v="Sugar"/>
    <n v="9"/>
    <n v="564.08000000000004"/>
    <n v="4569.0480000000007"/>
    <n v="507.67200000000003"/>
    <n v="5076.72"/>
    <n v="913.80960000000005"/>
    <n v="5990.5295999999998"/>
    <s v="Pakistan"/>
    <x v="2"/>
  </r>
  <r>
    <x v="171"/>
    <x v="0"/>
    <x v="2"/>
    <x v="2"/>
    <x v="2"/>
    <x v="3"/>
    <s v="Rice"/>
    <n v="4"/>
    <n v="3762.47"/>
    <n v="13544.892"/>
    <n v="1504.9880000000001"/>
    <n v="15049.88"/>
    <n v="2708.9784"/>
    <n v="17758.858399999997"/>
    <s v="Pakistan"/>
    <x v="2"/>
  </r>
  <r>
    <x v="69"/>
    <x v="2"/>
    <x v="13"/>
    <x v="1"/>
    <x v="1"/>
    <x v="3"/>
    <s v="Oil"/>
    <n v="5"/>
    <n v="4180.57"/>
    <n v="18812.564999999999"/>
    <n v="2090.2849999999999"/>
    <n v="20902.849999999999"/>
    <n v="3762.5129999999995"/>
    <n v="24665.362999999998"/>
    <s v="Pakistan"/>
    <x v="1"/>
  </r>
  <r>
    <x v="124"/>
    <x v="6"/>
    <x v="12"/>
    <x v="1"/>
    <x v="1"/>
    <x v="0"/>
    <s v="Bed"/>
    <n v="5"/>
    <n v="1947.01"/>
    <n v="8761.5450000000001"/>
    <n v="973.505"/>
    <n v="9735.0499999999993"/>
    <n v="1752.3089999999997"/>
    <n v="11487.358999999999"/>
    <s v="Pakistan"/>
    <x v="1"/>
  </r>
  <r>
    <x v="114"/>
    <x v="0"/>
    <x v="0"/>
    <x v="0"/>
    <x v="0"/>
    <x v="2"/>
    <s v="Shirt"/>
    <n v="13"/>
    <n v="4686.21"/>
    <n v="54828.657000000007"/>
    <n v="6092.0730000000003"/>
    <n v="60920.73"/>
    <n v="10965.731400000001"/>
    <n v="71886.4614"/>
    <s v="Pakistan"/>
    <x v="0"/>
  </r>
  <r>
    <x v="92"/>
    <x v="2"/>
    <x v="0"/>
    <x v="0"/>
    <x v="0"/>
    <x v="0"/>
    <s v="Table"/>
    <n v="7"/>
    <n v="4418.17"/>
    <n v="27834.470999999998"/>
    <n v="3092.7190000000001"/>
    <n v="30927.19"/>
    <n v="5566.8941999999997"/>
    <n v="36494.084199999998"/>
    <s v="Pakistan"/>
    <x v="0"/>
  </r>
  <r>
    <x v="222"/>
    <x v="6"/>
    <x v="9"/>
    <x v="3"/>
    <x v="3"/>
    <x v="2"/>
    <s v="Jacket"/>
    <n v="19"/>
    <n v="4186.6400000000003"/>
    <n v="71591.544000000009"/>
    <n v="7954.6160000000009"/>
    <n v="79546.16"/>
    <n v="14318.308800000001"/>
    <n v="93864.468800000002"/>
    <s v="Pakistan"/>
    <x v="3"/>
  </r>
  <r>
    <x v="271"/>
    <x v="1"/>
    <x v="10"/>
    <x v="2"/>
    <x v="2"/>
    <x v="0"/>
    <s v="Table"/>
    <n v="6"/>
    <n v="1003.96"/>
    <n v="5421.384"/>
    <n v="602.37600000000009"/>
    <n v="6023.76"/>
    <n v="1084.2768000000001"/>
    <n v="7108.0367999999999"/>
    <s v="Pakistan"/>
    <x v="2"/>
  </r>
  <r>
    <x v="332"/>
    <x v="7"/>
    <x v="3"/>
    <x v="3"/>
    <x v="3"/>
    <x v="4"/>
    <s v="Laptop"/>
    <n v="13"/>
    <n v="1028.74"/>
    <n v="12036.258000000002"/>
    <n v="1337.3620000000001"/>
    <n v="13373.62"/>
    <n v="2407.2516000000001"/>
    <n v="15780.8716"/>
    <s v="Pakistan"/>
    <x v="3"/>
  </r>
  <r>
    <x v="186"/>
    <x v="4"/>
    <x v="1"/>
    <x v="1"/>
    <x v="1"/>
    <x v="2"/>
    <s v="Jacket"/>
    <n v="20"/>
    <n v="4751.1400000000003"/>
    <n v="85520.52"/>
    <n v="9502.2800000000007"/>
    <n v="95022.8"/>
    <n v="17104.103999999999"/>
    <n v="112126.90400000001"/>
    <s v="Pakistan"/>
    <x v="1"/>
  </r>
  <r>
    <x v="257"/>
    <x v="0"/>
    <x v="6"/>
    <x v="0"/>
    <x v="0"/>
    <x v="2"/>
    <s v="Shirt"/>
    <n v="8"/>
    <n v="565.82000000000005"/>
    <n v="4073.9040000000005"/>
    <n v="452.65600000000006"/>
    <n v="4526.5600000000004"/>
    <n v="814.7808"/>
    <n v="5341.3407999999999"/>
    <s v="Pakistan"/>
    <x v="0"/>
  </r>
  <r>
    <x v="238"/>
    <x v="2"/>
    <x v="9"/>
    <x v="3"/>
    <x v="3"/>
    <x v="4"/>
    <s v="Smartphone"/>
    <n v="1"/>
    <n v="1903.53"/>
    <n v="1713.1769999999999"/>
    <n v="190.35300000000001"/>
    <n v="1903.53"/>
    <n v="342.6354"/>
    <n v="2246.1653999999999"/>
    <s v="Pakistan"/>
    <x v="3"/>
  </r>
  <r>
    <x v="333"/>
    <x v="4"/>
    <x v="13"/>
    <x v="1"/>
    <x v="1"/>
    <x v="1"/>
    <s v="Ruler"/>
    <n v="20"/>
    <n v="3286.69"/>
    <n v="59160.420000000006"/>
    <n v="6573.380000000001"/>
    <n v="65733.8"/>
    <n v="11832.084000000001"/>
    <n v="77565.884000000005"/>
    <s v="Pakistan"/>
    <x v="1"/>
  </r>
  <r>
    <x v="330"/>
    <x v="0"/>
    <x v="4"/>
    <x v="2"/>
    <x v="2"/>
    <x v="1"/>
    <s v="Pen"/>
    <n v="20"/>
    <n v="1176.4000000000001"/>
    <n v="21175.200000000001"/>
    <n v="2352.8000000000002"/>
    <n v="23528"/>
    <n v="4235.04"/>
    <n v="27763.040000000001"/>
    <s v="Pakistan"/>
    <x v="2"/>
  </r>
  <r>
    <x v="152"/>
    <x v="0"/>
    <x v="10"/>
    <x v="2"/>
    <x v="2"/>
    <x v="1"/>
    <s v="Ruler"/>
    <n v="11"/>
    <n v="2038.9"/>
    <n v="20185.11"/>
    <n v="2242.7900000000004"/>
    <n v="22427.9"/>
    <n v="4037.0219999999999"/>
    <n v="26464.922000000002"/>
    <s v="Pakistan"/>
    <x v="2"/>
  </r>
  <r>
    <x v="37"/>
    <x v="2"/>
    <x v="1"/>
    <x v="1"/>
    <x v="1"/>
    <x v="1"/>
    <s v="Notebook"/>
    <n v="19"/>
    <n v="3990.16"/>
    <n v="68231.73599999999"/>
    <n v="7581.3040000000001"/>
    <n v="75813.039999999994"/>
    <n v="13646.347199999998"/>
    <n v="89459.387199999997"/>
    <s v="Pakistan"/>
    <x v="1"/>
  </r>
  <r>
    <x v="195"/>
    <x v="9"/>
    <x v="8"/>
    <x v="2"/>
    <x v="2"/>
    <x v="2"/>
    <s v="Pants"/>
    <n v="15"/>
    <n v="3765.36"/>
    <n v="50832.36"/>
    <n v="5648.0400000000009"/>
    <n v="56480.4"/>
    <n v="10166.472"/>
    <n v="66646.872000000003"/>
    <s v="Pakistan"/>
    <x v="2"/>
  </r>
  <r>
    <x v="334"/>
    <x v="3"/>
    <x v="5"/>
    <x v="2"/>
    <x v="2"/>
    <x v="2"/>
    <s v="Shirt"/>
    <n v="12"/>
    <n v="1794.88"/>
    <n v="19384.704000000002"/>
    <n v="2153.8560000000002"/>
    <n v="21538.560000000001"/>
    <n v="3876.9408000000003"/>
    <n v="25415.500800000002"/>
    <s v="Pakistan"/>
    <x v="2"/>
  </r>
  <r>
    <x v="335"/>
    <x v="5"/>
    <x v="2"/>
    <x v="2"/>
    <x v="2"/>
    <x v="4"/>
    <s v="Smartphone"/>
    <n v="19"/>
    <n v="2750.97"/>
    <n v="47041.587"/>
    <n v="5226.8430000000008"/>
    <n v="52268.43"/>
    <n v="9408.3173999999999"/>
    <n v="61676.7474"/>
    <s v="Pakistan"/>
    <x v="2"/>
  </r>
  <r>
    <x v="34"/>
    <x v="9"/>
    <x v="0"/>
    <x v="0"/>
    <x v="0"/>
    <x v="1"/>
    <s v="Ruler"/>
    <n v="17"/>
    <n v="3677.4"/>
    <n v="56264.22"/>
    <n v="6251.5800000000008"/>
    <n v="62515.8"/>
    <n v="11252.844000000001"/>
    <n v="73768.644"/>
    <s v="Pakistan"/>
    <x v="0"/>
  </r>
  <r>
    <x v="22"/>
    <x v="9"/>
    <x v="9"/>
    <x v="3"/>
    <x v="3"/>
    <x v="1"/>
    <s v="Ruler"/>
    <n v="7"/>
    <n v="2253.94"/>
    <n v="14199.822"/>
    <n v="1577.758"/>
    <n v="15777.58"/>
    <n v="2839.9643999999998"/>
    <n v="18617.544399999999"/>
    <s v="Pakistan"/>
    <x v="3"/>
  </r>
  <r>
    <x v="176"/>
    <x v="2"/>
    <x v="2"/>
    <x v="2"/>
    <x v="2"/>
    <x v="3"/>
    <s v="Sugar"/>
    <n v="8"/>
    <n v="1762.43"/>
    <n v="12689.496000000001"/>
    <n v="1409.9440000000002"/>
    <n v="14099.44"/>
    <n v="2537.8991999999998"/>
    <n v="16637.339200000002"/>
    <s v="Pakistan"/>
    <x v="2"/>
  </r>
  <r>
    <x v="19"/>
    <x v="2"/>
    <x v="1"/>
    <x v="1"/>
    <x v="1"/>
    <x v="0"/>
    <s v="Bed"/>
    <n v="20"/>
    <n v="278.55"/>
    <n v="5013.9000000000005"/>
    <n v="557.1"/>
    <n v="5571"/>
    <n v="1002.78"/>
    <n v="6573.78"/>
    <s v="Pakistan"/>
    <x v="1"/>
  </r>
  <r>
    <x v="44"/>
    <x v="0"/>
    <x v="0"/>
    <x v="0"/>
    <x v="0"/>
    <x v="0"/>
    <s v="Bed"/>
    <n v="7"/>
    <n v="1940.86"/>
    <n v="12227.418000000001"/>
    <n v="1358.6020000000001"/>
    <n v="13586.02"/>
    <n v="2445.4836"/>
    <n v="16031.5036"/>
    <s v="Pakistan"/>
    <x v="0"/>
  </r>
  <r>
    <x v="51"/>
    <x v="0"/>
    <x v="1"/>
    <x v="1"/>
    <x v="1"/>
    <x v="3"/>
    <s v="Rice"/>
    <n v="1"/>
    <n v="414.64"/>
    <n v="373.17599999999999"/>
    <n v="41.463999999999999"/>
    <n v="414.64"/>
    <n v="74.635199999999998"/>
    <n v="489.27519999999998"/>
    <s v="Pakistan"/>
    <x v="1"/>
  </r>
  <r>
    <x v="109"/>
    <x v="2"/>
    <x v="12"/>
    <x v="1"/>
    <x v="1"/>
    <x v="1"/>
    <s v="Eraser"/>
    <n v="7"/>
    <n v="1073.54"/>
    <n v="6763.3019999999997"/>
    <n v="751.47800000000007"/>
    <n v="7514.78"/>
    <n v="1352.6604"/>
    <n v="8867.4403999999995"/>
    <s v="Pakistan"/>
    <x v="1"/>
  </r>
  <r>
    <x v="172"/>
    <x v="5"/>
    <x v="1"/>
    <x v="1"/>
    <x v="1"/>
    <x v="4"/>
    <s v="Tablet"/>
    <n v="2"/>
    <n v="2078.33"/>
    <n v="3740.9940000000001"/>
    <n v="415.666"/>
    <n v="4156.66"/>
    <n v="748.19879999999989"/>
    <n v="4904.8588"/>
    <s v="Pakistan"/>
    <x v="1"/>
  </r>
  <r>
    <x v="28"/>
    <x v="3"/>
    <x v="4"/>
    <x v="2"/>
    <x v="2"/>
    <x v="0"/>
    <s v="Sofa"/>
    <n v="15"/>
    <n v="4188.84"/>
    <n v="56549.34"/>
    <n v="6283.26"/>
    <n v="62832.6"/>
    <n v="11309.867999999999"/>
    <n v="74142.467999999993"/>
    <s v="Pakistan"/>
    <x v="2"/>
  </r>
  <r>
    <x v="158"/>
    <x v="7"/>
    <x v="1"/>
    <x v="1"/>
    <x v="1"/>
    <x v="2"/>
    <s v="Jacket"/>
    <n v="16"/>
    <n v="3046.66"/>
    <n v="43871.904000000002"/>
    <n v="4874.6559999999999"/>
    <n v="48746.559999999998"/>
    <n v="8774.380799999999"/>
    <n v="57520.940799999997"/>
    <s v="Pakistan"/>
    <x v="1"/>
  </r>
  <r>
    <x v="301"/>
    <x v="5"/>
    <x v="1"/>
    <x v="1"/>
    <x v="1"/>
    <x v="2"/>
    <s v="Jacket"/>
    <n v="13"/>
    <n v="566.55999999999995"/>
    <n v="6628.7519999999995"/>
    <n v="736.52800000000002"/>
    <n v="7365.28"/>
    <n v="1325.7503999999999"/>
    <n v="8691.0303999999996"/>
    <s v="Pakistan"/>
    <x v="1"/>
  </r>
  <r>
    <x v="249"/>
    <x v="5"/>
    <x v="11"/>
    <x v="1"/>
    <x v="1"/>
    <x v="4"/>
    <s v="Tablet"/>
    <n v="9"/>
    <n v="4726.68"/>
    <n v="38286.108"/>
    <n v="4254.0120000000006"/>
    <n v="42540.12"/>
    <n v="7657.2215999999999"/>
    <n v="50197.3416"/>
    <s v="Pakistan"/>
    <x v="1"/>
  </r>
  <r>
    <x v="117"/>
    <x v="9"/>
    <x v="12"/>
    <x v="1"/>
    <x v="1"/>
    <x v="2"/>
    <s v="Jacket"/>
    <n v="15"/>
    <n v="2503.4699999999998"/>
    <n v="33796.845000000001"/>
    <n v="3755.2050000000004"/>
    <n v="37552.050000000003"/>
    <n v="6759.3690000000006"/>
    <n v="44311.419000000002"/>
    <s v="Pakistan"/>
    <x v="1"/>
  </r>
  <r>
    <x v="159"/>
    <x v="2"/>
    <x v="12"/>
    <x v="1"/>
    <x v="1"/>
    <x v="3"/>
    <s v="Rice"/>
    <n v="13"/>
    <n v="2244.77"/>
    <n v="26263.808999999997"/>
    <n v="2918.201"/>
    <n v="29182.01"/>
    <n v="5252.7617999999993"/>
    <n v="34434.771799999995"/>
    <s v="Pakistan"/>
    <x v="1"/>
  </r>
  <r>
    <x v="267"/>
    <x v="6"/>
    <x v="9"/>
    <x v="3"/>
    <x v="3"/>
    <x v="1"/>
    <s v="Ruler"/>
    <n v="18"/>
    <n v="3559.2"/>
    <n v="57659.040000000001"/>
    <n v="6406.56"/>
    <n v="64065.599999999999"/>
    <n v="11531.807999999999"/>
    <n v="75597.407999999996"/>
    <s v="Pakistan"/>
    <x v="3"/>
  </r>
  <r>
    <x v="223"/>
    <x v="3"/>
    <x v="6"/>
    <x v="0"/>
    <x v="0"/>
    <x v="2"/>
    <s v="Jacket"/>
    <n v="16"/>
    <n v="4238.6400000000003"/>
    <n v="61036.416000000005"/>
    <n v="6781.8240000000005"/>
    <n v="67818.240000000005"/>
    <n v="12207.2832"/>
    <n v="80025.523200000011"/>
    <s v="Pakistan"/>
    <x v="0"/>
  </r>
  <r>
    <x v="96"/>
    <x v="4"/>
    <x v="4"/>
    <x v="2"/>
    <x v="2"/>
    <x v="2"/>
    <s v="Jacket"/>
    <n v="13"/>
    <n v="151.65"/>
    <n v="1774.3050000000001"/>
    <n v="197.14500000000001"/>
    <n v="1971.45"/>
    <n v="354.86099999999999"/>
    <n v="2326.3110000000001"/>
    <s v="Pakistan"/>
    <x v="2"/>
  </r>
  <r>
    <x v="158"/>
    <x v="0"/>
    <x v="4"/>
    <x v="2"/>
    <x v="2"/>
    <x v="0"/>
    <s v="Chair"/>
    <n v="11"/>
    <n v="4242.8999999999996"/>
    <n v="42004.71"/>
    <n v="4667.1900000000005"/>
    <n v="46671.9"/>
    <n v="8400.9419999999991"/>
    <n v="55072.842000000004"/>
    <s v="Pakistan"/>
    <x v="2"/>
  </r>
  <r>
    <x v="105"/>
    <x v="1"/>
    <x v="10"/>
    <x v="2"/>
    <x v="2"/>
    <x v="3"/>
    <s v="Lentils"/>
    <n v="9"/>
    <n v="4639.93"/>
    <n v="37583.433000000005"/>
    <n v="4175.9370000000008"/>
    <n v="41759.370000000003"/>
    <n v="7516.6866"/>
    <n v="49276.056600000004"/>
    <s v="Pakistan"/>
    <x v="2"/>
  </r>
  <r>
    <x v="286"/>
    <x v="6"/>
    <x v="3"/>
    <x v="3"/>
    <x v="3"/>
    <x v="2"/>
    <s v="Pants"/>
    <n v="4"/>
    <n v="4336.92"/>
    <n v="15612.912"/>
    <n v="1734.768"/>
    <n v="17347.68"/>
    <n v="3122.5823999999998"/>
    <n v="20470.2624"/>
    <s v="Pakistan"/>
    <x v="3"/>
  </r>
  <r>
    <x v="54"/>
    <x v="0"/>
    <x v="8"/>
    <x v="2"/>
    <x v="2"/>
    <x v="0"/>
    <s v="Table"/>
    <n v="17"/>
    <n v="1005.44"/>
    <n v="15383.232"/>
    <n v="1709.248"/>
    <n v="17092.48"/>
    <n v="3076.6463999999996"/>
    <n v="20169.126400000001"/>
    <s v="Pakistan"/>
    <x v="2"/>
  </r>
  <r>
    <x v="194"/>
    <x v="1"/>
    <x v="6"/>
    <x v="0"/>
    <x v="0"/>
    <x v="0"/>
    <s v="Sofa"/>
    <n v="18"/>
    <n v="2231.56"/>
    <n v="36151.272000000004"/>
    <n v="4016.8080000000004"/>
    <n v="40168.080000000002"/>
    <n v="7230.2543999999998"/>
    <n v="47398.3344"/>
    <s v="Pakistan"/>
    <x v="0"/>
  </r>
  <r>
    <x v="159"/>
    <x v="0"/>
    <x v="9"/>
    <x v="3"/>
    <x v="3"/>
    <x v="0"/>
    <s v="Bed"/>
    <n v="14"/>
    <n v="3677.67"/>
    <n v="46338.642"/>
    <n v="5148.7380000000003"/>
    <n v="51487.38"/>
    <n v="9267.7284"/>
    <n v="60755.108399999997"/>
    <s v="Pakistan"/>
    <x v="3"/>
  </r>
  <r>
    <x v="67"/>
    <x v="2"/>
    <x v="3"/>
    <x v="3"/>
    <x v="3"/>
    <x v="4"/>
    <s v="Tablet"/>
    <n v="6"/>
    <n v="1047.72"/>
    <n v="5657.6880000000001"/>
    <n v="628.63200000000006"/>
    <n v="6286.32"/>
    <n v="1131.5375999999999"/>
    <n v="7417.8575999999994"/>
    <s v="Pakistan"/>
    <x v="3"/>
  </r>
  <r>
    <x v="129"/>
    <x v="1"/>
    <x v="3"/>
    <x v="3"/>
    <x v="3"/>
    <x v="1"/>
    <s v="Notebook"/>
    <n v="20"/>
    <n v="827.08"/>
    <n v="14887.439999999999"/>
    <n v="1654.1599999999999"/>
    <n v="16541.599999999999"/>
    <n v="2977.4879999999998"/>
    <n v="19519.088"/>
    <s v="Pakistan"/>
    <x v="3"/>
  </r>
  <r>
    <x v="308"/>
    <x v="1"/>
    <x v="12"/>
    <x v="1"/>
    <x v="1"/>
    <x v="1"/>
    <s v="Eraser"/>
    <n v="19"/>
    <n v="1726.65"/>
    <n v="29525.715"/>
    <n v="3280.6350000000002"/>
    <n v="32806.35"/>
    <n v="5905.1429999999991"/>
    <n v="38711.492999999995"/>
    <s v="Pakistan"/>
    <x v="1"/>
  </r>
  <r>
    <x v="264"/>
    <x v="4"/>
    <x v="2"/>
    <x v="2"/>
    <x v="2"/>
    <x v="1"/>
    <s v="Pen"/>
    <n v="17"/>
    <n v="2339.5700000000002"/>
    <n v="35795.421000000002"/>
    <n v="3977.2690000000002"/>
    <n v="39772.69"/>
    <n v="7159.0842000000002"/>
    <n v="46931.7742"/>
    <s v="Pakistan"/>
    <x v="2"/>
  </r>
  <r>
    <x v="336"/>
    <x v="4"/>
    <x v="3"/>
    <x v="3"/>
    <x v="3"/>
    <x v="2"/>
    <s v="Pants"/>
    <n v="8"/>
    <n v="4984.96"/>
    <n v="35891.712"/>
    <n v="3987.9680000000003"/>
    <n v="39879.68"/>
    <n v="7178.3423999999995"/>
    <n v="47058.022400000002"/>
    <s v="Pakistan"/>
    <x v="3"/>
  </r>
  <r>
    <x v="244"/>
    <x v="9"/>
    <x v="11"/>
    <x v="1"/>
    <x v="1"/>
    <x v="4"/>
    <s v="Smartphone"/>
    <n v="17"/>
    <n v="3259.21"/>
    <n v="49865.913"/>
    <n v="5540.6570000000002"/>
    <n v="55406.57"/>
    <n v="9973.1826000000001"/>
    <n v="65379.7526"/>
    <s v="Pakistan"/>
    <x v="1"/>
  </r>
  <r>
    <x v="186"/>
    <x v="1"/>
    <x v="1"/>
    <x v="1"/>
    <x v="1"/>
    <x v="0"/>
    <s v="Table"/>
    <n v="7"/>
    <n v="4847.62"/>
    <n v="30540.005999999998"/>
    <n v="3393.3339999999998"/>
    <n v="33933.339999999997"/>
    <n v="6108.0011999999988"/>
    <n v="40041.341199999995"/>
    <s v="Pakistan"/>
    <x v="1"/>
  </r>
  <r>
    <x v="337"/>
    <x v="2"/>
    <x v="5"/>
    <x v="2"/>
    <x v="2"/>
    <x v="3"/>
    <s v="Rice"/>
    <n v="6"/>
    <n v="2260.16"/>
    <n v="12204.864"/>
    <n v="1356.096"/>
    <n v="13560.96"/>
    <n v="2440.9727999999996"/>
    <n v="16001.932799999999"/>
    <s v="Pakistan"/>
    <x v="2"/>
  </r>
  <r>
    <x v="229"/>
    <x v="5"/>
    <x v="4"/>
    <x v="2"/>
    <x v="2"/>
    <x v="0"/>
    <s v="Bed"/>
    <n v="16"/>
    <n v="1795.37"/>
    <n v="25853.327999999998"/>
    <n v="2872.5920000000001"/>
    <n v="28725.919999999998"/>
    <n v="5170.6655999999994"/>
    <n v="33896.585599999999"/>
    <s v="Pakistan"/>
    <x v="2"/>
  </r>
  <r>
    <x v="56"/>
    <x v="5"/>
    <x v="13"/>
    <x v="1"/>
    <x v="1"/>
    <x v="4"/>
    <s v="Tablet"/>
    <n v="19"/>
    <n v="2040.79"/>
    <n v="34897.509000000005"/>
    <n v="3877.5010000000002"/>
    <n v="38775.01"/>
    <n v="6979.5018"/>
    <n v="45754.5118"/>
    <s v="Pakistan"/>
    <x v="1"/>
  </r>
  <r>
    <x v="338"/>
    <x v="8"/>
    <x v="12"/>
    <x v="1"/>
    <x v="1"/>
    <x v="0"/>
    <s v="Chair"/>
    <n v="13"/>
    <n v="1764.64"/>
    <n v="20646.288"/>
    <n v="2294.0320000000002"/>
    <n v="22940.32"/>
    <n v="4129.2575999999999"/>
    <n v="27069.577600000001"/>
    <s v="Pakistan"/>
    <x v="1"/>
  </r>
  <r>
    <x v="325"/>
    <x v="0"/>
    <x v="1"/>
    <x v="1"/>
    <x v="1"/>
    <x v="3"/>
    <s v="Rice"/>
    <n v="6"/>
    <n v="746.23"/>
    <n v="4029.6420000000003"/>
    <n v="447.73800000000006"/>
    <n v="4477.38"/>
    <n v="805.92840000000001"/>
    <n v="5283.3083999999999"/>
    <s v="Pakistan"/>
    <x v="1"/>
  </r>
  <r>
    <x v="122"/>
    <x v="2"/>
    <x v="4"/>
    <x v="2"/>
    <x v="2"/>
    <x v="0"/>
    <s v="Sofa"/>
    <n v="14"/>
    <n v="2385.9899999999998"/>
    <n v="30063.474000000002"/>
    <n v="3340.3860000000004"/>
    <n v="33403.86"/>
    <n v="6012.6948000000002"/>
    <n v="39416.554799999998"/>
    <s v="Pakistan"/>
    <x v="2"/>
  </r>
  <r>
    <x v="255"/>
    <x v="0"/>
    <x v="13"/>
    <x v="1"/>
    <x v="1"/>
    <x v="4"/>
    <s v="Headphones"/>
    <n v="1"/>
    <n v="2362.15"/>
    <n v="2125.9349999999999"/>
    <n v="236.21500000000003"/>
    <n v="2362.15"/>
    <n v="425.18700000000001"/>
    <n v="2787.337"/>
    <s v="Pakistan"/>
    <x v="1"/>
  </r>
  <r>
    <x v="60"/>
    <x v="5"/>
    <x v="4"/>
    <x v="2"/>
    <x v="2"/>
    <x v="2"/>
    <s v="Pants"/>
    <n v="16"/>
    <n v="1236.8"/>
    <n v="17809.919999999998"/>
    <n v="1978.88"/>
    <n v="19788.8"/>
    <n v="3561.9839999999999"/>
    <n v="23350.784"/>
    <s v="Pakistan"/>
    <x v="2"/>
  </r>
  <r>
    <x v="213"/>
    <x v="3"/>
    <x v="4"/>
    <x v="2"/>
    <x v="2"/>
    <x v="4"/>
    <s v="Laptop"/>
    <n v="17"/>
    <n v="1248.03"/>
    <n v="19094.859"/>
    <n v="2121.6509999999998"/>
    <n v="21216.51"/>
    <n v="3818.9717999999993"/>
    <n v="25035.481799999998"/>
    <s v="Pakistan"/>
    <x v="2"/>
  </r>
  <r>
    <x v="339"/>
    <x v="8"/>
    <x v="11"/>
    <x v="1"/>
    <x v="1"/>
    <x v="1"/>
    <s v="Eraser"/>
    <n v="16"/>
    <n v="665.83"/>
    <n v="9587.9520000000011"/>
    <n v="1065.3280000000002"/>
    <n v="10653.28"/>
    <n v="1917.5904"/>
    <n v="12570.8704"/>
    <s v="Pakistan"/>
    <x v="1"/>
  </r>
  <r>
    <x v="27"/>
    <x v="0"/>
    <x v="9"/>
    <x v="3"/>
    <x v="3"/>
    <x v="4"/>
    <s v="Smartphone"/>
    <n v="16"/>
    <n v="615.70000000000005"/>
    <n v="8866.0800000000017"/>
    <n v="985.12000000000012"/>
    <n v="9851.2000000000007"/>
    <n v="1773.2160000000001"/>
    <n v="11624.416000000001"/>
    <s v="Pakistan"/>
    <x v="3"/>
  </r>
  <r>
    <x v="64"/>
    <x v="6"/>
    <x v="12"/>
    <x v="1"/>
    <x v="1"/>
    <x v="1"/>
    <s v="Notebook"/>
    <n v="13"/>
    <n v="3616.99"/>
    <n v="42318.783000000003"/>
    <n v="4702.0870000000004"/>
    <n v="47020.87"/>
    <n v="8463.7566000000006"/>
    <n v="55484.626600000003"/>
    <s v="Pakistan"/>
    <x v="1"/>
  </r>
  <r>
    <x v="293"/>
    <x v="9"/>
    <x v="3"/>
    <x v="3"/>
    <x v="3"/>
    <x v="2"/>
    <s v="Pants"/>
    <n v="9"/>
    <n v="1940.11"/>
    <n v="15714.891000000001"/>
    <n v="1746.0990000000002"/>
    <n v="17460.990000000002"/>
    <n v="3142.9782"/>
    <n v="20603.968200000003"/>
    <s v="Pakistan"/>
    <x v="3"/>
  </r>
  <r>
    <x v="54"/>
    <x v="7"/>
    <x v="3"/>
    <x v="3"/>
    <x v="3"/>
    <x v="4"/>
    <s v="Laptop"/>
    <n v="16"/>
    <n v="1064.93"/>
    <n v="15334.992000000002"/>
    <n v="1703.8880000000001"/>
    <n v="17038.88"/>
    <n v="3066.9983999999999"/>
    <n v="20105.878400000001"/>
    <s v="Pakistan"/>
    <x v="3"/>
  </r>
  <r>
    <x v="118"/>
    <x v="7"/>
    <x v="4"/>
    <x v="2"/>
    <x v="2"/>
    <x v="2"/>
    <s v="Jacket"/>
    <n v="2"/>
    <n v="4845.74"/>
    <n v="8722.3320000000003"/>
    <n v="969.14800000000002"/>
    <n v="9691.48"/>
    <n v="1744.4663999999998"/>
    <n v="11435.946399999999"/>
    <s v="Pakistan"/>
    <x v="2"/>
  </r>
  <r>
    <x v="186"/>
    <x v="3"/>
    <x v="6"/>
    <x v="0"/>
    <x v="0"/>
    <x v="3"/>
    <s v="Oil"/>
    <n v="3"/>
    <n v="4766.28"/>
    <n v="12868.956"/>
    <n v="1429.884"/>
    <n v="14298.84"/>
    <n v="2573.7912000000001"/>
    <n v="16872.6312"/>
    <s v="Pakistan"/>
    <x v="0"/>
  </r>
  <r>
    <x v="194"/>
    <x v="1"/>
    <x v="4"/>
    <x v="2"/>
    <x v="2"/>
    <x v="2"/>
    <s v="Jacket"/>
    <n v="15"/>
    <n v="3946.23"/>
    <n v="53274.104999999996"/>
    <n v="5919.3450000000003"/>
    <n v="59193.45"/>
    <n v="10654.821"/>
    <n v="69848.270999999993"/>
    <s v="Pakistan"/>
    <x v="2"/>
  </r>
  <r>
    <x v="104"/>
    <x v="6"/>
    <x v="7"/>
    <x v="1"/>
    <x v="1"/>
    <x v="2"/>
    <s v="Pants"/>
    <n v="12"/>
    <n v="1804.27"/>
    <n v="19486.116000000002"/>
    <n v="2165.1240000000003"/>
    <n v="21651.24"/>
    <n v="3897.2232000000004"/>
    <n v="25548.463200000002"/>
    <s v="Pakistan"/>
    <x v="1"/>
  </r>
  <r>
    <x v="340"/>
    <x v="4"/>
    <x v="0"/>
    <x v="0"/>
    <x v="0"/>
    <x v="4"/>
    <s v="Headphones"/>
    <n v="3"/>
    <n v="2055.4499999999998"/>
    <n v="5549.7150000000001"/>
    <n v="616.6350000000001"/>
    <n v="6166.35"/>
    <n v="1109.943"/>
    <n v="7276.2930000000006"/>
    <s v="Pakistan"/>
    <x v="0"/>
  </r>
  <r>
    <x v="231"/>
    <x v="4"/>
    <x v="4"/>
    <x v="2"/>
    <x v="2"/>
    <x v="0"/>
    <s v="Bed"/>
    <n v="5"/>
    <n v="1568.68"/>
    <n v="7059.0599999999995"/>
    <n v="784.34"/>
    <n v="7843.4"/>
    <n v="1411.8119999999999"/>
    <n v="9255.2119999999995"/>
    <s v="Pakistan"/>
    <x v="2"/>
  </r>
  <r>
    <x v="35"/>
    <x v="5"/>
    <x v="6"/>
    <x v="0"/>
    <x v="0"/>
    <x v="0"/>
    <s v="Sofa"/>
    <n v="16"/>
    <n v="2288.6799999999998"/>
    <n v="32956.991999999998"/>
    <n v="3661.8879999999999"/>
    <n v="36618.879999999997"/>
    <n v="6591.3983999999991"/>
    <n v="43210.278399999996"/>
    <s v="Pakistan"/>
    <x v="0"/>
  </r>
  <r>
    <x v="216"/>
    <x v="8"/>
    <x v="3"/>
    <x v="3"/>
    <x v="3"/>
    <x v="0"/>
    <s v="Chair"/>
    <n v="12"/>
    <n v="2133.0500000000002"/>
    <n v="23036.94"/>
    <n v="2559.66"/>
    <n v="25596.6"/>
    <n v="4607.3879999999999"/>
    <n v="30203.987999999998"/>
    <s v="Pakistan"/>
    <x v="3"/>
  </r>
  <r>
    <x v="341"/>
    <x v="8"/>
    <x v="9"/>
    <x v="3"/>
    <x v="3"/>
    <x v="3"/>
    <s v="Sugar"/>
    <n v="4"/>
    <n v="1208.42"/>
    <n v="4350.3120000000008"/>
    <n v="483.36800000000005"/>
    <n v="4833.68"/>
    <n v="870.06240000000003"/>
    <n v="5703.7424000000001"/>
    <s v="Pakistan"/>
    <x v="3"/>
  </r>
  <r>
    <x v="158"/>
    <x v="8"/>
    <x v="8"/>
    <x v="2"/>
    <x v="2"/>
    <x v="1"/>
    <s v="Ruler"/>
    <n v="14"/>
    <n v="630.45000000000005"/>
    <n v="7943.6699999999992"/>
    <n v="882.63"/>
    <n v="8826.2999999999993"/>
    <n v="1588.7339999999999"/>
    <n v="10415.034"/>
    <s v="Pakistan"/>
    <x v="2"/>
  </r>
  <r>
    <x v="187"/>
    <x v="4"/>
    <x v="0"/>
    <x v="0"/>
    <x v="0"/>
    <x v="2"/>
    <s v="Dress"/>
    <n v="14"/>
    <n v="2713.47"/>
    <n v="34189.722000000002"/>
    <n v="3798.8580000000002"/>
    <n v="37988.58"/>
    <n v="6837.9444000000003"/>
    <n v="44826.524400000002"/>
    <s v="Pakistan"/>
    <x v="0"/>
  </r>
  <r>
    <x v="300"/>
    <x v="0"/>
    <x v="8"/>
    <x v="2"/>
    <x v="2"/>
    <x v="0"/>
    <s v="Chair"/>
    <n v="7"/>
    <n v="3273.61"/>
    <n v="20623.743000000002"/>
    <n v="2291.527"/>
    <n v="22915.27"/>
    <n v="4124.7485999999999"/>
    <n v="27040.018599999999"/>
    <s v="Pakistan"/>
    <x v="2"/>
  </r>
  <r>
    <x v="252"/>
    <x v="4"/>
    <x v="9"/>
    <x v="3"/>
    <x v="3"/>
    <x v="2"/>
    <s v="Shirt"/>
    <n v="9"/>
    <n v="566.91999999999996"/>
    <n v="4592.0519999999997"/>
    <n v="510.22800000000001"/>
    <n v="5102.28"/>
    <n v="918.41039999999987"/>
    <n v="6020.6903999999995"/>
    <s v="Pakistan"/>
    <x v="3"/>
  </r>
  <r>
    <x v="294"/>
    <x v="7"/>
    <x v="6"/>
    <x v="0"/>
    <x v="0"/>
    <x v="4"/>
    <s v="Laptop"/>
    <n v="2"/>
    <n v="3830.39"/>
    <n v="6894.7020000000002"/>
    <n v="766.07799999999997"/>
    <n v="7660.78"/>
    <n v="1378.9404"/>
    <n v="9039.7204000000002"/>
    <s v="Pakistan"/>
    <x v="0"/>
  </r>
  <r>
    <x v="326"/>
    <x v="3"/>
    <x v="9"/>
    <x v="3"/>
    <x v="3"/>
    <x v="4"/>
    <s v="Smartphone"/>
    <n v="7"/>
    <n v="4456.5"/>
    <n v="28075.95"/>
    <n v="3119.55"/>
    <n v="31195.5"/>
    <n v="5615.19"/>
    <n v="36810.69"/>
    <s v="Pakistan"/>
    <x v="3"/>
  </r>
  <r>
    <x v="342"/>
    <x v="0"/>
    <x v="5"/>
    <x v="2"/>
    <x v="2"/>
    <x v="1"/>
    <s v="Pen"/>
    <n v="15"/>
    <n v="202.66"/>
    <n v="2735.9100000000003"/>
    <n v="303.99"/>
    <n v="3039.9"/>
    <n v="547.18200000000002"/>
    <n v="3587.0820000000003"/>
    <s v="Pakistan"/>
    <x v="2"/>
  </r>
  <r>
    <x v="54"/>
    <x v="7"/>
    <x v="0"/>
    <x v="0"/>
    <x v="0"/>
    <x v="2"/>
    <s v="Pants"/>
    <n v="10"/>
    <n v="1018.19"/>
    <n v="9163.7099999999991"/>
    <n v="1018.19"/>
    <n v="10181.9"/>
    <n v="1832.742"/>
    <n v="12014.642"/>
    <s v="Pakistan"/>
    <x v="0"/>
  </r>
  <r>
    <x v="341"/>
    <x v="0"/>
    <x v="7"/>
    <x v="1"/>
    <x v="1"/>
    <x v="2"/>
    <s v="Pants"/>
    <n v="4"/>
    <n v="3300.36"/>
    <n v="11881.296"/>
    <n v="1320.1440000000002"/>
    <n v="13201.44"/>
    <n v="2376.2592"/>
    <n v="15577.699200000001"/>
    <s v="Pakistan"/>
    <x v="1"/>
  </r>
  <r>
    <x v="343"/>
    <x v="1"/>
    <x v="4"/>
    <x v="2"/>
    <x v="2"/>
    <x v="2"/>
    <s v="Pants"/>
    <n v="12"/>
    <n v="957.01"/>
    <n v="10335.708000000001"/>
    <n v="1148.412"/>
    <n v="11484.12"/>
    <n v="2067.1415999999999"/>
    <n v="13551.261600000002"/>
    <s v="Pakistan"/>
    <x v="2"/>
  </r>
  <r>
    <x v="96"/>
    <x v="1"/>
    <x v="5"/>
    <x v="2"/>
    <x v="2"/>
    <x v="3"/>
    <s v="Rice"/>
    <n v="19"/>
    <n v="1933.19"/>
    <n v="33057.548999999999"/>
    <n v="3673.0610000000001"/>
    <n v="36730.61"/>
    <n v="6611.5097999999998"/>
    <n v="43342.1198"/>
    <s v="Pakistan"/>
    <x v="2"/>
  </r>
  <r>
    <x v="283"/>
    <x v="2"/>
    <x v="8"/>
    <x v="2"/>
    <x v="2"/>
    <x v="0"/>
    <s v="Chair"/>
    <n v="15"/>
    <n v="834.13"/>
    <n v="11260.755000000001"/>
    <n v="1251.1950000000002"/>
    <n v="12511.95"/>
    <n v="2252.1509999999998"/>
    <n v="14764.101000000001"/>
    <s v="Pakistan"/>
    <x v="2"/>
  </r>
  <r>
    <x v="65"/>
    <x v="5"/>
    <x v="6"/>
    <x v="0"/>
    <x v="0"/>
    <x v="1"/>
    <s v="Pen"/>
    <n v="18"/>
    <n v="2535.8200000000002"/>
    <n v="41080.284"/>
    <n v="4564.4760000000006"/>
    <n v="45644.76"/>
    <n v="8216.0568000000003"/>
    <n v="53860.816800000001"/>
    <s v="Pakistan"/>
    <x v="0"/>
  </r>
  <r>
    <x v="55"/>
    <x v="1"/>
    <x v="5"/>
    <x v="2"/>
    <x v="2"/>
    <x v="3"/>
    <s v="Oil"/>
    <n v="18"/>
    <n v="2299.9299999999998"/>
    <n v="37258.866000000002"/>
    <n v="4139.8739999999998"/>
    <n v="41398.74"/>
    <n v="7451.7731999999996"/>
    <n v="48850.513200000001"/>
    <s v="Pakistan"/>
    <x v="2"/>
  </r>
  <r>
    <x v="3"/>
    <x v="5"/>
    <x v="7"/>
    <x v="1"/>
    <x v="1"/>
    <x v="0"/>
    <s v="Bed"/>
    <n v="5"/>
    <n v="606.49"/>
    <n v="2729.2049999999999"/>
    <n v="303.245"/>
    <n v="3032.45"/>
    <n v="545.84099999999989"/>
    <n v="3578.2909999999997"/>
    <s v="Pakistan"/>
    <x v="1"/>
  </r>
  <r>
    <x v="154"/>
    <x v="4"/>
    <x v="12"/>
    <x v="1"/>
    <x v="1"/>
    <x v="1"/>
    <s v="Eraser"/>
    <n v="6"/>
    <n v="1919.03"/>
    <n v="10362.762000000001"/>
    <n v="1151.4180000000001"/>
    <n v="11514.18"/>
    <n v="2072.5524"/>
    <n v="13586.732400000001"/>
    <s v="Pakistan"/>
    <x v="1"/>
  </r>
  <r>
    <x v="15"/>
    <x v="0"/>
    <x v="12"/>
    <x v="1"/>
    <x v="1"/>
    <x v="1"/>
    <s v="Pen"/>
    <n v="9"/>
    <n v="662.41"/>
    <n v="5365.5209999999997"/>
    <n v="596.16899999999998"/>
    <n v="5961.69"/>
    <n v="1073.1042"/>
    <n v="7034.7941999999994"/>
    <s v="Pakistan"/>
    <x v="1"/>
  </r>
  <r>
    <x v="100"/>
    <x v="9"/>
    <x v="3"/>
    <x v="3"/>
    <x v="3"/>
    <x v="1"/>
    <s v="Notebook"/>
    <n v="18"/>
    <n v="970.52"/>
    <n v="15722.424000000001"/>
    <n v="1746.9360000000001"/>
    <n v="17469.36"/>
    <n v="3144.4848000000002"/>
    <n v="20613.844799999999"/>
    <s v="Pakistan"/>
    <x v="3"/>
  </r>
  <r>
    <x v="231"/>
    <x v="8"/>
    <x v="4"/>
    <x v="2"/>
    <x v="2"/>
    <x v="4"/>
    <s v="Smartphone"/>
    <n v="2"/>
    <n v="4112.53"/>
    <n v="7402.5540000000001"/>
    <n v="822.50599999999997"/>
    <n v="8225.06"/>
    <n v="1480.5107999999998"/>
    <n v="9705.5707999999995"/>
    <s v="Pakistan"/>
    <x v="2"/>
  </r>
  <r>
    <x v="244"/>
    <x v="5"/>
    <x v="6"/>
    <x v="0"/>
    <x v="0"/>
    <x v="4"/>
    <s v="Smartphone"/>
    <n v="4"/>
    <n v="4968.93"/>
    <n v="17888.148000000001"/>
    <n v="1987.5720000000001"/>
    <n v="19875.72"/>
    <n v="3577.6296000000002"/>
    <n v="23453.349600000001"/>
    <s v="Pakistan"/>
    <x v="0"/>
  </r>
  <r>
    <x v="243"/>
    <x v="6"/>
    <x v="2"/>
    <x v="2"/>
    <x v="2"/>
    <x v="2"/>
    <s v="Shirt"/>
    <n v="2"/>
    <n v="339.56"/>
    <n v="611.20799999999997"/>
    <n v="67.912000000000006"/>
    <n v="679.12"/>
    <n v="122.24159999999999"/>
    <n v="801.36159999999995"/>
    <s v="Pakistan"/>
    <x v="2"/>
  </r>
  <r>
    <x v="285"/>
    <x v="1"/>
    <x v="6"/>
    <x v="0"/>
    <x v="0"/>
    <x v="1"/>
    <s v="Ruler"/>
    <n v="3"/>
    <n v="3853.05"/>
    <n v="10403.235000000001"/>
    <n v="1155.915"/>
    <n v="11559.15"/>
    <n v="2080.6469999999999"/>
    <n v="13639.796999999999"/>
    <s v="Pakistan"/>
    <x v="0"/>
  </r>
  <r>
    <x v="91"/>
    <x v="2"/>
    <x v="8"/>
    <x v="2"/>
    <x v="2"/>
    <x v="2"/>
    <s v="Dress"/>
    <n v="11"/>
    <n v="2212.9"/>
    <n v="21907.710000000003"/>
    <n v="2434.19"/>
    <n v="24341.9"/>
    <n v="4381.5420000000004"/>
    <n v="28723.442000000003"/>
    <s v="Pakistan"/>
    <x v="2"/>
  </r>
  <r>
    <x v="216"/>
    <x v="7"/>
    <x v="5"/>
    <x v="2"/>
    <x v="2"/>
    <x v="1"/>
    <s v="Notebook"/>
    <n v="18"/>
    <n v="509.79"/>
    <n v="8258.598"/>
    <n v="917.62199999999996"/>
    <n v="9176.2199999999993"/>
    <n v="1651.7195999999999"/>
    <n v="10827.9396"/>
    <s v="Pakistan"/>
    <x v="2"/>
  </r>
  <r>
    <x v="259"/>
    <x v="9"/>
    <x v="2"/>
    <x v="2"/>
    <x v="2"/>
    <x v="0"/>
    <s v="Bed"/>
    <n v="16"/>
    <n v="2724.77"/>
    <n v="39236.688000000002"/>
    <n v="4359.6320000000005"/>
    <n v="43596.32"/>
    <n v="7847.3375999999998"/>
    <n v="51443.657599999999"/>
    <s v="Pakistan"/>
    <x v="2"/>
  </r>
  <r>
    <x v="335"/>
    <x v="8"/>
    <x v="0"/>
    <x v="0"/>
    <x v="0"/>
    <x v="2"/>
    <s v="Pants"/>
    <n v="18"/>
    <n v="4718.22"/>
    <n v="76435.164000000004"/>
    <n v="8492.7960000000003"/>
    <n v="84927.96"/>
    <n v="15287.032800000001"/>
    <n v="100214.99280000001"/>
    <s v="Pakistan"/>
    <x v="0"/>
  </r>
  <r>
    <x v="125"/>
    <x v="8"/>
    <x v="3"/>
    <x v="3"/>
    <x v="3"/>
    <x v="4"/>
    <s v="Tablet"/>
    <n v="9"/>
    <n v="4811.76"/>
    <n v="38975.256000000001"/>
    <n v="4330.5839999999998"/>
    <n v="43305.84"/>
    <n v="7795.051199999999"/>
    <n v="51100.891199999998"/>
    <s v="Pakistan"/>
    <x v="3"/>
  </r>
  <r>
    <x v="311"/>
    <x v="0"/>
    <x v="5"/>
    <x v="2"/>
    <x v="2"/>
    <x v="0"/>
    <s v="Chair"/>
    <n v="8"/>
    <n v="4021.86"/>
    <n v="28957.392"/>
    <n v="3217.4880000000003"/>
    <n v="32174.880000000001"/>
    <n v="5791.4784"/>
    <n v="37966.358399999997"/>
    <s v="Pakistan"/>
    <x v="2"/>
  </r>
  <r>
    <x v="201"/>
    <x v="9"/>
    <x v="6"/>
    <x v="0"/>
    <x v="0"/>
    <x v="0"/>
    <s v="Bed"/>
    <n v="16"/>
    <n v="4008.72"/>
    <n v="57725.567999999999"/>
    <n v="6413.9520000000002"/>
    <n v="64139.519999999997"/>
    <n v="11545.113599999999"/>
    <n v="75684.633600000001"/>
    <s v="Pakistan"/>
    <x v="0"/>
  </r>
  <r>
    <x v="155"/>
    <x v="0"/>
    <x v="10"/>
    <x v="2"/>
    <x v="2"/>
    <x v="0"/>
    <s v="Chair"/>
    <n v="14"/>
    <n v="4793.38"/>
    <n v="60396.588000000011"/>
    <n v="6710.7320000000009"/>
    <n v="67107.320000000007"/>
    <n v="12079.3176"/>
    <n v="79186.637600000002"/>
    <s v="Pakistan"/>
    <x v="2"/>
  </r>
  <r>
    <x v="321"/>
    <x v="5"/>
    <x v="11"/>
    <x v="1"/>
    <x v="1"/>
    <x v="0"/>
    <s v="Sofa"/>
    <n v="14"/>
    <n v="4816.3900000000003"/>
    <n v="60686.51400000001"/>
    <n v="6742.9460000000008"/>
    <n v="67429.460000000006"/>
    <n v="12137.302800000001"/>
    <n v="79566.762800000011"/>
    <s v="Pakistan"/>
    <x v="1"/>
  </r>
  <r>
    <x v="74"/>
    <x v="4"/>
    <x v="13"/>
    <x v="1"/>
    <x v="1"/>
    <x v="0"/>
    <s v="Table"/>
    <n v="6"/>
    <n v="4072.51"/>
    <n v="21991.554"/>
    <n v="2443.5060000000003"/>
    <n v="24435.06"/>
    <n v="4398.3108000000002"/>
    <n v="28833.370800000001"/>
    <s v="Pakistan"/>
    <x v="1"/>
  </r>
  <r>
    <x v="241"/>
    <x v="6"/>
    <x v="4"/>
    <x v="2"/>
    <x v="2"/>
    <x v="3"/>
    <s v="Oil"/>
    <n v="2"/>
    <n v="1269.81"/>
    <n v="2285.6579999999999"/>
    <n v="253.96199999999999"/>
    <n v="2539.62"/>
    <n v="457.13159999999999"/>
    <n v="2996.7516000000001"/>
    <s v="Pakistan"/>
    <x v="2"/>
  </r>
  <r>
    <x v="187"/>
    <x v="7"/>
    <x v="13"/>
    <x v="1"/>
    <x v="1"/>
    <x v="3"/>
    <s v="Sugar"/>
    <n v="13"/>
    <n v="3071.93"/>
    <n v="35941.580999999998"/>
    <n v="3993.509"/>
    <n v="39935.089999999997"/>
    <n v="7188.3161999999993"/>
    <n v="47123.406199999998"/>
    <s v="Pakistan"/>
    <x v="1"/>
  </r>
  <r>
    <x v="106"/>
    <x v="3"/>
    <x v="7"/>
    <x v="1"/>
    <x v="1"/>
    <x v="2"/>
    <s v="Dress"/>
    <n v="5"/>
    <n v="4686.67"/>
    <n v="21090.014999999999"/>
    <n v="2343.335"/>
    <n v="23433.35"/>
    <n v="4218.0029999999997"/>
    <n v="27651.352999999999"/>
    <s v="Pakistan"/>
    <x v="1"/>
  </r>
  <r>
    <x v="57"/>
    <x v="9"/>
    <x v="0"/>
    <x v="0"/>
    <x v="0"/>
    <x v="0"/>
    <s v="Sofa"/>
    <n v="5"/>
    <n v="4504.17"/>
    <n v="20268.764999999999"/>
    <n v="2252.085"/>
    <n v="22520.85"/>
    <n v="4053.7529999999997"/>
    <n v="26574.602999999999"/>
    <s v="Pakistan"/>
    <x v="0"/>
  </r>
  <r>
    <x v="73"/>
    <x v="0"/>
    <x v="2"/>
    <x v="2"/>
    <x v="2"/>
    <x v="0"/>
    <s v="Table"/>
    <n v="3"/>
    <n v="559.70000000000005"/>
    <n v="1511.19"/>
    <n v="167.91"/>
    <n v="1679.1"/>
    <n v="302.238"/>
    <n v="1981.338"/>
    <s v="Pakistan"/>
    <x v="2"/>
  </r>
  <r>
    <x v="182"/>
    <x v="2"/>
    <x v="6"/>
    <x v="0"/>
    <x v="0"/>
    <x v="3"/>
    <s v="Rice"/>
    <n v="17"/>
    <n v="1975.71"/>
    <n v="30228.363000000001"/>
    <n v="3358.7070000000003"/>
    <n v="33587.07"/>
    <n v="6045.6725999999999"/>
    <n v="39632.742599999998"/>
    <s v="Pakistan"/>
    <x v="0"/>
  </r>
  <r>
    <x v="205"/>
    <x v="3"/>
    <x v="11"/>
    <x v="1"/>
    <x v="1"/>
    <x v="0"/>
    <s v="Table"/>
    <n v="8"/>
    <n v="4175.5600000000004"/>
    <n v="30064.032000000003"/>
    <n v="3340.4480000000003"/>
    <n v="33404.480000000003"/>
    <n v="6012.8064000000004"/>
    <n v="39417.286400000005"/>
    <s v="Pakistan"/>
    <x v="1"/>
  </r>
  <r>
    <x v="101"/>
    <x v="0"/>
    <x v="6"/>
    <x v="0"/>
    <x v="0"/>
    <x v="4"/>
    <s v="Smartphone"/>
    <n v="14"/>
    <n v="2535.08"/>
    <n v="31942.008000000002"/>
    <n v="3549.1120000000005"/>
    <n v="35491.120000000003"/>
    <n v="6388.4016000000001"/>
    <n v="41879.5216"/>
    <s v="Pakistan"/>
    <x v="0"/>
  </r>
  <r>
    <x v="143"/>
    <x v="4"/>
    <x v="5"/>
    <x v="2"/>
    <x v="2"/>
    <x v="4"/>
    <s v="Headphones"/>
    <n v="14"/>
    <n v="2161.65"/>
    <n v="27236.79"/>
    <n v="3026.31"/>
    <n v="30263.1"/>
    <n v="5447.3579999999993"/>
    <n v="35710.457999999999"/>
    <s v="Pakistan"/>
    <x v="2"/>
  </r>
  <r>
    <x v="288"/>
    <x v="4"/>
    <x v="11"/>
    <x v="1"/>
    <x v="1"/>
    <x v="4"/>
    <s v="Tablet"/>
    <n v="11"/>
    <n v="3424.45"/>
    <n v="33902.055"/>
    <n v="3766.895"/>
    <n v="37668.949999999997"/>
    <n v="6780.4109999999991"/>
    <n v="44449.360999999997"/>
    <s v="Pakistan"/>
    <x v="1"/>
  </r>
  <r>
    <x v="344"/>
    <x v="6"/>
    <x v="13"/>
    <x v="1"/>
    <x v="1"/>
    <x v="3"/>
    <s v="Lentils"/>
    <n v="10"/>
    <n v="1167.21"/>
    <n v="10504.890000000001"/>
    <n v="1167.21"/>
    <n v="11672.1"/>
    <n v="2100.9780000000001"/>
    <n v="13773.078000000001"/>
    <s v="Pakistan"/>
    <x v="1"/>
  </r>
  <r>
    <x v="102"/>
    <x v="7"/>
    <x v="13"/>
    <x v="1"/>
    <x v="1"/>
    <x v="1"/>
    <s v="Ruler"/>
    <n v="7"/>
    <n v="500.63"/>
    <n v="3153.9690000000001"/>
    <n v="350.44100000000003"/>
    <n v="3504.41"/>
    <n v="630.79379999999992"/>
    <n v="4135.2037999999993"/>
    <s v="Pakistan"/>
    <x v="1"/>
  </r>
  <r>
    <x v="121"/>
    <x v="5"/>
    <x v="8"/>
    <x v="2"/>
    <x v="2"/>
    <x v="0"/>
    <s v="Chair"/>
    <n v="10"/>
    <n v="1050.8399999999999"/>
    <n v="9457.56"/>
    <n v="1050.8399999999999"/>
    <n v="10508.4"/>
    <n v="1891.5119999999999"/>
    <n v="12399.912"/>
    <s v="Pakistan"/>
    <x v="2"/>
  </r>
  <r>
    <x v="186"/>
    <x v="9"/>
    <x v="12"/>
    <x v="1"/>
    <x v="1"/>
    <x v="0"/>
    <s v="Sofa"/>
    <n v="14"/>
    <n v="3726.3"/>
    <n v="46951.38"/>
    <n v="5216.82"/>
    <n v="52168.2"/>
    <n v="9390.2759999999998"/>
    <n v="61558.475999999995"/>
    <s v="Pakistan"/>
    <x v="1"/>
  </r>
  <r>
    <x v="3"/>
    <x v="3"/>
    <x v="5"/>
    <x v="2"/>
    <x v="2"/>
    <x v="2"/>
    <s v="Pants"/>
    <n v="10"/>
    <n v="651.83000000000004"/>
    <n v="5866.47"/>
    <n v="651.83000000000004"/>
    <n v="6518.3"/>
    <n v="1173.2940000000001"/>
    <n v="7691.5940000000001"/>
    <s v="Pakistan"/>
    <x v="2"/>
  </r>
  <r>
    <x v="246"/>
    <x v="6"/>
    <x v="9"/>
    <x v="3"/>
    <x v="3"/>
    <x v="0"/>
    <s v="Chair"/>
    <n v="4"/>
    <n v="1077.23"/>
    <n v="3878.0280000000002"/>
    <n v="430.89200000000005"/>
    <n v="4308.92"/>
    <n v="775.60559999999998"/>
    <n v="5084.5255999999999"/>
    <s v="Pakistan"/>
    <x v="3"/>
  </r>
  <r>
    <x v="88"/>
    <x v="9"/>
    <x v="8"/>
    <x v="2"/>
    <x v="2"/>
    <x v="4"/>
    <s v="Laptop"/>
    <n v="15"/>
    <n v="4554.78"/>
    <n v="61489.53"/>
    <n v="6832.17"/>
    <n v="68321.7"/>
    <n v="12297.905999999999"/>
    <n v="80619.606"/>
    <s v="Pakistan"/>
    <x v="2"/>
  </r>
  <r>
    <x v="59"/>
    <x v="4"/>
    <x v="10"/>
    <x v="2"/>
    <x v="2"/>
    <x v="1"/>
    <s v="Pen"/>
    <n v="19"/>
    <n v="1003.13"/>
    <n v="17153.523000000001"/>
    <n v="1905.9470000000001"/>
    <n v="19059.47"/>
    <n v="3430.7046"/>
    <n v="22490.174600000002"/>
    <s v="Pakistan"/>
    <x v="2"/>
  </r>
  <r>
    <x v="345"/>
    <x v="0"/>
    <x v="12"/>
    <x v="1"/>
    <x v="1"/>
    <x v="3"/>
    <s v="Rice"/>
    <n v="7"/>
    <n v="3168.77"/>
    <n v="19963.251"/>
    <n v="2218.1390000000001"/>
    <n v="22181.39"/>
    <n v="3992.6501999999996"/>
    <n v="26174.040199999999"/>
    <s v="Pakistan"/>
    <x v="1"/>
  </r>
  <r>
    <x v="169"/>
    <x v="4"/>
    <x v="8"/>
    <x v="2"/>
    <x v="2"/>
    <x v="1"/>
    <s v="Eraser"/>
    <n v="19"/>
    <n v="4528.95"/>
    <n v="77445.044999999998"/>
    <n v="8605.005000000001"/>
    <n v="86050.05"/>
    <n v="15489.009"/>
    <n v="101539.05900000001"/>
    <s v="Pakistan"/>
    <x v="2"/>
  </r>
  <r>
    <x v="238"/>
    <x v="2"/>
    <x v="12"/>
    <x v="1"/>
    <x v="1"/>
    <x v="4"/>
    <s v="Laptop"/>
    <n v="5"/>
    <n v="2480.84"/>
    <n v="11163.78"/>
    <n v="1240.42"/>
    <n v="12404.2"/>
    <n v="2232.7559999999999"/>
    <n v="14636.956"/>
    <s v="Pakistan"/>
    <x v="1"/>
  </r>
  <r>
    <x v="135"/>
    <x v="7"/>
    <x v="4"/>
    <x v="2"/>
    <x v="2"/>
    <x v="2"/>
    <s v="Jacket"/>
    <n v="11"/>
    <n v="4740.79"/>
    <n v="46933.821000000004"/>
    <n v="5214.8690000000006"/>
    <n v="52148.69"/>
    <n v="9386.7641999999996"/>
    <n v="61535.4542"/>
    <s v="Pakistan"/>
    <x v="2"/>
  </r>
  <r>
    <x v="72"/>
    <x v="5"/>
    <x v="4"/>
    <x v="2"/>
    <x v="2"/>
    <x v="3"/>
    <s v="Lentils"/>
    <n v="16"/>
    <n v="2687.77"/>
    <n v="38703.887999999999"/>
    <n v="4300.4319999999998"/>
    <n v="43004.32"/>
    <n v="7740.7775999999994"/>
    <n v="50745.097600000001"/>
    <s v="Pakistan"/>
    <x v="2"/>
  </r>
  <r>
    <x v="36"/>
    <x v="4"/>
    <x v="3"/>
    <x v="3"/>
    <x v="3"/>
    <x v="3"/>
    <s v="Rice"/>
    <n v="15"/>
    <n v="2472.8000000000002"/>
    <n v="33382.800000000003"/>
    <n v="3709.2000000000003"/>
    <n v="37092"/>
    <n v="6676.5599999999995"/>
    <n v="43768.56"/>
    <s v="Pakistan"/>
    <x v="3"/>
  </r>
  <r>
    <x v="9"/>
    <x v="9"/>
    <x v="4"/>
    <x v="2"/>
    <x v="2"/>
    <x v="0"/>
    <s v="Table"/>
    <n v="3"/>
    <n v="3814.12"/>
    <n v="10298.124000000002"/>
    <n v="1144.2360000000001"/>
    <n v="11442.36"/>
    <n v="2059.6248000000001"/>
    <n v="13501.9848"/>
    <s v="Pakistan"/>
    <x v="2"/>
  </r>
  <r>
    <x v="263"/>
    <x v="9"/>
    <x v="7"/>
    <x v="1"/>
    <x v="1"/>
    <x v="0"/>
    <s v="Bed"/>
    <n v="1"/>
    <n v="2333.7800000000002"/>
    <n v="2100.402"/>
    <n v="233.37800000000004"/>
    <n v="2333.7800000000002"/>
    <n v="420.0804"/>
    <n v="2753.8604"/>
    <s v="Pakistan"/>
    <x v="1"/>
  </r>
  <r>
    <x v="201"/>
    <x v="3"/>
    <x v="0"/>
    <x v="0"/>
    <x v="0"/>
    <x v="3"/>
    <s v="Lentils"/>
    <n v="10"/>
    <n v="2628.56"/>
    <n v="23657.040000000001"/>
    <n v="2628.56"/>
    <n v="26285.599999999999"/>
    <n v="4731.4079999999994"/>
    <n v="31017.007999999998"/>
    <s v="Pakistan"/>
    <x v="0"/>
  </r>
  <r>
    <x v="312"/>
    <x v="2"/>
    <x v="3"/>
    <x v="3"/>
    <x v="3"/>
    <x v="4"/>
    <s v="Headphones"/>
    <n v="16"/>
    <n v="284.02"/>
    <n v="4089.8879999999999"/>
    <n v="454.43200000000002"/>
    <n v="4544.32"/>
    <n v="817.97759999999994"/>
    <n v="5362.2975999999999"/>
    <s v="Pakistan"/>
    <x v="3"/>
  </r>
  <r>
    <x v="26"/>
    <x v="6"/>
    <x v="2"/>
    <x v="2"/>
    <x v="2"/>
    <x v="3"/>
    <s v="Rice"/>
    <n v="8"/>
    <n v="1011.67"/>
    <n v="7284.0239999999994"/>
    <n v="809.33600000000001"/>
    <n v="8093.36"/>
    <n v="1456.8047999999999"/>
    <n v="9550.1647999999986"/>
    <s v="Pakistan"/>
    <x v="2"/>
  </r>
  <r>
    <x v="235"/>
    <x v="7"/>
    <x v="11"/>
    <x v="1"/>
    <x v="1"/>
    <x v="3"/>
    <s v="Sugar"/>
    <n v="6"/>
    <n v="3918.07"/>
    <n v="21157.577999999998"/>
    <n v="2350.8420000000001"/>
    <n v="23508.42"/>
    <n v="4231.5155999999997"/>
    <n v="27739.935599999997"/>
    <s v="Pakistan"/>
    <x v="1"/>
  </r>
  <r>
    <x v="340"/>
    <x v="6"/>
    <x v="6"/>
    <x v="0"/>
    <x v="0"/>
    <x v="2"/>
    <s v="Shirt"/>
    <n v="2"/>
    <n v="3313.63"/>
    <n v="5964.5340000000006"/>
    <n v="662.72600000000011"/>
    <n v="6627.26"/>
    <n v="1192.9068"/>
    <n v="7820.1668"/>
    <s v="Pakistan"/>
    <x v="0"/>
  </r>
  <r>
    <x v="280"/>
    <x v="8"/>
    <x v="1"/>
    <x v="1"/>
    <x v="1"/>
    <x v="2"/>
    <s v="Pants"/>
    <n v="18"/>
    <n v="809.24"/>
    <n v="13109.688"/>
    <n v="1456.6320000000001"/>
    <n v="14566.32"/>
    <n v="2621.9375999999997"/>
    <n v="17188.257600000001"/>
    <s v="Pakistan"/>
    <x v="1"/>
  </r>
  <r>
    <x v="262"/>
    <x v="2"/>
    <x v="8"/>
    <x v="2"/>
    <x v="2"/>
    <x v="3"/>
    <s v="Oil"/>
    <n v="2"/>
    <n v="2338.61"/>
    <n v="4209.4980000000005"/>
    <n v="467.72200000000004"/>
    <n v="4677.22"/>
    <n v="841.89959999999996"/>
    <n v="5519.1196"/>
    <s v="Pakistan"/>
    <x v="2"/>
  </r>
  <r>
    <x v="346"/>
    <x v="9"/>
    <x v="12"/>
    <x v="1"/>
    <x v="1"/>
    <x v="3"/>
    <s v="Oil"/>
    <n v="18"/>
    <n v="2773.93"/>
    <n v="44937.665999999997"/>
    <n v="4993.0740000000005"/>
    <n v="49930.74"/>
    <n v="8987.5331999999999"/>
    <n v="58918.273199999996"/>
    <s v="Pakistan"/>
    <x v="1"/>
  </r>
  <r>
    <x v="199"/>
    <x v="3"/>
    <x v="9"/>
    <x v="3"/>
    <x v="3"/>
    <x v="3"/>
    <s v="Sugar"/>
    <n v="15"/>
    <n v="2540.06"/>
    <n v="34290.810000000005"/>
    <n v="3810.09"/>
    <n v="38100.9"/>
    <n v="6858.1620000000003"/>
    <n v="44959.062000000005"/>
    <s v="Pakistan"/>
    <x v="3"/>
  </r>
  <r>
    <x v="59"/>
    <x v="0"/>
    <x v="11"/>
    <x v="1"/>
    <x v="1"/>
    <x v="2"/>
    <s v="Dress"/>
    <n v="4"/>
    <n v="1178.71"/>
    <n v="4243.3560000000007"/>
    <n v="471.48400000000004"/>
    <n v="4714.84"/>
    <n v="848.6712"/>
    <n v="5563.5111999999999"/>
    <s v="Pakistan"/>
    <x v="1"/>
  </r>
  <r>
    <x v="297"/>
    <x v="7"/>
    <x v="1"/>
    <x v="1"/>
    <x v="1"/>
    <x v="3"/>
    <s v="Lentils"/>
    <n v="4"/>
    <n v="4724.33"/>
    <n v="17007.588"/>
    <n v="1889.732"/>
    <n v="18897.32"/>
    <n v="3401.5175999999997"/>
    <n v="22298.837599999999"/>
    <s v="Pakistan"/>
    <x v="1"/>
  </r>
  <r>
    <x v="325"/>
    <x v="7"/>
    <x v="4"/>
    <x v="2"/>
    <x v="2"/>
    <x v="4"/>
    <s v="Smartphone"/>
    <n v="7"/>
    <n v="3481"/>
    <n v="21930.3"/>
    <n v="2436.7000000000003"/>
    <n v="24367"/>
    <n v="4386.0599999999995"/>
    <n v="28753.059999999998"/>
    <s v="Pakistan"/>
    <x v="2"/>
  </r>
  <r>
    <x v="245"/>
    <x v="9"/>
    <x v="7"/>
    <x v="1"/>
    <x v="1"/>
    <x v="0"/>
    <s v="Table"/>
    <n v="16"/>
    <n v="4608.55"/>
    <n v="66363.12000000001"/>
    <n v="7373.68"/>
    <n v="73736.800000000003"/>
    <n v="13272.624"/>
    <n v="87009.423999999999"/>
    <s v="Pakistan"/>
    <x v="1"/>
  </r>
  <r>
    <x v="128"/>
    <x v="8"/>
    <x v="9"/>
    <x v="3"/>
    <x v="3"/>
    <x v="4"/>
    <s v="Tablet"/>
    <n v="10"/>
    <n v="2336.88"/>
    <n v="21031.919999999998"/>
    <n v="2336.88"/>
    <n v="23368.799999999999"/>
    <n v="4206.384"/>
    <n v="27575.184000000001"/>
    <s v="Pakistan"/>
    <x v="3"/>
  </r>
  <r>
    <x v="52"/>
    <x v="0"/>
    <x v="5"/>
    <x v="2"/>
    <x v="2"/>
    <x v="1"/>
    <s v="Notebook"/>
    <n v="1"/>
    <n v="2993.55"/>
    <n v="2694.1950000000002"/>
    <n v="299.35500000000002"/>
    <n v="2993.55"/>
    <n v="538.83900000000006"/>
    <n v="3532.3890000000001"/>
    <s v="Pakistan"/>
    <x v="2"/>
  </r>
  <r>
    <x v="217"/>
    <x v="6"/>
    <x v="3"/>
    <x v="3"/>
    <x v="3"/>
    <x v="2"/>
    <s v="Shirt"/>
    <n v="19"/>
    <n v="4080.77"/>
    <n v="69781.167000000001"/>
    <n v="7753.4630000000006"/>
    <n v="77534.63"/>
    <n v="13956.233400000001"/>
    <n v="91490.863400000002"/>
    <s v="Pakistan"/>
    <x v="3"/>
  </r>
  <r>
    <x v="320"/>
    <x v="1"/>
    <x v="12"/>
    <x v="1"/>
    <x v="1"/>
    <x v="2"/>
    <s v="Jacket"/>
    <n v="4"/>
    <n v="3659.61"/>
    <n v="13174.596000000001"/>
    <n v="1463.8440000000001"/>
    <n v="14638.44"/>
    <n v="2634.9191999999998"/>
    <n v="17273.359199999999"/>
    <s v="Pakistan"/>
    <x v="1"/>
  </r>
  <r>
    <x v="70"/>
    <x v="4"/>
    <x v="4"/>
    <x v="2"/>
    <x v="2"/>
    <x v="2"/>
    <s v="Jacket"/>
    <n v="12"/>
    <n v="1819.46"/>
    <n v="19650.168000000001"/>
    <n v="2183.3520000000003"/>
    <n v="21833.52"/>
    <n v="3930.0335999999998"/>
    <n v="25763.553599999999"/>
    <s v="Pakistan"/>
    <x v="2"/>
  </r>
  <r>
    <x v="279"/>
    <x v="3"/>
    <x v="5"/>
    <x v="2"/>
    <x v="2"/>
    <x v="4"/>
    <s v="Smartphone"/>
    <n v="13"/>
    <n v="3520.87"/>
    <n v="41194.178999999996"/>
    <n v="4577.1310000000003"/>
    <n v="45771.31"/>
    <n v="8238.8357999999989"/>
    <n v="54010.145799999998"/>
    <s v="Pakistan"/>
    <x v="2"/>
  </r>
  <r>
    <x v="226"/>
    <x v="6"/>
    <x v="1"/>
    <x v="1"/>
    <x v="1"/>
    <x v="3"/>
    <s v="Oil"/>
    <n v="14"/>
    <n v="4532.88"/>
    <n v="57114.288"/>
    <n v="6346.0320000000002"/>
    <n v="63460.32"/>
    <n v="11422.857599999999"/>
    <n v="74883.177599999995"/>
    <s v="Pakistan"/>
    <x v="1"/>
  </r>
  <r>
    <x v="12"/>
    <x v="4"/>
    <x v="0"/>
    <x v="0"/>
    <x v="0"/>
    <x v="0"/>
    <s v="Bed"/>
    <n v="6"/>
    <n v="1709.52"/>
    <n v="9231.4080000000013"/>
    <n v="1025.7120000000002"/>
    <n v="10257.120000000001"/>
    <n v="1846.2816"/>
    <n v="12103.401600000001"/>
    <s v="Pakistan"/>
    <x v="0"/>
  </r>
  <r>
    <x v="76"/>
    <x v="9"/>
    <x v="2"/>
    <x v="2"/>
    <x v="2"/>
    <x v="2"/>
    <s v="Dress"/>
    <n v="10"/>
    <n v="3803.22"/>
    <n v="34228.979999999996"/>
    <n v="3803.22"/>
    <n v="38032.199999999997"/>
    <n v="6845.7959999999994"/>
    <n v="44877.995999999999"/>
    <s v="Pakistan"/>
    <x v="2"/>
  </r>
  <r>
    <x v="144"/>
    <x v="8"/>
    <x v="2"/>
    <x v="2"/>
    <x v="2"/>
    <x v="1"/>
    <s v="Notebook"/>
    <n v="15"/>
    <n v="1853"/>
    <n v="25015.5"/>
    <n v="2779.5"/>
    <n v="27795"/>
    <n v="5003.0999999999995"/>
    <n v="32798.1"/>
    <s v="Pakistan"/>
    <x v="2"/>
  </r>
  <r>
    <x v="42"/>
    <x v="9"/>
    <x v="4"/>
    <x v="2"/>
    <x v="2"/>
    <x v="2"/>
    <s v="Pants"/>
    <n v="2"/>
    <n v="2623.43"/>
    <n v="4722.174"/>
    <n v="524.68600000000004"/>
    <n v="5246.86"/>
    <n v="944.43479999999988"/>
    <n v="6191.2947999999997"/>
    <s v="Pakistan"/>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7A92F5-6F06-42D6-B3C4-4F65C327C3EE}" name="PivotTable5"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Months">
  <location ref="K3:M16" firstHeaderRow="0" firstDataRow="1" firstDataCol="1"/>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items count="5">
        <item x="0"/>
        <item x="3"/>
        <item x="1"/>
        <item x="2"/>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1" baseField="0" baseItem="0"/>
    <dataField name="Sum of Gross Profit" fld="10" baseField="0" baseItem="0"/>
  </dataFields>
  <chartFormats count="2">
    <chartFormat chart="20"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93C7C0-15FC-4235-A5B7-F97584BC0409}" name="PivotTable9"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Customer Names">
  <location ref="X3:Y14" firstHeaderRow="1" firstDataRow="1" firstDataCol="1"/>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axis="axisRow" showAll="0" sortType="descending">
      <items count="11">
        <item x="1"/>
        <item x="4"/>
        <item x="8"/>
        <item x="9"/>
        <item x="7"/>
        <item x="2"/>
        <item x="0"/>
        <item x="5"/>
        <item x="3"/>
        <item x="6"/>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4"/>
    </i>
    <i>
      <x v="3"/>
    </i>
    <i>
      <x/>
    </i>
    <i>
      <x v="5"/>
    </i>
    <i>
      <x v="1"/>
    </i>
    <i>
      <x v="6"/>
    </i>
    <i>
      <x v="2"/>
    </i>
    <i>
      <x v="8"/>
    </i>
    <i>
      <x v="7"/>
    </i>
    <i>
      <x v="9"/>
    </i>
    <i t="grand">
      <x/>
    </i>
  </rowItems>
  <colItems count="1">
    <i/>
  </colItems>
  <dataFields count="1">
    <dataField name="Sum of Sales Amount" fld="11"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03DDB2-701B-412A-B5C0-1FBEFEB59244}" name="Top City"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ities">
  <location ref="H3:I18" firstHeaderRow="1" firstDataRow="1" firstDataCol="1"/>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axis="axisRow" showAll="0" sortType="descending">
      <items count="15">
        <item x="7"/>
        <item x="6"/>
        <item x="3"/>
        <item x="5"/>
        <item x="4"/>
        <item x="13"/>
        <item x="8"/>
        <item x="1"/>
        <item x="12"/>
        <item x="10"/>
        <item x="9"/>
        <item x="0"/>
        <item x="11"/>
        <item x="2"/>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5">
    <i>
      <x v="4"/>
    </i>
    <i>
      <x v="11"/>
    </i>
    <i>
      <x v="7"/>
    </i>
    <i>
      <x v="1"/>
    </i>
    <i>
      <x/>
    </i>
    <i>
      <x v="3"/>
    </i>
    <i>
      <x v="13"/>
    </i>
    <i>
      <x v="10"/>
    </i>
    <i>
      <x v="6"/>
    </i>
    <i>
      <x v="12"/>
    </i>
    <i>
      <x v="8"/>
    </i>
    <i>
      <x v="2"/>
    </i>
    <i>
      <x v="9"/>
    </i>
    <i>
      <x v="5"/>
    </i>
    <i t="grand">
      <x/>
    </i>
  </rowItems>
  <colItems count="1">
    <i/>
  </colItems>
  <dataFields count="1">
    <dataField name="Sum of Sales 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21604C-9BCD-422A-BDF5-2596D1C54070}" name="Top Category"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Categories">
  <location ref="E3:F9" firstHeaderRow="1" firstDataRow="1" firstDataCol="1"/>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items count="5">
        <item x="0"/>
        <item x="3"/>
        <item x="1"/>
        <item x="2"/>
        <item t="default"/>
      </items>
    </pivotField>
    <pivotField showAll="0"/>
    <pivotField axis="axisRow"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2"/>
    </i>
    <i>
      <x/>
    </i>
    <i>
      <x v="4"/>
    </i>
    <i>
      <x v="1"/>
    </i>
    <i>
      <x v="3"/>
    </i>
    <i t="grand">
      <x/>
    </i>
  </rowItems>
  <colItems count="1">
    <i/>
  </colItems>
  <dataFields count="1">
    <dataField name="Sum of Sales Amount" fld="11"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8E8ABA-C891-4461-9AC4-8F5568833709}" name="PivotTable8"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Region">
  <location ref="U3:V8" firstHeaderRow="1" firstDataRow="1" firstDataCol="1"/>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items count="5">
        <item x="0"/>
        <item x="3"/>
        <item x="1"/>
        <item x="2"/>
        <item t="default"/>
      </items>
    </pivotField>
    <pivotField axis="axisRow" showAll="0">
      <items count="5">
        <item x="1"/>
        <item x="3"/>
        <item x="2"/>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Amount" fld="11" baseField="0" baseItem="0"/>
  </dataFields>
  <chartFormats count="5">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4" count="1" selected="0">
            <x v="0"/>
          </reference>
        </references>
      </pivotArea>
    </chartFormat>
    <chartFormat chart="20" format="12">
      <pivotArea type="data" outline="0" fieldPosition="0">
        <references count="2">
          <reference field="4294967294" count="1" selected="0">
            <x v="0"/>
          </reference>
          <reference field="4" count="1" selected="0">
            <x v="1"/>
          </reference>
        </references>
      </pivotArea>
    </chartFormat>
    <chartFormat chart="20" format="13">
      <pivotArea type="data" outline="0" fieldPosition="0">
        <references count="2">
          <reference field="4294967294" count="1" selected="0">
            <x v="0"/>
          </reference>
          <reference field="4" count="1" selected="0">
            <x v="2"/>
          </reference>
        </references>
      </pivotArea>
    </chartFormat>
    <chartFormat chart="20"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B6597F-6A3A-4FA2-A850-26F460E77B96}" name="Year Profi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Gross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4E71C9-567B-47E5-A4DF-9894CA358D07}" name="PivotTable7"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State">
  <location ref="R3:S8" firstHeaderRow="1" firstDataRow="1" firstDataCol="1"/>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axis="axisRow" showAll="0">
      <items count="5">
        <item x="0"/>
        <item x="3"/>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Quantity" fld="7" baseField="0" baseItem="0"/>
  </dataFields>
  <chartFormats count="5">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3" count="1" selected="0">
            <x v="0"/>
          </reference>
        </references>
      </pivotArea>
    </chartFormat>
    <chartFormat chart="20" format="14">
      <pivotArea type="data" outline="0" fieldPosition="0">
        <references count="2">
          <reference field="4294967294" count="1" selected="0">
            <x v="0"/>
          </reference>
          <reference field="3" count="1" selected="0">
            <x v="1"/>
          </reference>
        </references>
      </pivotArea>
    </chartFormat>
    <chartFormat chart="20" format="15">
      <pivotArea type="data" outline="0" fieldPosition="0">
        <references count="2">
          <reference field="4294967294" count="1" selected="0">
            <x v="0"/>
          </reference>
          <reference field="3" count="1" selected="0">
            <x v="2"/>
          </reference>
        </references>
      </pivotArea>
    </chartFormat>
    <chartFormat chart="20" format="1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543026-B50A-4F63-BD3C-E8953EFE39FD}" name="Year Sal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Amount" fld="11"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B88F6D-A56C-4999-B81E-A012C8C0D3E7}" name="PivotTable6"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 Category">
  <location ref="O3:P9" firstHeaderRow="1" firstDataRow="1" firstDataCol="1"/>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items count="5">
        <item x="0"/>
        <item x="3"/>
        <item x="1"/>
        <item x="2"/>
        <item t="default"/>
      </items>
    </pivotField>
    <pivotField showAll="0"/>
    <pivotField axis="axisRow" showAll="0">
      <items count="6">
        <item x="2"/>
        <item x="4"/>
        <item x="0"/>
        <item x="3"/>
        <item x="1"/>
        <item t="default"/>
      </items>
    </pivotField>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Sales Amount" fld="11" baseField="0" baseItem="0"/>
  </dataFields>
  <chartFormats count="6">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0"/>
          </reference>
        </references>
      </pivotArea>
    </chartFormat>
    <chartFormat chart="12" format="14">
      <pivotArea type="data" outline="0" fieldPosition="0">
        <references count="2">
          <reference field="4294967294" count="1" selected="0">
            <x v="0"/>
          </reference>
          <reference field="5" count="1" selected="0">
            <x v="1"/>
          </reference>
        </references>
      </pivotArea>
    </chartFormat>
    <chartFormat chart="12" format="15">
      <pivotArea type="data" outline="0" fieldPosition="0">
        <references count="2">
          <reference field="4294967294" count="1" selected="0">
            <x v="0"/>
          </reference>
          <reference field="5" count="1" selected="0">
            <x v="2"/>
          </reference>
        </references>
      </pivotArea>
    </chartFormat>
    <chartFormat chart="12" format="16">
      <pivotArea type="data" outline="0" fieldPosition="0">
        <references count="2">
          <reference field="4294967294" count="1" selected="0">
            <x v="0"/>
          </reference>
          <reference field="5" count="1" selected="0">
            <x v="3"/>
          </reference>
        </references>
      </pivotArea>
    </chartFormat>
    <chartFormat chart="12"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371C8C-2D9B-4935-A663-DF531F0AA0D8}" name="PivotTable10"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tate">
  <location ref="AA3:AB8" firstHeaderRow="1" firstDataRow="1" firstDataCol="1"/>
  <pivotFields count="18">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dataField="1" showAll="0"/>
    <pivotField showAll="0"/>
    <pivotField showAll="0"/>
    <pivotField showAll="0" defaultSubtotal="0"/>
    <pivotField axis="axisRow" showAll="0">
      <items count="15">
        <item m="1" x="10"/>
        <item m="1" x="13"/>
        <item m="1" x="11"/>
        <item m="1" x="12"/>
        <item x="0"/>
        <item x="1"/>
        <item x="2"/>
        <item m="1" x="9"/>
        <item m="1" x="5"/>
        <item m="1" x="6"/>
        <item m="1" x="7"/>
        <item m="1" x="8"/>
        <item m="1" x="4"/>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v="4"/>
    </i>
    <i>
      <x v="5"/>
    </i>
    <i>
      <x v="6"/>
    </i>
    <i>
      <x v="13"/>
    </i>
    <i t="grand">
      <x/>
    </i>
  </rowItems>
  <colItems count="1">
    <i/>
  </colItems>
  <dataFields count="1">
    <dataField name="Sum of Sales 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41725F-05E2-45A4-95C3-DBE2907F81CC}" name="Timeline"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Date">
  <location ref="AG3:AG351" firstHeaderRow="1" firstDataRow="1" firstDataCol="1"/>
  <pivotFields count="18">
    <pivotField axis="axisRow"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3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3B4F2E5-B667-4B24-B586-37B2BE5F2368}" sourceName="State">
  <pivotTables>
    <pivotTable tabId="7" name="PivotTable10"/>
    <pivotTable tabId="7" name="PivotTable5"/>
    <pivotTable tabId="7" name="PivotTable6"/>
    <pivotTable tabId="7" name="PivotTable7"/>
    <pivotTable tabId="7" name="PivotTable8"/>
    <pivotTable tabId="7" name="PivotTable9"/>
    <pivotTable tabId="7" name="Top Category"/>
    <pivotTable tabId="7" name="Top City"/>
  </pivotTables>
  <data>
    <tabular pivotCacheId="38202721">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6072E62-9D22-4AA9-9715-2FCF6B4D5123}" cache="Slicer_State" caption="State" columnCount="4" style="State1" rowHeight="169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B9847B-3F6F-47E7-8F08-BBE15A3404E0}" name="Table2" displayName="Table2" ref="A1:P1001" totalsRowShown="0">
  <autoFilter ref="A1:P1001" xr:uid="{30B9847B-3F6F-47E7-8F08-BBE15A3404E0}"/>
  <tableColumns count="16">
    <tableColumn id="1" xr3:uid="{55B83A41-815C-4BB7-80CB-A2E6DC8E1023}" name="Sale Date" dataDxfId="7"/>
    <tableColumn id="2" xr3:uid="{E505215F-BC8C-4888-987D-3EF89D11DAA0}" name="Customer Name"/>
    <tableColumn id="3" xr3:uid="{53AC8979-B842-4E6B-BD8F-5FBD418B1526}" name="City"/>
    <tableColumn id="4" xr3:uid="{5F4325B9-3B20-4847-B0E2-96C83FE11A6C}" name="State"/>
    <tableColumn id="5" xr3:uid="{52B21D66-402C-4638-A034-F1A7BB077FED}" name="Region"/>
    <tableColumn id="6" xr3:uid="{BF54A6C8-00B3-466F-B6E7-A2BB571C7EE4}" name="Product Category"/>
    <tableColumn id="7" xr3:uid="{7ACCEE71-8072-4849-86DE-6E502CDD8D11}" name="Product Name"/>
    <tableColumn id="8" xr3:uid="{ECAF50C1-C34F-4C4A-A1AB-45D0F9E17F01}" name="Quantity"/>
    <tableColumn id="9" xr3:uid="{F2890F45-C588-44CA-9199-0168E673A6A3}" name="Price per Unit"/>
    <tableColumn id="10" xr3:uid="{C6E99C1E-6EE2-4C01-9C33-7D57972A2159}" name="Cost of Goods"/>
    <tableColumn id="11" xr3:uid="{CD379760-FE62-46EC-9BD7-0554EAA95BD2}" name="Gross Profit"/>
    <tableColumn id="12" xr3:uid="{149685CA-5B85-4BF2-818C-07611A4D4E2D}" name="Sales Amount"/>
    <tableColumn id="13" xr3:uid="{72108877-CBB3-4855-A463-520BDA482D6E}" name="Tax"/>
    <tableColumn id="14" xr3:uid="{6E549305-E188-4235-A7D5-DCD165DD17B6}" name="Sales Amount(Incl. Tax)"/>
    <tableColumn id="15" xr3:uid="{65136DA9-7203-460B-8DF6-004AD5D3EC84}" name="Country"/>
    <tableColumn id="16" xr3:uid="{A6285972-D543-453B-AA21-6D1A8B4BBDC7}" name="State with ISO 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117A93-F068-4D8B-9015-48796DE1AA8D}" name="Table1" displayName="Table1" ref="AD3:AE7" totalsRowShown="0">
  <autoFilter ref="AD3:AE7" xr:uid="{28117A93-F068-4D8B-9015-48796DE1AA8D}"/>
  <tableColumns count="2">
    <tableColumn id="1" xr3:uid="{7327D5BC-884B-484B-9D3B-E80128E13C5B}" name="State">
      <calculatedColumnFormula>AA4</calculatedColumnFormula>
    </tableColumn>
    <tableColumn id="2" xr3:uid="{F9AE37C5-FB72-4F8B-A25E-8F670593EA55}" name="Sales">
      <calculatedColumnFormula>AB4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DB65F1B3-3884-4843-BCF0-200418FD694D}" sourceName="Sale Date">
  <pivotTables>
    <pivotTable tabId="7" name="Timeline"/>
    <pivotTable tabId="7" name="PivotTable10"/>
    <pivotTable tabId="7" name="PivotTable5"/>
    <pivotTable tabId="7" name="PivotTable6"/>
    <pivotTable tabId="7" name="PivotTable7"/>
    <pivotTable tabId="7" name="PivotTable8"/>
    <pivotTable tabId="7" name="PivotTable9"/>
    <pivotTable tabId="7" name="Top Category"/>
    <pivotTable tabId="7" name="Top City"/>
  </pivotTables>
  <state minimalRefreshVersion="6" lastRefreshVersion="6" pivotCacheId="3820272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B268DA39-2EBB-4E2D-9588-AA293C97D1E8}" cache="NativeTimeline_Sale_Date" caption="Sale Date" showSelectionLabel="0" level="2" selectionLevel="2" scrollPosition="2023-12-03T00:00:00" style="Timeline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0CD5-468C-48D4-A1A9-69E5FF3921D9}">
  <dimension ref="A1:AB1001"/>
  <sheetViews>
    <sheetView zoomScaleNormal="100" workbookViewId="0">
      <selection activeCell="AA31" sqref="AA31"/>
    </sheetView>
  </sheetViews>
  <sheetFormatPr defaultRowHeight="15" x14ac:dyDescent="0.25"/>
  <cols>
    <col min="1" max="1" width="10.7109375" style="2" bestFit="1" customWidth="1"/>
    <col min="2" max="2" width="15.28515625" bestFit="1" customWidth="1"/>
    <col min="3" max="3" width="11.7109375" bestFit="1" customWidth="1"/>
    <col min="4" max="4" width="19.7109375" bestFit="1" customWidth="1"/>
    <col min="5" max="5" width="7" bestFit="1" customWidth="1"/>
    <col min="6" max="6" width="16" bestFit="1" customWidth="1"/>
    <col min="7" max="7" width="13.7109375" bestFit="1" customWidth="1"/>
    <col min="8" max="8" width="8.42578125" bestFit="1" customWidth="1"/>
    <col min="9" max="9" width="12.7109375" style="1" bestFit="1" customWidth="1"/>
    <col min="10" max="11" width="12.7109375" style="1" customWidth="1"/>
    <col min="12" max="12" width="13.140625" style="1" bestFit="1" customWidth="1"/>
    <col min="13" max="13" width="9.140625" style="1"/>
    <col min="14" max="14" width="22.140625" style="1" bestFit="1" customWidth="1"/>
    <col min="18" max="19" width="19.7109375" bestFit="1" customWidth="1"/>
    <col min="21" max="21" width="19.7109375" bestFit="1" customWidth="1"/>
    <col min="26" max="26" width="19.7109375" bestFit="1" customWidth="1"/>
    <col min="27" max="27" width="28.7109375" bestFit="1" customWidth="1"/>
  </cols>
  <sheetData>
    <row r="1" spans="1:28" x14ac:dyDescent="0.25">
      <c r="A1" s="2" t="s">
        <v>0</v>
      </c>
      <c r="B1" t="s">
        <v>1</v>
      </c>
      <c r="C1" t="s">
        <v>2</v>
      </c>
      <c r="D1" t="s">
        <v>3</v>
      </c>
      <c r="E1" t="s">
        <v>4</v>
      </c>
      <c r="F1" t="s">
        <v>5</v>
      </c>
      <c r="G1" t="s">
        <v>6</v>
      </c>
      <c r="H1" t="s">
        <v>7</v>
      </c>
      <c r="I1" s="1" t="s">
        <v>8</v>
      </c>
      <c r="J1" s="1" t="s">
        <v>67</v>
      </c>
      <c r="K1" s="1" t="s">
        <v>68</v>
      </c>
      <c r="L1" s="1" t="s">
        <v>9</v>
      </c>
      <c r="M1" s="1" t="s">
        <v>69</v>
      </c>
      <c r="N1" s="1" t="s">
        <v>70</v>
      </c>
      <c r="Q1" t="s">
        <v>2</v>
      </c>
      <c r="R1" t="s">
        <v>3</v>
      </c>
      <c r="S1" t="s">
        <v>3</v>
      </c>
      <c r="U1" t="s">
        <v>3</v>
      </c>
      <c r="V1" t="s">
        <v>4</v>
      </c>
      <c r="W1" t="s">
        <v>4</v>
      </c>
      <c r="AB1" t="s">
        <v>3</v>
      </c>
    </row>
    <row r="2" spans="1:28" x14ac:dyDescent="0.25">
      <c r="A2" s="2">
        <v>45102</v>
      </c>
      <c r="B2" t="s">
        <v>10</v>
      </c>
      <c r="C2" t="s">
        <v>11</v>
      </c>
      <c r="D2" t="s">
        <v>22</v>
      </c>
      <c r="E2" t="s">
        <v>13</v>
      </c>
      <c r="F2" t="s">
        <v>14</v>
      </c>
      <c r="G2" t="s">
        <v>15</v>
      </c>
      <c r="H2">
        <v>6</v>
      </c>
      <c r="I2" s="1">
        <v>4016.25</v>
      </c>
      <c r="J2" s="1">
        <f>L2*90%</f>
        <v>21687.75</v>
      </c>
      <c r="K2" s="1">
        <f>L2*10%</f>
        <v>2409.75</v>
      </c>
      <c r="L2" s="1">
        <v>24097.5</v>
      </c>
      <c r="M2" s="1">
        <f>L2*18%</f>
        <v>4337.55</v>
      </c>
      <c r="N2" s="1">
        <f>L2+M2</f>
        <v>28435.05</v>
      </c>
      <c r="Q2" t="s">
        <v>11</v>
      </c>
      <c r="R2" t="s">
        <v>22</v>
      </c>
      <c r="S2" t="str">
        <f t="shared" ref="S2:S65" si="0">VLOOKUP(C2,$Q$2:$R$15,2,FALSE)</f>
        <v>Balochistan</v>
      </c>
      <c r="U2" t="s">
        <v>12</v>
      </c>
      <c r="V2" t="s">
        <v>18</v>
      </c>
      <c r="W2" t="str">
        <f>VLOOKUP(D2,$U$2:$V$5,2,FALSE)</f>
        <v>West</v>
      </c>
      <c r="Z2" t="s">
        <v>22</v>
      </c>
      <c r="AA2" t="s">
        <v>99</v>
      </c>
      <c r="AB2" t="str">
        <f>VLOOKUP(D2,$Z$2:$AA$5,2,FALSE)</f>
        <v>PK-BA</v>
      </c>
    </row>
    <row r="3" spans="1:28" x14ac:dyDescent="0.25">
      <c r="A3" s="2">
        <v>45231</v>
      </c>
      <c r="B3" t="s">
        <v>16</v>
      </c>
      <c r="C3" t="s">
        <v>17</v>
      </c>
      <c r="D3" t="s">
        <v>65</v>
      </c>
      <c r="E3" t="s">
        <v>64</v>
      </c>
      <c r="F3" t="s">
        <v>19</v>
      </c>
      <c r="G3" t="s">
        <v>20</v>
      </c>
      <c r="H3">
        <v>9</v>
      </c>
      <c r="I3" s="1">
        <v>3801.85</v>
      </c>
      <c r="J3" s="1">
        <f t="shared" ref="J3:J66" si="1">L3*90%</f>
        <v>30794.985000000001</v>
      </c>
      <c r="K3" s="1">
        <f t="shared" ref="K3:K66" si="2">L3*10%</f>
        <v>3421.6650000000004</v>
      </c>
      <c r="L3" s="1">
        <v>34216.65</v>
      </c>
      <c r="M3" s="1">
        <f t="shared" ref="M3:M66" si="3">L3*18%</f>
        <v>6158.9970000000003</v>
      </c>
      <c r="N3" s="1">
        <f t="shared" ref="N3:N66" si="4">L3+M3</f>
        <v>40375.647000000004</v>
      </c>
      <c r="Q3" t="s">
        <v>17</v>
      </c>
      <c r="R3" t="s">
        <v>65</v>
      </c>
      <c r="S3" t="str">
        <f t="shared" si="0"/>
        <v>Punjab</v>
      </c>
      <c r="U3" t="s">
        <v>65</v>
      </c>
      <c r="V3" t="s">
        <v>64</v>
      </c>
      <c r="W3" t="str">
        <f t="shared" ref="W3:W65" si="5">VLOOKUP(D3,$U$2:$V$5,2,FALSE)</f>
        <v>East</v>
      </c>
      <c r="Z3" t="s">
        <v>65</v>
      </c>
      <c r="AA3" t="s">
        <v>101</v>
      </c>
      <c r="AB3" t="str">
        <f t="shared" ref="AB3:AB66" si="6">VLOOKUP(D3,$Z$2:$AA$5,2,FALSE)</f>
        <v>PK-PB</v>
      </c>
    </row>
    <row r="4" spans="1:28" x14ac:dyDescent="0.25">
      <c r="A4" s="2">
        <v>45022</v>
      </c>
      <c r="B4" t="s">
        <v>21</v>
      </c>
      <c r="C4" t="s">
        <v>54</v>
      </c>
      <c r="D4" t="s">
        <v>12</v>
      </c>
      <c r="E4" t="s">
        <v>18</v>
      </c>
      <c r="F4" t="s">
        <v>19</v>
      </c>
      <c r="G4" t="s">
        <v>20</v>
      </c>
      <c r="H4">
        <v>11</v>
      </c>
      <c r="I4" s="1">
        <v>3594.07</v>
      </c>
      <c r="J4" s="1">
        <f t="shared" si="1"/>
        <v>35581.292999999998</v>
      </c>
      <c r="K4" s="1">
        <f t="shared" si="2"/>
        <v>3953.4769999999999</v>
      </c>
      <c r="L4" s="1">
        <v>39534.769999999997</v>
      </c>
      <c r="M4" s="1">
        <f t="shared" si="3"/>
        <v>7116.2585999999992</v>
      </c>
      <c r="N4" s="1">
        <f t="shared" si="4"/>
        <v>46651.028599999998</v>
      </c>
      <c r="Q4" t="s">
        <v>54</v>
      </c>
      <c r="R4" t="s">
        <v>12</v>
      </c>
      <c r="S4" t="str">
        <f t="shared" si="0"/>
        <v>Sindh</v>
      </c>
      <c r="U4" t="s">
        <v>22</v>
      </c>
      <c r="V4" t="s">
        <v>13</v>
      </c>
      <c r="W4" t="str">
        <f t="shared" si="5"/>
        <v>South</v>
      </c>
      <c r="Z4" t="s">
        <v>12</v>
      </c>
      <c r="AA4" t="s">
        <v>100</v>
      </c>
      <c r="AB4" t="str">
        <f t="shared" si="6"/>
        <v>PK-SD</v>
      </c>
    </row>
    <row r="5" spans="1:28" x14ac:dyDescent="0.25">
      <c r="A5" s="2">
        <v>45214</v>
      </c>
      <c r="B5" t="s">
        <v>16</v>
      </c>
      <c r="C5" t="s">
        <v>55</v>
      </c>
      <c r="D5" t="s">
        <v>66</v>
      </c>
      <c r="E5" t="s">
        <v>41</v>
      </c>
      <c r="F5" t="s">
        <v>23</v>
      </c>
      <c r="G5" t="s">
        <v>24</v>
      </c>
      <c r="H5">
        <v>9</v>
      </c>
      <c r="I5" s="1">
        <v>4487</v>
      </c>
      <c r="J5" s="1">
        <f t="shared" si="1"/>
        <v>36344.700000000004</v>
      </c>
      <c r="K5" s="1">
        <f t="shared" si="2"/>
        <v>4038.3</v>
      </c>
      <c r="L5" s="1">
        <v>40383</v>
      </c>
      <c r="M5" s="1">
        <f t="shared" si="3"/>
        <v>7268.94</v>
      </c>
      <c r="N5" s="1">
        <f t="shared" si="4"/>
        <v>47651.94</v>
      </c>
      <c r="Q5" t="s">
        <v>55</v>
      </c>
      <c r="R5" t="s">
        <v>66</v>
      </c>
      <c r="S5" t="str">
        <f t="shared" si="0"/>
        <v>Khyber Pakhtunkhwa</v>
      </c>
      <c r="U5" t="s">
        <v>66</v>
      </c>
      <c r="V5" t="s">
        <v>41</v>
      </c>
      <c r="W5" t="str">
        <f t="shared" si="5"/>
        <v>North</v>
      </c>
      <c r="Z5" t="s">
        <v>66</v>
      </c>
      <c r="AA5" t="s">
        <v>66</v>
      </c>
      <c r="AB5" t="str">
        <f t="shared" si="6"/>
        <v>Khyber Pakhtunkhwa</v>
      </c>
    </row>
    <row r="6" spans="1:28" x14ac:dyDescent="0.25">
      <c r="A6" s="2">
        <v>45145</v>
      </c>
      <c r="B6" t="s">
        <v>25</v>
      </c>
      <c r="C6" t="s">
        <v>26</v>
      </c>
      <c r="D6" t="s">
        <v>12</v>
      </c>
      <c r="E6" t="s">
        <v>18</v>
      </c>
      <c r="F6" t="s">
        <v>27</v>
      </c>
      <c r="G6" t="s">
        <v>28</v>
      </c>
      <c r="H6">
        <v>17</v>
      </c>
      <c r="I6" s="1">
        <v>1240.77</v>
      </c>
      <c r="J6" s="1">
        <f t="shared" si="1"/>
        <v>18983.780999999999</v>
      </c>
      <c r="K6" s="1">
        <f t="shared" si="2"/>
        <v>2109.3090000000002</v>
      </c>
      <c r="L6" s="1">
        <v>21093.09</v>
      </c>
      <c r="M6" s="1">
        <f t="shared" si="3"/>
        <v>3796.7561999999998</v>
      </c>
      <c r="N6" s="1">
        <f t="shared" si="4"/>
        <v>24889.8462</v>
      </c>
      <c r="Q6" t="s">
        <v>26</v>
      </c>
      <c r="R6" t="s">
        <v>12</v>
      </c>
      <c r="S6" t="str">
        <f t="shared" si="0"/>
        <v>Sindh</v>
      </c>
      <c r="W6" t="str">
        <f>VLOOKUP(D6,$U$2:$V$5,2,FALSE)</f>
        <v>South</v>
      </c>
      <c r="AB6" t="str">
        <f t="shared" si="6"/>
        <v>PK-SD</v>
      </c>
    </row>
    <row r="7" spans="1:28" x14ac:dyDescent="0.25">
      <c r="A7" s="2">
        <v>45283</v>
      </c>
      <c r="B7" t="s">
        <v>29</v>
      </c>
      <c r="C7" t="s">
        <v>56</v>
      </c>
      <c r="D7" t="s">
        <v>12</v>
      </c>
      <c r="E7" t="s">
        <v>18</v>
      </c>
      <c r="F7" t="s">
        <v>19</v>
      </c>
      <c r="G7" t="s">
        <v>30</v>
      </c>
      <c r="H7">
        <v>7</v>
      </c>
      <c r="I7" s="1">
        <v>4772.29</v>
      </c>
      <c r="J7" s="1">
        <f t="shared" si="1"/>
        <v>30065.427</v>
      </c>
      <c r="K7" s="1">
        <f t="shared" si="2"/>
        <v>3340.6030000000001</v>
      </c>
      <c r="L7" s="1">
        <v>33406.03</v>
      </c>
      <c r="M7" s="1">
        <f t="shared" si="3"/>
        <v>6013.0853999999999</v>
      </c>
      <c r="N7" s="1">
        <f t="shared" si="4"/>
        <v>39419.115399999995</v>
      </c>
      <c r="Q7" t="s">
        <v>56</v>
      </c>
      <c r="R7" t="s">
        <v>12</v>
      </c>
      <c r="S7" t="str">
        <f t="shared" si="0"/>
        <v>Sindh</v>
      </c>
      <c r="W7" t="str">
        <f t="shared" si="5"/>
        <v>South</v>
      </c>
      <c r="AB7" t="str">
        <f t="shared" si="6"/>
        <v>PK-SD</v>
      </c>
    </row>
    <row r="8" spans="1:28" x14ac:dyDescent="0.25">
      <c r="A8" s="2">
        <v>45047</v>
      </c>
      <c r="B8" t="s">
        <v>31</v>
      </c>
      <c r="C8" t="s">
        <v>57</v>
      </c>
      <c r="D8" t="s">
        <v>22</v>
      </c>
      <c r="E8" t="s">
        <v>13</v>
      </c>
      <c r="F8" t="s">
        <v>32</v>
      </c>
      <c r="G8" t="s">
        <v>33</v>
      </c>
      <c r="H8">
        <v>5</v>
      </c>
      <c r="I8" s="1">
        <v>2196.9899999999998</v>
      </c>
      <c r="J8" s="1">
        <f t="shared" si="1"/>
        <v>9886.4550000000017</v>
      </c>
      <c r="K8" s="1">
        <f t="shared" si="2"/>
        <v>1098.4950000000001</v>
      </c>
      <c r="L8" s="1">
        <v>10984.95</v>
      </c>
      <c r="M8" s="1">
        <f t="shared" si="3"/>
        <v>1977.2910000000002</v>
      </c>
      <c r="N8" s="1">
        <f t="shared" si="4"/>
        <v>12962.241000000002</v>
      </c>
      <c r="Q8" t="s">
        <v>57</v>
      </c>
      <c r="R8" t="s">
        <v>22</v>
      </c>
      <c r="S8" t="str">
        <f t="shared" si="0"/>
        <v>Balochistan</v>
      </c>
      <c r="W8" t="str">
        <f t="shared" si="5"/>
        <v>West</v>
      </c>
      <c r="AB8" t="str">
        <f t="shared" si="6"/>
        <v>PK-BA</v>
      </c>
    </row>
    <row r="9" spans="1:28" x14ac:dyDescent="0.25">
      <c r="A9" s="2">
        <v>45283</v>
      </c>
      <c r="B9" t="s">
        <v>34</v>
      </c>
      <c r="C9" t="s">
        <v>35</v>
      </c>
      <c r="D9" t="s">
        <v>65</v>
      </c>
      <c r="E9" t="s">
        <v>64</v>
      </c>
      <c r="F9" t="s">
        <v>23</v>
      </c>
      <c r="G9" t="s">
        <v>24</v>
      </c>
      <c r="H9">
        <v>5</v>
      </c>
      <c r="I9" s="1">
        <v>967.6</v>
      </c>
      <c r="J9" s="1">
        <f t="shared" si="1"/>
        <v>4354.2</v>
      </c>
      <c r="K9" s="1">
        <f t="shared" si="2"/>
        <v>483.8</v>
      </c>
      <c r="L9" s="1">
        <v>4838</v>
      </c>
      <c r="M9" s="1">
        <f t="shared" si="3"/>
        <v>870.83999999999992</v>
      </c>
      <c r="N9" s="1">
        <f t="shared" si="4"/>
        <v>5708.84</v>
      </c>
      <c r="Q9" t="s">
        <v>35</v>
      </c>
      <c r="R9" t="s">
        <v>65</v>
      </c>
      <c r="S9" t="str">
        <f t="shared" si="0"/>
        <v>Punjab</v>
      </c>
      <c r="W9" t="str">
        <f t="shared" si="5"/>
        <v>East</v>
      </c>
      <c r="AB9" t="str">
        <f t="shared" si="6"/>
        <v>PK-PB</v>
      </c>
    </row>
    <row r="10" spans="1:28" x14ac:dyDescent="0.25">
      <c r="A10" s="2">
        <v>45222</v>
      </c>
      <c r="B10" t="s">
        <v>16</v>
      </c>
      <c r="C10" t="s">
        <v>55</v>
      </c>
      <c r="D10" t="s">
        <v>66</v>
      </c>
      <c r="E10" t="s">
        <v>41</v>
      </c>
      <c r="F10" t="s">
        <v>19</v>
      </c>
      <c r="G10" t="s">
        <v>20</v>
      </c>
      <c r="H10">
        <v>18</v>
      </c>
      <c r="I10" s="1">
        <v>3128.59</v>
      </c>
      <c r="J10" s="1">
        <f t="shared" si="1"/>
        <v>50683.158000000003</v>
      </c>
      <c r="K10" s="1">
        <f t="shared" si="2"/>
        <v>5631.4620000000004</v>
      </c>
      <c r="L10" s="1">
        <v>56314.62</v>
      </c>
      <c r="M10" s="1">
        <f t="shared" si="3"/>
        <v>10136.631600000001</v>
      </c>
      <c r="N10" s="1">
        <f t="shared" si="4"/>
        <v>66451.251600000003</v>
      </c>
      <c r="Q10" t="s">
        <v>58</v>
      </c>
      <c r="R10" t="s">
        <v>12</v>
      </c>
      <c r="S10" t="str">
        <f t="shared" si="0"/>
        <v>Khyber Pakhtunkhwa</v>
      </c>
      <c r="W10" t="str">
        <f t="shared" si="5"/>
        <v>North</v>
      </c>
      <c r="AB10" t="str">
        <f t="shared" si="6"/>
        <v>Khyber Pakhtunkhwa</v>
      </c>
    </row>
    <row r="11" spans="1:28" x14ac:dyDescent="0.25">
      <c r="A11" s="2">
        <v>45247</v>
      </c>
      <c r="B11" t="s">
        <v>21</v>
      </c>
      <c r="C11" t="s">
        <v>56</v>
      </c>
      <c r="D11" t="s">
        <v>12</v>
      </c>
      <c r="E11" t="s">
        <v>18</v>
      </c>
      <c r="F11" t="s">
        <v>14</v>
      </c>
      <c r="G11" t="s">
        <v>15</v>
      </c>
      <c r="H11">
        <v>10</v>
      </c>
      <c r="I11" s="1">
        <v>2754.3</v>
      </c>
      <c r="J11" s="1">
        <f t="shared" si="1"/>
        <v>24788.7</v>
      </c>
      <c r="K11" s="1">
        <f t="shared" si="2"/>
        <v>2754.3</v>
      </c>
      <c r="L11" s="1">
        <v>27543</v>
      </c>
      <c r="M11" s="1">
        <f t="shared" si="3"/>
        <v>4957.74</v>
      </c>
      <c r="N11" s="1">
        <f t="shared" si="4"/>
        <v>32500.739999999998</v>
      </c>
      <c r="Q11" t="s">
        <v>59</v>
      </c>
      <c r="R11" t="s">
        <v>66</v>
      </c>
      <c r="S11" t="str">
        <f t="shared" si="0"/>
        <v>Sindh</v>
      </c>
      <c r="W11" t="str">
        <f t="shared" si="5"/>
        <v>South</v>
      </c>
      <c r="AB11" t="str">
        <f t="shared" si="6"/>
        <v>PK-SD</v>
      </c>
    </row>
    <row r="12" spans="1:28" x14ac:dyDescent="0.25">
      <c r="A12" s="2">
        <v>44972</v>
      </c>
      <c r="B12" t="s">
        <v>16</v>
      </c>
      <c r="C12" t="s">
        <v>35</v>
      </c>
      <c r="D12" t="s">
        <v>65</v>
      </c>
      <c r="E12" t="s">
        <v>64</v>
      </c>
      <c r="F12" t="s">
        <v>32</v>
      </c>
      <c r="G12" t="s">
        <v>36</v>
      </c>
      <c r="H12">
        <v>19</v>
      </c>
      <c r="I12" s="1">
        <v>4896.3100000000004</v>
      </c>
      <c r="J12" s="1">
        <f t="shared" si="1"/>
        <v>83726.900999999998</v>
      </c>
      <c r="K12" s="1">
        <f t="shared" si="2"/>
        <v>9302.9889999999996</v>
      </c>
      <c r="L12" s="1">
        <v>93029.89</v>
      </c>
      <c r="M12" s="1">
        <f t="shared" si="3"/>
        <v>16745.3802</v>
      </c>
      <c r="N12" s="1">
        <f t="shared" si="4"/>
        <v>109775.2702</v>
      </c>
      <c r="Q12" t="s">
        <v>60</v>
      </c>
      <c r="R12" t="s">
        <v>12</v>
      </c>
      <c r="S12" t="str">
        <f t="shared" si="0"/>
        <v>Punjab</v>
      </c>
      <c r="W12" t="str">
        <f t="shared" si="5"/>
        <v>East</v>
      </c>
      <c r="AB12" t="str">
        <f t="shared" si="6"/>
        <v>PK-PB</v>
      </c>
    </row>
    <row r="13" spans="1:28" x14ac:dyDescent="0.25">
      <c r="A13" s="2">
        <v>45037</v>
      </c>
      <c r="B13" t="s">
        <v>31</v>
      </c>
      <c r="C13" t="s">
        <v>57</v>
      </c>
      <c r="D13" t="s">
        <v>22</v>
      </c>
      <c r="E13" t="s">
        <v>13</v>
      </c>
      <c r="F13" t="s">
        <v>23</v>
      </c>
      <c r="G13" t="s">
        <v>37</v>
      </c>
      <c r="H13">
        <v>19</v>
      </c>
      <c r="I13" s="1">
        <v>4562.0200000000004</v>
      </c>
      <c r="J13" s="1">
        <f t="shared" si="1"/>
        <v>78010.542000000001</v>
      </c>
      <c r="K13" s="1">
        <f t="shared" si="2"/>
        <v>8667.8380000000016</v>
      </c>
      <c r="L13" s="1">
        <v>86678.38</v>
      </c>
      <c r="M13" s="1">
        <f t="shared" si="3"/>
        <v>15602.108400000001</v>
      </c>
      <c r="N13" s="1">
        <f t="shared" si="4"/>
        <v>102280.4884</v>
      </c>
      <c r="Q13" t="s">
        <v>61</v>
      </c>
      <c r="R13" t="s">
        <v>65</v>
      </c>
      <c r="S13" t="str">
        <f t="shared" si="0"/>
        <v>Balochistan</v>
      </c>
      <c r="W13" t="str">
        <f t="shared" si="5"/>
        <v>West</v>
      </c>
      <c r="AB13" t="str">
        <f t="shared" si="6"/>
        <v>PK-BA</v>
      </c>
    </row>
    <row r="14" spans="1:28" x14ac:dyDescent="0.25">
      <c r="A14" s="2">
        <v>44938</v>
      </c>
      <c r="B14" t="s">
        <v>29</v>
      </c>
      <c r="C14" t="s">
        <v>26</v>
      </c>
      <c r="D14" t="s">
        <v>12</v>
      </c>
      <c r="E14" t="s">
        <v>18</v>
      </c>
      <c r="F14" t="s">
        <v>19</v>
      </c>
      <c r="G14" t="s">
        <v>30</v>
      </c>
      <c r="H14">
        <v>6</v>
      </c>
      <c r="I14" s="1">
        <v>4231.7700000000004</v>
      </c>
      <c r="J14" s="1">
        <f t="shared" si="1"/>
        <v>22851.558000000001</v>
      </c>
      <c r="K14" s="1">
        <f t="shared" si="2"/>
        <v>2539.0619999999999</v>
      </c>
      <c r="L14" s="1">
        <v>25390.62</v>
      </c>
      <c r="M14" s="1">
        <f t="shared" si="3"/>
        <v>4570.3116</v>
      </c>
      <c r="N14" s="1">
        <f t="shared" si="4"/>
        <v>29960.9316</v>
      </c>
      <c r="Q14" t="s">
        <v>62</v>
      </c>
      <c r="R14" t="s">
        <v>65</v>
      </c>
      <c r="S14" t="str">
        <f t="shared" si="0"/>
        <v>Sindh</v>
      </c>
      <c r="W14" t="str">
        <f t="shared" si="5"/>
        <v>South</v>
      </c>
      <c r="AB14" t="str">
        <f t="shared" si="6"/>
        <v>PK-SD</v>
      </c>
    </row>
    <row r="15" spans="1:28" x14ac:dyDescent="0.25">
      <c r="A15" s="2">
        <v>44952</v>
      </c>
      <c r="B15" t="s">
        <v>38</v>
      </c>
      <c r="C15" t="s">
        <v>35</v>
      </c>
      <c r="D15" t="s">
        <v>65</v>
      </c>
      <c r="E15" t="s">
        <v>64</v>
      </c>
      <c r="F15" t="s">
        <v>23</v>
      </c>
      <c r="G15" t="s">
        <v>39</v>
      </c>
      <c r="H15">
        <v>20</v>
      </c>
      <c r="I15" s="1">
        <v>1027.53</v>
      </c>
      <c r="J15" s="1">
        <f t="shared" si="1"/>
        <v>18495.54</v>
      </c>
      <c r="K15" s="1">
        <f t="shared" si="2"/>
        <v>2055.06</v>
      </c>
      <c r="L15" s="1">
        <v>20550.599999999999</v>
      </c>
      <c r="M15" s="1">
        <f t="shared" si="3"/>
        <v>3699.1079999999997</v>
      </c>
      <c r="N15" s="1">
        <f t="shared" si="4"/>
        <v>24249.707999999999</v>
      </c>
      <c r="Q15" t="s">
        <v>63</v>
      </c>
      <c r="R15" t="s">
        <v>65</v>
      </c>
      <c r="S15" t="str">
        <f t="shared" si="0"/>
        <v>Punjab</v>
      </c>
      <c r="W15" t="str">
        <f t="shared" si="5"/>
        <v>East</v>
      </c>
      <c r="AB15" t="str">
        <f t="shared" si="6"/>
        <v>PK-PB</v>
      </c>
    </row>
    <row r="16" spans="1:28" x14ac:dyDescent="0.25">
      <c r="A16" s="2">
        <v>45073</v>
      </c>
      <c r="B16" t="s">
        <v>40</v>
      </c>
      <c r="C16" t="s">
        <v>11</v>
      </c>
      <c r="D16" t="s">
        <v>22</v>
      </c>
      <c r="E16" t="s">
        <v>13</v>
      </c>
      <c r="F16" t="s">
        <v>23</v>
      </c>
      <c r="G16" t="s">
        <v>37</v>
      </c>
      <c r="H16">
        <v>7</v>
      </c>
      <c r="I16" s="1">
        <v>1257.3399999999999</v>
      </c>
      <c r="J16" s="1">
        <f t="shared" si="1"/>
        <v>7921.2419999999993</v>
      </c>
      <c r="K16" s="1">
        <f t="shared" si="2"/>
        <v>880.13799999999992</v>
      </c>
      <c r="L16" s="1">
        <v>8801.3799999999992</v>
      </c>
      <c r="M16" s="1">
        <f t="shared" si="3"/>
        <v>1584.2483999999997</v>
      </c>
      <c r="N16" s="1">
        <f t="shared" si="4"/>
        <v>10385.6284</v>
      </c>
      <c r="S16" t="str">
        <f t="shared" si="0"/>
        <v>Balochistan</v>
      </c>
      <c r="W16" t="str">
        <f t="shared" si="5"/>
        <v>West</v>
      </c>
      <c r="AB16" t="str">
        <f t="shared" si="6"/>
        <v>PK-BA</v>
      </c>
    </row>
    <row r="17" spans="1:28" x14ac:dyDescent="0.25">
      <c r="A17" s="2">
        <v>45258</v>
      </c>
      <c r="B17" t="s">
        <v>31</v>
      </c>
      <c r="C17" t="s">
        <v>58</v>
      </c>
      <c r="D17" t="s">
        <v>12</v>
      </c>
      <c r="E17" t="s">
        <v>18</v>
      </c>
      <c r="F17" t="s">
        <v>23</v>
      </c>
      <c r="G17" t="s">
        <v>39</v>
      </c>
      <c r="H17">
        <v>9</v>
      </c>
      <c r="I17" s="1">
        <v>2634.14</v>
      </c>
      <c r="J17" s="1">
        <f t="shared" si="1"/>
        <v>21336.534</v>
      </c>
      <c r="K17" s="1">
        <f t="shared" si="2"/>
        <v>2370.7260000000001</v>
      </c>
      <c r="L17" s="1">
        <v>23707.26</v>
      </c>
      <c r="M17" s="1">
        <f t="shared" si="3"/>
        <v>4267.3067999999994</v>
      </c>
      <c r="N17" s="1">
        <f t="shared" si="4"/>
        <v>27974.566799999997</v>
      </c>
      <c r="S17" t="str">
        <f t="shared" si="0"/>
        <v>Sindh</v>
      </c>
      <c r="W17" t="str">
        <f t="shared" si="5"/>
        <v>South</v>
      </c>
      <c r="AB17" t="str">
        <f t="shared" si="6"/>
        <v>PK-SD</v>
      </c>
    </row>
    <row r="18" spans="1:28" x14ac:dyDescent="0.25">
      <c r="A18" s="2">
        <v>45079</v>
      </c>
      <c r="B18" t="s">
        <v>25</v>
      </c>
      <c r="C18" t="s">
        <v>59</v>
      </c>
      <c r="D18" t="s">
        <v>66</v>
      </c>
      <c r="E18" t="s">
        <v>41</v>
      </c>
      <c r="F18" t="s">
        <v>14</v>
      </c>
      <c r="G18" t="s">
        <v>15</v>
      </c>
      <c r="H18">
        <v>11</v>
      </c>
      <c r="I18" s="1">
        <v>4509.49</v>
      </c>
      <c r="J18" s="1">
        <f t="shared" si="1"/>
        <v>44643.951000000001</v>
      </c>
      <c r="K18" s="1">
        <f t="shared" si="2"/>
        <v>4960.4390000000003</v>
      </c>
      <c r="L18" s="1">
        <v>49604.39</v>
      </c>
      <c r="M18" s="1">
        <f t="shared" si="3"/>
        <v>8928.7901999999995</v>
      </c>
      <c r="N18" s="1">
        <f t="shared" si="4"/>
        <v>58533.180200000003</v>
      </c>
      <c r="S18" t="str">
        <f t="shared" si="0"/>
        <v>Khyber Pakhtunkhwa</v>
      </c>
      <c r="W18" t="str">
        <f t="shared" si="5"/>
        <v>North</v>
      </c>
      <c r="AB18" t="str">
        <f t="shared" si="6"/>
        <v>Khyber Pakhtunkhwa</v>
      </c>
    </row>
    <row r="19" spans="1:28" x14ac:dyDescent="0.25">
      <c r="A19" s="2">
        <v>44981</v>
      </c>
      <c r="B19" t="s">
        <v>29</v>
      </c>
      <c r="C19" t="s">
        <v>60</v>
      </c>
      <c r="D19" t="s">
        <v>12</v>
      </c>
      <c r="E19" t="s">
        <v>18</v>
      </c>
      <c r="F19" t="s">
        <v>27</v>
      </c>
      <c r="G19" t="s">
        <v>42</v>
      </c>
      <c r="H19">
        <v>3</v>
      </c>
      <c r="I19" s="1">
        <v>2738.83</v>
      </c>
      <c r="J19" s="1">
        <f t="shared" si="1"/>
        <v>7394.8410000000003</v>
      </c>
      <c r="K19" s="1">
        <f t="shared" si="2"/>
        <v>821.649</v>
      </c>
      <c r="L19" s="1">
        <v>8216.49</v>
      </c>
      <c r="M19" s="1">
        <f t="shared" si="3"/>
        <v>1478.9681999999998</v>
      </c>
      <c r="N19" s="1">
        <f t="shared" si="4"/>
        <v>9695.4581999999991</v>
      </c>
      <c r="S19" t="str">
        <f t="shared" si="0"/>
        <v>Sindh</v>
      </c>
      <c r="W19" t="str">
        <f t="shared" si="5"/>
        <v>South</v>
      </c>
      <c r="AB19" t="str">
        <f t="shared" si="6"/>
        <v>PK-SD</v>
      </c>
    </row>
    <row r="20" spans="1:28" x14ac:dyDescent="0.25">
      <c r="A20" s="2">
        <v>44974</v>
      </c>
      <c r="B20" t="s">
        <v>29</v>
      </c>
      <c r="C20" t="s">
        <v>11</v>
      </c>
      <c r="D20" t="s">
        <v>22</v>
      </c>
      <c r="E20" t="s">
        <v>13</v>
      </c>
      <c r="F20" t="s">
        <v>23</v>
      </c>
      <c r="G20" t="s">
        <v>24</v>
      </c>
      <c r="H20">
        <v>10</v>
      </c>
      <c r="I20" s="1">
        <v>4247.74</v>
      </c>
      <c r="J20" s="1">
        <f t="shared" si="1"/>
        <v>38229.660000000003</v>
      </c>
      <c r="K20" s="1">
        <f t="shared" si="2"/>
        <v>4247.7400000000007</v>
      </c>
      <c r="L20" s="1">
        <v>42477.4</v>
      </c>
      <c r="M20" s="1">
        <f t="shared" si="3"/>
        <v>7645.9319999999998</v>
      </c>
      <c r="N20" s="1">
        <f t="shared" si="4"/>
        <v>50123.332000000002</v>
      </c>
      <c r="S20" t="str">
        <f t="shared" si="0"/>
        <v>Balochistan</v>
      </c>
      <c r="W20" t="str">
        <f t="shared" si="5"/>
        <v>West</v>
      </c>
      <c r="AB20" t="str">
        <f t="shared" si="6"/>
        <v>PK-BA</v>
      </c>
    </row>
    <row r="21" spans="1:28" x14ac:dyDescent="0.25">
      <c r="A21" s="2">
        <v>44972</v>
      </c>
      <c r="B21" t="s">
        <v>21</v>
      </c>
      <c r="C21" t="s">
        <v>57</v>
      </c>
      <c r="D21" t="s">
        <v>22</v>
      </c>
      <c r="E21" t="s">
        <v>13</v>
      </c>
      <c r="F21" t="s">
        <v>19</v>
      </c>
      <c r="G21" t="s">
        <v>30</v>
      </c>
      <c r="H21">
        <v>3</v>
      </c>
      <c r="I21" s="1">
        <v>1133.19</v>
      </c>
      <c r="J21" s="1">
        <f t="shared" si="1"/>
        <v>3059.6130000000003</v>
      </c>
      <c r="K21" s="1">
        <f t="shared" si="2"/>
        <v>339.95700000000005</v>
      </c>
      <c r="L21" s="1">
        <v>3399.57</v>
      </c>
      <c r="M21" s="1">
        <f t="shared" si="3"/>
        <v>611.92259999999999</v>
      </c>
      <c r="N21" s="1">
        <f t="shared" si="4"/>
        <v>4011.4926</v>
      </c>
      <c r="S21" t="str">
        <f t="shared" si="0"/>
        <v>Balochistan</v>
      </c>
      <c r="W21" t="str">
        <f t="shared" si="5"/>
        <v>West</v>
      </c>
      <c r="AB21" t="str">
        <f t="shared" si="6"/>
        <v>PK-BA</v>
      </c>
    </row>
    <row r="22" spans="1:28" x14ac:dyDescent="0.25">
      <c r="A22" s="2">
        <v>44976</v>
      </c>
      <c r="B22" t="s">
        <v>43</v>
      </c>
      <c r="C22" t="s">
        <v>61</v>
      </c>
      <c r="D22" t="s">
        <v>65</v>
      </c>
      <c r="E22" t="s">
        <v>64</v>
      </c>
      <c r="F22" t="s">
        <v>32</v>
      </c>
      <c r="G22" t="s">
        <v>36</v>
      </c>
      <c r="H22">
        <v>6</v>
      </c>
      <c r="I22" s="1">
        <v>623.22</v>
      </c>
      <c r="J22" s="1">
        <f t="shared" si="1"/>
        <v>3365.3880000000004</v>
      </c>
      <c r="K22" s="1">
        <f t="shared" si="2"/>
        <v>373.93200000000002</v>
      </c>
      <c r="L22" s="1">
        <v>3739.32</v>
      </c>
      <c r="M22" s="1">
        <f t="shared" si="3"/>
        <v>673.07759999999996</v>
      </c>
      <c r="N22" s="1">
        <f t="shared" si="4"/>
        <v>4412.3976000000002</v>
      </c>
      <c r="S22" t="str">
        <f t="shared" si="0"/>
        <v>Punjab</v>
      </c>
      <c r="W22" t="str">
        <f t="shared" si="5"/>
        <v>East</v>
      </c>
      <c r="AB22" t="str">
        <f t="shared" si="6"/>
        <v>PK-PB</v>
      </c>
    </row>
    <row r="23" spans="1:28" x14ac:dyDescent="0.25">
      <c r="A23" s="2">
        <v>45044</v>
      </c>
      <c r="B23" t="s">
        <v>25</v>
      </c>
      <c r="C23" t="s">
        <v>17</v>
      </c>
      <c r="D23" t="s">
        <v>65</v>
      </c>
      <c r="E23" t="s">
        <v>64</v>
      </c>
      <c r="F23" t="s">
        <v>19</v>
      </c>
      <c r="G23" t="s">
        <v>20</v>
      </c>
      <c r="H23">
        <v>18</v>
      </c>
      <c r="I23" s="1">
        <v>698.42</v>
      </c>
      <c r="J23" s="1">
        <f t="shared" si="1"/>
        <v>11314.404</v>
      </c>
      <c r="K23" s="1">
        <f t="shared" si="2"/>
        <v>1257.1559999999999</v>
      </c>
      <c r="L23" s="1">
        <v>12571.56</v>
      </c>
      <c r="M23" s="1">
        <f t="shared" si="3"/>
        <v>2262.8807999999999</v>
      </c>
      <c r="N23" s="1">
        <f t="shared" si="4"/>
        <v>14834.4408</v>
      </c>
      <c r="S23" t="str">
        <f t="shared" si="0"/>
        <v>Punjab</v>
      </c>
      <c r="W23" t="str">
        <f t="shared" si="5"/>
        <v>East</v>
      </c>
      <c r="AB23" t="str">
        <f t="shared" si="6"/>
        <v>PK-PB</v>
      </c>
    </row>
    <row r="24" spans="1:28" x14ac:dyDescent="0.25">
      <c r="A24" s="2">
        <v>45266</v>
      </c>
      <c r="B24" t="s">
        <v>34</v>
      </c>
      <c r="C24" t="s">
        <v>62</v>
      </c>
      <c r="D24" t="s">
        <v>65</v>
      </c>
      <c r="E24" t="s">
        <v>64</v>
      </c>
      <c r="F24" t="s">
        <v>27</v>
      </c>
      <c r="G24" t="s">
        <v>44</v>
      </c>
      <c r="H24">
        <v>19</v>
      </c>
      <c r="I24" s="1">
        <v>2494.11</v>
      </c>
      <c r="J24" s="1">
        <f t="shared" si="1"/>
        <v>42649.280999999995</v>
      </c>
      <c r="K24" s="1">
        <f t="shared" si="2"/>
        <v>4738.8090000000002</v>
      </c>
      <c r="L24" s="1">
        <v>47388.09</v>
      </c>
      <c r="M24" s="1">
        <f t="shared" si="3"/>
        <v>8529.8561999999984</v>
      </c>
      <c r="N24" s="1">
        <f t="shared" si="4"/>
        <v>55917.946199999991</v>
      </c>
      <c r="S24" t="str">
        <f t="shared" si="0"/>
        <v>Punjab</v>
      </c>
      <c r="W24" t="str">
        <f t="shared" si="5"/>
        <v>East</v>
      </c>
      <c r="AB24" t="str">
        <f t="shared" si="6"/>
        <v>PK-PB</v>
      </c>
    </row>
    <row r="25" spans="1:28" x14ac:dyDescent="0.25">
      <c r="A25" s="2">
        <v>45101</v>
      </c>
      <c r="B25" t="s">
        <v>31</v>
      </c>
      <c r="C25" t="s">
        <v>56</v>
      </c>
      <c r="D25" t="s">
        <v>12</v>
      </c>
      <c r="E25" t="s">
        <v>18</v>
      </c>
      <c r="F25" t="s">
        <v>27</v>
      </c>
      <c r="G25" t="s">
        <v>44</v>
      </c>
      <c r="H25">
        <v>15</v>
      </c>
      <c r="I25" s="1">
        <v>3368.77</v>
      </c>
      <c r="J25" s="1">
        <f t="shared" si="1"/>
        <v>45478.395000000004</v>
      </c>
      <c r="K25" s="1">
        <f t="shared" si="2"/>
        <v>5053.1550000000007</v>
      </c>
      <c r="L25" s="1">
        <v>50531.55</v>
      </c>
      <c r="M25" s="1">
        <f t="shared" si="3"/>
        <v>9095.6790000000001</v>
      </c>
      <c r="N25" s="1">
        <f t="shared" si="4"/>
        <v>59627.229000000007</v>
      </c>
      <c r="S25" t="str">
        <f t="shared" si="0"/>
        <v>Sindh</v>
      </c>
      <c r="W25" t="str">
        <f t="shared" si="5"/>
        <v>South</v>
      </c>
      <c r="AB25" t="str">
        <f t="shared" si="6"/>
        <v>PK-SD</v>
      </c>
    </row>
    <row r="26" spans="1:28" x14ac:dyDescent="0.25">
      <c r="A26" s="2">
        <v>45012</v>
      </c>
      <c r="B26" t="s">
        <v>21</v>
      </c>
      <c r="C26" t="s">
        <v>57</v>
      </c>
      <c r="D26" t="s">
        <v>22</v>
      </c>
      <c r="E26" t="s">
        <v>13</v>
      </c>
      <c r="F26" t="s">
        <v>14</v>
      </c>
      <c r="G26" t="s">
        <v>45</v>
      </c>
      <c r="H26">
        <v>2</v>
      </c>
      <c r="I26" s="1">
        <v>962.28</v>
      </c>
      <c r="J26" s="1">
        <f t="shared" si="1"/>
        <v>1732.104</v>
      </c>
      <c r="K26" s="1">
        <f t="shared" si="2"/>
        <v>192.45600000000002</v>
      </c>
      <c r="L26" s="1">
        <v>1924.56</v>
      </c>
      <c r="M26" s="1">
        <f t="shared" si="3"/>
        <v>346.42079999999999</v>
      </c>
      <c r="N26" s="1">
        <f t="shared" si="4"/>
        <v>2270.9807999999998</v>
      </c>
      <c r="S26" t="str">
        <f t="shared" si="0"/>
        <v>Balochistan</v>
      </c>
      <c r="W26" t="str">
        <f t="shared" si="5"/>
        <v>West</v>
      </c>
      <c r="AB26" t="str">
        <f t="shared" si="6"/>
        <v>PK-BA</v>
      </c>
    </row>
    <row r="27" spans="1:28" x14ac:dyDescent="0.25">
      <c r="A27" s="2">
        <v>45017</v>
      </c>
      <c r="B27" t="s">
        <v>43</v>
      </c>
      <c r="C27" t="s">
        <v>59</v>
      </c>
      <c r="D27" t="s">
        <v>66</v>
      </c>
      <c r="E27" t="s">
        <v>41</v>
      </c>
      <c r="F27" t="s">
        <v>23</v>
      </c>
      <c r="G27" t="s">
        <v>39</v>
      </c>
      <c r="H27">
        <v>19</v>
      </c>
      <c r="I27" s="1">
        <v>1065.27</v>
      </c>
      <c r="J27" s="1">
        <f t="shared" si="1"/>
        <v>18216.117000000002</v>
      </c>
      <c r="K27" s="1">
        <f t="shared" si="2"/>
        <v>2024.0130000000001</v>
      </c>
      <c r="L27" s="1">
        <v>20240.13</v>
      </c>
      <c r="M27" s="1">
        <f t="shared" si="3"/>
        <v>3643.2233999999999</v>
      </c>
      <c r="N27" s="1">
        <f t="shared" si="4"/>
        <v>23883.3534</v>
      </c>
      <c r="S27" t="str">
        <f t="shared" si="0"/>
        <v>Khyber Pakhtunkhwa</v>
      </c>
      <c r="W27" t="str">
        <f t="shared" si="5"/>
        <v>North</v>
      </c>
      <c r="AB27" t="str">
        <f t="shared" si="6"/>
        <v>Khyber Pakhtunkhwa</v>
      </c>
    </row>
    <row r="28" spans="1:28" x14ac:dyDescent="0.25">
      <c r="A28" s="2">
        <v>45277</v>
      </c>
      <c r="B28" t="s">
        <v>43</v>
      </c>
      <c r="C28" t="s">
        <v>35</v>
      </c>
      <c r="D28" t="s">
        <v>65</v>
      </c>
      <c r="E28" t="s">
        <v>64</v>
      </c>
      <c r="F28" t="s">
        <v>27</v>
      </c>
      <c r="G28" t="s">
        <v>42</v>
      </c>
      <c r="H28">
        <v>10</v>
      </c>
      <c r="I28" s="1">
        <v>4507.62</v>
      </c>
      <c r="J28" s="1">
        <f t="shared" si="1"/>
        <v>40568.58</v>
      </c>
      <c r="K28" s="1">
        <f t="shared" si="2"/>
        <v>4507.62</v>
      </c>
      <c r="L28" s="1">
        <v>45076.2</v>
      </c>
      <c r="M28" s="1">
        <f t="shared" si="3"/>
        <v>8113.7159999999994</v>
      </c>
      <c r="N28" s="1">
        <f t="shared" si="4"/>
        <v>53189.915999999997</v>
      </c>
      <c r="S28" t="str">
        <f t="shared" si="0"/>
        <v>Punjab</v>
      </c>
      <c r="W28" t="str">
        <f t="shared" si="5"/>
        <v>East</v>
      </c>
      <c r="AB28" t="str">
        <f t="shared" si="6"/>
        <v>PK-PB</v>
      </c>
    </row>
    <row r="29" spans="1:28" x14ac:dyDescent="0.25">
      <c r="A29" s="2">
        <v>45128</v>
      </c>
      <c r="B29" t="s">
        <v>25</v>
      </c>
      <c r="C29" t="s">
        <v>61</v>
      </c>
      <c r="D29" t="s">
        <v>65</v>
      </c>
      <c r="E29" t="s">
        <v>64</v>
      </c>
      <c r="F29" t="s">
        <v>23</v>
      </c>
      <c r="G29" t="s">
        <v>37</v>
      </c>
      <c r="H29">
        <v>4</v>
      </c>
      <c r="I29" s="1">
        <v>4373.75</v>
      </c>
      <c r="J29" s="1">
        <f t="shared" si="1"/>
        <v>15745.5</v>
      </c>
      <c r="K29" s="1">
        <f t="shared" si="2"/>
        <v>1749.5</v>
      </c>
      <c r="L29" s="1">
        <v>17495</v>
      </c>
      <c r="M29" s="1">
        <f t="shared" si="3"/>
        <v>3149.1</v>
      </c>
      <c r="N29" s="1">
        <f t="shared" si="4"/>
        <v>20644.099999999999</v>
      </c>
      <c r="S29" t="str">
        <f t="shared" si="0"/>
        <v>Punjab</v>
      </c>
      <c r="W29" t="str">
        <f t="shared" si="5"/>
        <v>East</v>
      </c>
      <c r="AB29" t="str">
        <f t="shared" si="6"/>
        <v>PK-PB</v>
      </c>
    </row>
    <row r="30" spans="1:28" x14ac:dyDescent="0.25">
      <c r="A30" s="2">
        <v>45167</v>
      </c>
      <c r="B30" t="s">
        <v>38</v>
      </c>
      <c r="C30" t="s">
        <v>17</v>
      </c>
      <c r="D30" t="s">
        <v>65</v>
      </c>
      <c r="E30" t="s">
        <v>64</v>
      </c>
      <c r="F30" t="s">
        <v>23</v>
      </c>
      <c r="G30" t="s">
        <v>37</v>
      </c>
      <c r="H30">
        <v>4</v>
      </c>
      <c r="I30" s="1">
        <v>791.28</v>
      </c>
      <c r="J30" s="1">
        <f t="shared" si="1"/>
        <v>2848.6080000000002</v>
      </c>
      <c r="K30" s="1">
        <f t="shared" si="2"/>
        <v>316.512</v>
      </c>
      <c r="L30" s="1">
        <v>3165.12</v>
      </c>
      <c r="M30" s="1">
        <f t="shared" si="3"/>
        <v>569.72159999999997</v>
      </c>
      <c r="N30" s="1">
        <f t="shared" si="4"/>
        <v>3734.8415999999997</v>
      </c>
      <c r="S30" t="str">
        <f t="shared" si="0"/>
        <v>Punjab</v>
      </c>
      <c r="W30" t="str">
        <f t="shared" si="5"/>
        <v>East</v>
      </c>
      <c r="AB30" t="str">
        <f t="shared" si="6"/>
        <v>PK-PB</v>
      </c>
    </row>
    <row r="31" spans="1:28" x14ac:dyDescent="0.25">
      <c r="A31" s="2">
        <v>45052</v>
      </c>
      <c r="B31" t="s">
        <v>34</v>
      </c>
      <c r="C31" t="s">
        <v>57</v>
      </c>
      <c r="D31" t="s">
        <v>22</v>
      </c>
      <c r="E31" t="s">
        <v>13</v>
      </c>
      <c r="F31" t="s">
        <v>27</v>
      </c>
      <c r="G31" t="s">
        <v>28</v>
      </c>
      <c r="H31">
        <v>14</v>
      </c>
      <c r="I31" s="1">
        <v>4868.33</v>
      </c>
      <c r="J31" s="1">
        <f t="shared" si="1"/>
        <v>61340.957999999999</v>
      </c>
      <c r="K31" s="1">
        <f t="shared" si="2"/>
        <v>6815.6620000000003</v>
      </c>
      <c r="L31" s="1">
        <v>68156.62</v>
      </c>
      <c r="M31" s="1">
        <f t="shared" si="3"/>
        <v>12268.191599999998</v>
      </c>
      <c r="N31" s="1">
        <f t="shared" si="4"/>
        <v>80424.811599999986</v>
      </c>
      <c r="S31" t="str">
        <f t="shared" si="0"/>
        <v>Balochistan</v>
      </c>
      <c r="W31" t="str">
        <f t="shared" si="5"/>
        <v>West</v>
      </c>
      <c r="AB31" t="str">
        <f t="shared" si="6"/>
        <v>PK-BA</v>
      </c>
    </row>
    <row r="32" spans="1:28" x14ac:dyDescent="0.25">
      <c r="A32" s="2">
        <v>45258</v>
      </c>
      <c r="B32" t="s">
        <v>31</v>
      </c>
      <c r="C32" t="s">
        <v>58</v>
      </c>
      <c r="D32" t="s">
        <v>12</v>
      </c>
      <c r="E32" t="s">
        <v>18</v>
      </c>
      <c r="F32" t="s">
        <v>23</v>
      </c>
      <c r="G32" t="s">
        <v>39</v>
      </c>
      <c r="H32">
        <v>12</v>
      </c>
      <c r="I32" s="1">
        <v>1958.77</v>
      </c>
      <c r="J32" s="1">
        <f t="shared" si="1"/>
        <v>21154.716</v>
      </c>
      <c r="K32" s="1">
        <f t="shared" si="2"/>
        <v>2350.5240000000003</v>
      </c>
      <c r="L32" s="1">
        <v>23505.24</v>
      </c>
      <c r="M32" s="1">
        <f t="shared" si="3"/>
        <v>4230.9431999999997</v>
      </c>
      <c r="N32" s="1">
        <f t="shared" si="4"/>
        <v>27736.183199999999</v>
      </c>
      <c r="S32" t="str">
        <f t="shared" si="0"/>
        <v>Sindh</v>
      </c>
      <c r="W32" t="str">
        <f t="shared" si="5"/>
        <v>South</v>
      </c>
      <c r="AB32" t="str">
        <f t="shared" si="6"/>
        <v>PK-SD</v>
      </c>
    </row>
    <row r="33" spans="1:28" x14ac:dyDescent="0.25">
      <c r="A33" s="2">
        <v>44939</v>
      </c>
      <c r="B33" t="s">
        <v>21</v>
      </c>
      <c r="C33" t="s">
        <v>59</v>
      </c>
      <c r="D33" t="s">
        <v>66</v>
      </c>
      <c r="E33" t="s">
        <v>41</v>
      </c>
      <c r="F33" t="s">
        <v>19</v>
      </c>
      <c r="G33" t="s">
        <v>30</v>
      </c>
      <c r="H33">
        <v>10</v>
      </c>
      <c r="I33" s="1">
        <v>3690.75</v>
      </c>
      <c r="J33" s="1">
        <f t="shared" si="1"/>
        <v>33216.75</v>
      </c>
      <c r="K33" s="1">
        <f t="shared" si="2"/>
        <v>3690.75</v>
      </c>
      <c r="L33" s="1">
        <v>36907.5</v>
      </c>
      <c r="M33" s="1">
        <f t="shared" si="3"/>
        <v>6643.3499999999995</v>
      </c>
      <c r="N33" s="1">
        <f t="shared" si="4"/>
        <v>43550.85</v>
      </c>
      <c r="S33" t="str">
        <f t="shared" si="0"/>
        <v>Khyber Pakhtunkhwa</v>
      </c>
      <c r="W33" t="str">
        <f t="shared" si="5"/>
        <v>North</v>
      </c>
      <c r="AB33" t="str">
        <f t="shared" si="6"/>
        <v>Khyber Pakhtunkhwa</v>
      </c>
    </row>
    <row r="34" spans="1:28" x14ac:dyDescent="0.25">
      <c r="A34" s="2">
        <v>45097</v>
      </c>
      <c r="B34" t="s">
        <v>21</v>
      </c>
      <c r="C34" t="s">
        <v>35</v>
      </c>
      <c r="D34" t="s">
        <v>65</v>
      </c>
      <c r="E34" t="s">
        <v>64</v>
      </c>
      <c r="F34" t="s">
        <v>19</v>
      </c>
      <c r="G34" t="s">
        <v>30</v>
      </c>
      <c r="H34">
        <v>17</v>
      </c>
      <c r="I34" s="1">
        <v>1037.05</v>
      </c>
      <c r="J34" s="1">
        <f t="shared" si="1"/>
        <v>15866.865</v>
      </c>
      <c r="K34" s="1">
        <f t="shared" si="2"/>
        <v>1762.9849999999999</v>
      </c>
      <c r="L34" s="1">
        <v>17629.849999999999</v>
      </c>
      <c r="M34" s="1">
        <f t="shared" si="3"/>
        <v>3173.3729999999996</v>
      </c>
      <c r="N34" s="1">
        <f t="shared" si="4"/>
        <v>20803.222999999998</v>
      </c>
      <c r="S34" t="str">
        <f t="shared" si="0"/>
        <v>Punjab</v>
      </c>
      <c r="W34" t="str">
        <f t="shared" si="5"/>
        <v>East</v>
      </c>
      <c r="AB34" t="str">
        <f t="shared" si="6"/>
        <v>PK-PB</v>
      </c>
    </row>
    <row r="35" spans="1:28" x14ac:dyDescent="0.25">
      <c r="A35" s="2">
        <v>44937</v>
      </c>
      <c r="B35" t="s">
        <v>40</v>
      </c>
      <c r="C35" t="s">
        <v>62</v>
      </c>
      <c r="D35" t="s">
        <v>65</v>
      </c>
      <c r="E35" t="s">
        <v>64</v>
      </c>
      <c r="F35" t="s">
        <v>27</v>
      </c>
      <c r="G35" t="s">
        <v>46</v>
      </c>
      <c r="H35">
        <v>17</v>
      </c>
      <c r="I35" s="1">
        <v>2215.5500000000002</v>
      </c>
      <c r="J35" s="1">
        <f t="shared" si="1"/>
        <v>33897.915000000001</v>
      </c>
      <c r="K35" s="1">
        <f t="shared" si="2"/>
        <v>3766.4349999999999</v>
      </c>
      <c r="L35" s="1">
        <v>37664.35</v>
      </c>
      <c r="M35" s="1">
        <f t="shared" si="3"/>
        <v>6779.5829999999996</v>
      </c>
      <c r="N35" s="1">
        <f t="shared" si="4"/>
        <v>44443.932999999997</v>
      </c>
      <c r="S35" t="str">
        <f t="shared" si="0"/>
        <v>Punjab</v>
      </c>
      <c r="W35" t="str">
        <f t="shared" si="5"/>
        <v>East</v>
      </c>
      <c r="AB35" t="str">
        <f t="shared" si="6"/>
        <v>PK-PB</v>
      </c>
    </row>
    <row r="36" spans="1:28" x14ac:dyDescent="0.25">
      <c r="A36" s="2">
        <v>45260</v>
      </c>
      <c r="B36" t="s">
        <v>40</v>
      </c>
      <c r="C36" t="s">
        <v>55</v>
      </c>
      <c r="D36" t="s">
        <v>66</v>
      </c>
      <c r="E36" t="s">
        <v>41</v>
      </c>
      <c r="F36" t="s">
        <v>23</v>
      </c>
      <c r="G36" t="s">
        <v>47</v>
      </c>
      <c r="H36">
        <v>19</v>
      </c>
      <c r="I36" s="1">
        <v>1343.6</v>
      </c>
      <c r="J36" s="1">
        <f t="shared" si="1"/>
        <v>22975.56</v>
      </c>
      <c r="K36" s="1">
        <f t="shared" si="2"/>
        <v>2552.84</v>
      </c>
      <c r="L36" s="1">
        <v>25528.400000000001</v>
      </c>
      <c r="M36" s="1">
        <f t="shared" si="3"/>
        <v>4595.1120000000001</v>
      </c>
      <c r="N36" s="1">
        <f t="shared" si="4"/>
        <v>30123.512000000002</v>
      </c>
      <c r="S36" t="str">
        <f t="shared" si="0"/>
        <v>Khyber Pakhtunkhwa</v>
      </c>
      <c r="W36" t="str">
        <f t="shared" si="5"/>
        <v>North</v>
      </c>
      <c r="AB36" t="str">
        <f t="shared" si="6"/>
        <v>Khyber Pakhtunkhwa</v>
      </c>
    </row>
    <row r="37" spans="1:28" x14ac:dyDescent="0.25">
      <c r="A37" s="2">
        <v>45056</v>
      </c>
      <c r="B37" t="s">
        <v>40</v>
      </c>
      <c r="C37" t="s">
        <v>11</v>
      </c>
      <c r="D37" t="s">
        <v>22</v>
      </c>
      <c r="E37" t="s">
        <v>13</v>
      </c>
      <c r="F37" t="s">
        <v>27</v>
      </c>
      <c r="G37" t="s">
        <v>28</v>
      </c>
      <c r="H37">
        <v>8</v>
      </c>
      <c r="I37" s="1">
        <v>4455.43</v>
      </c>
      <c r="J37" s="1">
        <f t="shared" si="1"/>
        <v>32079.096000000001</v>
      </c>
      <c r="K37" s="1">
        <f t="shared" si="2"/>
        <v>3564.3440000000005</v>
      </c>
      <c r="L37" s="1">
        <v>35643.440000000002</v>
      </c>
      <c r="M37" s="1">
        <f t="shared" si="3"/>
        <v>6415.8191999999999</v>
      </c>
      <c r="N37" s="1">
        <f t="shared" si="4"/>
        <v>42059.2592</v>
      </c>
      <c r="S37" t="str">
        <f t="shared" si="0"/>
        <v>Balochistan</v>
      </c>
      <c r="W37" t="str">
        <f t="shared" si="5"/>
        <v>West</v>
      </c>
      <c r="AB37" t="str">
        <f t="shared" si="6"/>
        <v>PK-BA</v>
      </c>
    </row>
    <row r="38" spans="1:28" x14ac:dyDescent="0.25">
      <c r="A38" s="2">
        <v>44950</v>
      </c>
      <c r="B38" t="s">
        <v>34</v>
      </c>
      <c r="C38" t="s">
        <v>56</v>
      </c>
      <c r="D38" t="s">
        <v>12</v>
      </c>
      <c r="E38" t="s">
        <v>18</v>
      </c>
      <c r="F38" t="s">
        <v>19</v>
      </c>
      <c r="G38" t="s">
        <v>48</v>
      </c>
      <c r="H38">
        <v>9</v>
      </c>
      <c r="I38" s="1">
        <v>3892.79</v>
      </c>
      <c r="J38" s="1">
        <f t="shared" si="1"/>
        <v>31531.599000000002</v>
      </c>
      <c r="K38" s="1">
        <f t="shared" si="2"/>
        <v>3503.5110000000004</v>
      </c>
      <c r="L38" s="1">
        <v>35035.11</v>
      </c>
      <c r="M38" s="1">
        <f t="shared" si="3"/>
        <v>6306.3198000000002</v>
      </c>
      <c r="N38" s="1">
        <f t="shared" si="4"/>
        <v>41341.429799999998</v>
      </c>
      <c r="S38" t="str">
        <f t="shared" si="0"/>
        <v>Sindh</v>
      </c>
      <c r="W38" t="str">
        <f t="shared" si="5"/>
        <v>South</v>
      </c>
      <c r="AB38" t="str">
        <f t="shared" si="6"/>
        <v>PK-SD</v>
      </c>
    </row>
    <row r="39" spans="1:28" x14ac:dyDescent="0.25">
      <c r="A39" s="2">
        <v>45266</v>
      </c>
      <c r="B39" t="s">
        <v>34</v>
      </c>
      <c r="C39" t="s">
        <v>61</v>
      </c>
      <c r="D39" t="s">
        <v>65</v>
      </c>
      <c r="E39" t="s">
        <v>64</v>
      </c>
      <c r="F39" t="s">
        <v>32</v>
      </c>
      <c r="G39" t="s">
        <v>36</v>
      </c>
      <c r="H39">
        <v>9</v>
      </c>
      <c r="I39" s="1">
        <v>4618.59</v>
      </c>
      <c r="J39" s="1">
        <f t="shared" si="1"/>
        <v>37410.578999999998</v>
      </c>
      <c r="K39" s="1">
        <f t="shared" si="2"/>
        <v>4156.7309999999998</v>
      </c>
      <c r="L39" s="1">
        <v>41567.31</v>
      </c>
      <c r="M39" s="1">
        <f t="shared" si="3"/>
        <v>7482.1157999999996</v>
      </c>
      <c r="N39" s="1">
        <f t="shared" si="4"/>
        <v>49049.425799999997</v>
      </c>
      <c r="S39" t="str">
        <f t="shared" si="0"/>
        <v>Punjab</v>
      </c>
      <c r="W39" t="str">
        <f t="shared" si="5"/>
        <v>East</v>
      </c>
      <c r="AB39" t="str">
        <f t="shared" si="6"/>
        <v>PK-PB</v>
      </c>
    </row>
    <row r="40" spans="1:28" x14ac:dyDescent="0.25">
      <c r="A40" s="2">
        <v>45161</v>
      </c>
      <c r="B40" t="s">
        <v>38</v>
      </c>
      <c r="C40" t="s">
        <v>62</v>
      </c>
      <c r="D40" t="s">
        <v>65</v>
      </c>
      <c r="E40" t="s">
        <v>64</v>
      </c>
      <c r="F40" t="s">
        <v>23</v>
      </c>
      <c r="G40" t="s">
        <v>47</v>
      </c>
      <c r="H40">
        <v>11</v>
      </c>
      <c r="I40" s="1">
        <v>3385.93</v>
      </c>
      <c r="J40" s="1">
        <f t="shared" si="1"/>
        <v>33520.707000000002</v>
      </c>
      <c r="K40" s="1">
        <f t="shared" si="2"/>
        <v>3724.5230000000006</v>
      </c>
      <c r="L40" s="1">
        <v>37245.230000000003</v>
      </c>
      <c r="M40" s="1">
        <f t="shared" si="3"/>
        <v>6704.1414000000004</v>
      </c>
      <c r="N40" s="1">
        <f t="shared" si="4"/>
        <v>43949.371400000004</v>
      </c>
      <c r="S40" t="str">
        <f t="shared" si="0"/>
        <v>Punjab</v>
      </c>
      <c r="W40" t="str">
        <f t="shared" si="5"/>
        <v>East</v>
      </c>
      <c r="AB40" t="str">
        <f t="shared" si="6"/>
        <v>PK-PB</v>
      </c>
    </row>
    <row r="41" spans="1:28" x14ac:dyDescent="0.25">
      <c r="A41" s="2">
        <v>44975</v>
      </c>
      <c r="B41" t="s">
        <v>34</v>
      </c>
      <c r="C41" t="s">
        <v>35</v>
      </c>
      <c r="D41" t="s">
        <v>65</v>
      </c>
      <c r="E41" t="s">
        <v>64</v>
      </c>
      <c r="F41" t="s">
        <v>19</v>
      </c>
      <c r="G41" t="s">
        <v>30</v>
      </c>
      <c r="H41">
        <v>14</v>
      </c>
      <c r="I41" s="1">
        <v>2452.98</v>
      </c>
      <c r="J41" s="1">
        <f t="shared" si="1"/>
        <v>30907.548000000003</v>
      </c>
      <c r="K41" s="1">
        <f t="shared" si="2"/>
        <v>3434.1720000000005</v>
      </c>
      <c r="L41" s="1">
        <v>34341.72</v>
      </c>
      <c r="M41" s="1">
        <f t="shared" si="3"/>
        <v>6181.5096000000003</v>
      </c>
      <c r="N41" s="1">
        <f t="shared" si="4"/>
        <v>40523.229599999999</v>
      </c>
      <c r="S41" t="str">
        <f t="shared" si="0"/>
        <v>Punjab</v>
      </c>
      <c r="W41" t="str">
        <f t="shared" si="5"/>
        <v>East</v>
      </c>
      <c r="AB41" t="str">
        <f t="shared" si="6"/>
        <v>PK-PB</v>
      </c>
    </row>
    <row r="42" spans="1:28" x14ac:dyDescent="0.25">
      <c r="A42" s="2">
        <v>45142</v>
      </c>
      <c r="B42" t="s">
        <v>10</v>
      </c>
      <c r="C42" t="s">
        <v>54</v>
      </c>
      <c r="D42" t="s">
        <v>12</v>
      </c>
      <c r="E42" t="s">
        <v>18</v>
      </c>
      <c r="F42" t="s">
        <v>32</v>
      </c>
      <c r="G42" t="s">
        <v>33</v>
      </c>
      <c r="H42">
        <v>16</v>
      </c>
      <c r="I42" s="1">
        <v>695.96</v>
      </c>
      <c r="J42" s="1">
        <f t="shared" si="1"/>
        <v>10021.824000000001</v>
      </c>
      <c r="K42" s="1">
        <f t="shared" si="2"/>
        <v>1113.5360000000001</v>
      </c>
      <c r="L42" s="1">
        <v>11135.36</v>
      </c>
      <c r="M42" s="1">
        <f t="shared" si="3"/>
        <v>2004.3648000000001</v>
      </c>
      <c r="N42" s="1">
        <f t="shared" si="4"/>
        <v>13139.7248</v>
      </c>
      <c r="S42" t="str">
        <f t="shared" si="0"/>
        <v>Sindh</v>
      </c>
      <c r="W42" t="str">
        <f t="shared" si="5"/>
        <v>South</v>
      </c>
      <c r="AB42" t="str">
        <f t="shared" si="6"/>
        <v>PK-SD</v>
      </c>
    </row>
    <row r="43" spans="1:28" x14ac:dyDescent="0.25">
      <c r="A43" s="2">
        <v>44986</v>
      </c>
      <c r="B43" t="s">
        <v>25</v>
      </c>
      <c r="C43" t="s">
        <v>35</v>
      </c>
      <c r="D43" t="s">
        <v>65</v>
      </c>
      <c r="E43" t="s">
        <v>64</v>
      </c>
      <c r="F43" t="s">
        <v>32</v>
      </c>
      <c r="G43" t="s">
        <v>49</v>
      </c>
      <c r="H43">
        <v>1</v>
      </c>
      <c r="I43" s="1">
        <v>1979.54</v>
      </c>
      <c r="J43" s="1">
        <f t="shared" si="1"/>
        <v>1781.586</v>
      </c>
      <c r="K43" s="1">
        <f t="shared" si="2"/>
        <v>197.95400000000001</v>
      </c>
      <c r="L43" s="1">
        <v>1979.54</v>
      </c>
      <c r="M43" s="1">
        <f t="shared" si="3"/>
        <v>356.31719999999996</v>
      </c>
      <c r="N43" s="1">
        <f t="shared" si="4"/>
        <v>2335.8571999999999</v>
      </c>
      <c r="S43" t="str">
        <f t="shared" si="0"/>
        <v>Punjab</v>
      </c>
      <c r="W43" t="str">
        <f t="shared" si="5"/>
        <v>East</v>
      </c>
      <c r="AB43" t="str">
        <f t="shared" si="6"/>
        <v>PK-PB</v>
      </c>
    </row>
    <row r="44" spans="1:28" x14ac:dyDescent="0.25">
      <c r="A44" s="2">
        <v>45016</v>
      </c>
      <c r="B44" t="s">
        <v>31</v>
      </c>
      <c r="C44" t="s">
        <v>61</v>
      </c>
      <c r="D44" t="s">
        <v>65</v>
      </c>
      <c r="E44" t="s">
        <v>64</v>
      </c>
      <c r="F44" t="s">
        <v>19</v>
      </c>
      <c r="G44" t="s">
        <v>20</v>
      </c>
      <c r="H44">
        <v>9</v>
      </c>
      <c r="I44" s="1">
        <v>3727.82</v>
      </c>
      <c r="J44" s="1">
        <f t="shared" si="1"/>
        <v>30195.341999999997</v>
      </c>
      <c r="K44" s="1">
        <f t="shared" si="2"/>
        <v>3355.038</v>
      </c>
      <c r="L44" s="1">
        <v>33550.379999999997</v>
      </c>
      <c r="M44" s="1">
        <f t="shared" si="3"/>
        <v>6039.0683999999992</v>
      </c>
      <c r="N44" s="1">
        <f t="shared" si="4"/>
        <v>39589.448399999994</v>
      </c>
      <c r="S44" t="str">
        <f t="shared" si="0"/>
        <v>Punjab</v>
      </c>
      <c r="W44" t="str">
        <f t="shared" si="5"/>
        <v>East</v>
      </c>
      <c r="AB44" t="str">
        <f t="shared" si="6"/>
        <v>PK-PB</v>
      </c>
    </row>
    <row r="45" spans="1:28" x14ac:dyDescent="0.25">
      <c r="A45" s="2">
        <v>45031</v>
      </c>
      <c r="B45" t="s">
        <v>10</v>
      </c>
      <c r="C45" t="s">
        <v>60</v>
      </c>
      <c r="D45" t="s">
        <v>12</v>
      </c>
      <c r="E45" t="s">
        <v>18</v>
      </c>
      <c r="F45" t="s">
        <v>27</v>
      </c>
      <c r="G45" t="s">
        <v>46</v>
      </c>
      <c r="H45">
        <v>1</v>
      </c>
      <c r="I45" s="1">
        <v>1495.61</v>
      </c>
      <c r="J45" s="1">
        <f t="shared" si="1"/>
        <v>1346.049</v>
      </c>
      <c r="K45" s="1">
        <f t="shared" si="2"/>
        <v>149.56100000000001</v>
      </c>
      <c r="L45" s="1">
        <v>1495.61</v>
      </c>
      <c r="M45" s="1">
        <f t="shared" si="3"/>
        <v>269.20979999999997</v>
      </c>
      <c r="N45" s="1">
        <f t="shared" si="4"/>
        <v>1764.8197999999998</v>
      </c>
      <c r="S45" t="str">
        <f t="shared" si="0"/>
        <v>Sindh</v>
      </c>
      <c r="W45" t="str">
        <f t="shared" si="5"/>
        <v>South</v>
      </c>
      <c r="AB45" t="str">
        <f t="shared" si="6"/>
        <v>PK-SD</v>
      </c>
    </row>
    <row r="46" spans="1:28" x14ac:dyDescent="0.25">
      <c r="A46" s="2">
        <v>45288</v>
      </c>
      <c r="B46" t="s">
        <v>38</v>
      </c>
      <c r="C46" t="s">
        <v>26</v>
      </c>
      <c r="D46" t="s">
        <v>12</v>
      </c>
      <c r="E46" t="s">
        <v>18</v>
      </c>
      <c r="F46" t="s">
        <v>23</v>
      </c>
      <c r="G46" t="s">
        <v>37</v>
      </c>
      <c r="H46">
        <v>18</v>
      </c>
      <c r="I46" s="1">
        <v>1928.15</v>
      </c>
      <c r="J46" s="1">
        <f t="shared" si="1"/>
        <v>31236.03</v>
      </c>
      <c r="K46" s="1">
        <f t="shared" si="2"/>
        <v>3470.67</v>
      </c>
      <c r="L46" s="1">
        <v>34706.699999999997</v>
      </c>
      <c r="M46" s="1">
        <f t="shared" si="3"/>
        <v>6247.2059999999992</v>
      </c>
      <c r="N46" s="1">
        <f t="shared" si="4"/>
        <v>40953.905999999995</v>
      </c>
      <c r="S46" t="str">
        <f t="shared" si="0"/>
        <v>Sindh</v>
      </c>
      <c r="W46" t="str">
        <f t="shared" si="5"/>
        <v>South</v>
      </c>
      <c r="AB46" t="str">
        <f t="shared" si="6"/>
        <v>PK-SD</v>
      </c>
    </row>
    <row r="47" spans="1:28" x14ac:dyDescent="0.25">
      <c r="A47" s="2">
        <v>44989</v>
      </c>
      <c r="B47" t="s">
        <v>29</v>
      </c>
      <c r="C47" t="s">
        <v>26</v>
      </c>
      <c r="D47" t="s">
        <v>12</v>
      </c>
      <c r="E47" t="s">
        <v>18</v>
      </c>
      <c r="F47" t="s">
        <v>19</v>
      </c>
      <c r="G47" t="s">
        <v>30</v>
      </c>
      <c r="H47">
        <v>1</v>
      </c>
      <c r="I47" s="1">
        <v>4192.3900000000003</v>
      </c>
      <c r="J47" s="1">
        <f t="shared" si="1"/>
        <v>3773.1510000000003</v>
      </c>
      <c r="K47" s="1">
        <f t="shared" si="2"/>
        <v>419.23900000000003</v>
      </c>
      <c r="L47" s="1">
        <v>4192.3900000000003</v>
      </c>
      <c r="M47" s="1">
        <f t="shared" si="3"/>
        <v>754.63020000000006</v>
      </c>
      <c r="N47" s="1">
        <f t="shared" si="4"/>
        <v>4947.0202000000008</v>
      </c>
      <c r="S47" t="str">
        <f t="shared" si="0"/>
        <v>Sindh</v>
      </c>
      <c r="W47" t="str">
        <f t="shared" si="5"/>
        <v>South</v>
      </c>
      <c r="AB47" t="str">
        <f t="shared" si="6"/>
        <v>PK-SD</v>
      </c>
    </row>
    <row r="48" spans="1:28" x14ac:dyDescent="0.25">
      <c r="A48" s="2">
        <v>44961</v>
      </c>
      <c r="B48" t="s">
        <v>38</v>
      </c>
      <c r="C48" t="s">
        <v>56</v>
      </c>
      <c r="D48" t="s">
        <v>12</v>
      </c>
      <c r="E48" t="s">
        <v>18</v>
      </c>
      <c r="F48" t="s">
        <v>32</v>
      </c>
      <c r="G48" t="s">
        <v>50</v>
      </c>
      <c r="H48">
        <v>7</v>
      </c>
      <c r="I48" s="1">
        <v>4988.71</v>
      </c>
      <c r="J48" s="1">
        <f t="shared" si="1"/>
        <v>31428.873000000003</v>
      </c>
      <c r="K48" s="1">
        <f t="shared" si="2"/>
        <v>3492.0970000000002</v>
      </c>
      <c r="L48" s="1">
        <v>34920.97</v>
      </c>
      <c r="M48" s="1">
        <f t="shared" si="3"/>
        <v>6285.7745999999997</v>
      </c>
      <c r="N48" s="1">
        <f t="shared" si="4"/>
        <v>41206.744599999998</v>
      </c>
      <c r="S48" t="str">
        <f t="shared" si="0"/>
        <v>Sindh</v>
      </c>
      <c r="W48" t="str">
        <f t="shared" si="5"/>
        <v>South</v>
      </c>
      <c r="AB48" t="str">
        <f t="shared" si="6"/>
        <v>PK-SD</v>
      </c>
    </row>
    <row r="49" spans="1:28" x14ac:dyDescent="0.25">
      <c r="A49" s="2">
        <v>45035</v>
      </c>
      <c r="B49" t="s">
        <v>34</v>
      </c>
      <c r="C49" t="s">
        <v>62</v>
      </c>
      <c r="D49" t="s">
        <v>65</v>
      </c>
      <c r="E49" t="s">
        <v>64</v>
      </c>
      <c r="F49" t="s">
        <v>23</v>
      </c>
      <c r="G49" t="s">
        <v>37</v>
      </c>
      <c r="H49">
        <v>9</v>
      </c>
      <c r="I49" s="1">
        <v>1328.13</v>
      </c>
      <c r="J49" s="1">
        <f t="shared" si="1"/>
        <v>10757.853000000001</v>
      </c>
      <c r="K49" s="1">
        <f t="shared" si="2"/>
        <v>1195.317</v>
      </c>
      <c r="L49" s="1">
        <v>11953.17</v>
      </c>
      <c r="M49" s="1">
        <f t="shared" si="3"/>
        <v>2151.5706</v>
      </c>
      <c r="N49" s="1">
        <f t="shared" si="4"/>
        <v>14104.740600000001</v>
      </c>
      <c r="S49" t="str">
        <f t="shared" si="0"/>
        <v>Punjab</v>
      </c>
      <c r="W49" t="str">
        <f t="shared" si="5"/>
        <v>East</v>
      </c>
      <c r="AB49" t="str">
        <f t="shared" si="6"/>
        <v>PK-PB</v>
      </c>
    </row>
    <row r="50" spans="1:28" x14ac:dyDescent="0.25">
      <c r="A50" s="2">
        <v>45190</v>
      </c>
      <c r="B50" t="s">
        <v>38</v>
      </c>
      <c r="C50" t="s">
        <v>59</v>
      </c>
      <c r="D50" t="s">
        <v>66</v>
      </c>
      <c r="E50" t="s">
        <v>41</v>
      </c>
      <c r="F50" t="s">
        <v>14</v>
      </c>
      <c r="G50" t="s">
        <v>51</v>
      </c>
      <c r="H50">
        <v>9</v>
      </c>
      <c r="I50" s="1">
        <v>722.44</v>
      </c>
      <c r="J50" s="1">
        <f t="shared" si="1"/>
        <v>5851.7640000000001</v>
      </c>
      <c r="K50" s="1">
        <f t="shared" si="2"/>
        <v>650.19600000000003</v>
      </c>
      <c r="L50" s="1">
        <v>6501.96</v>
      </c>
      <c r="M50" s="1">
        <f t="shared" si="3"/>
        <v>1170.3527999999999</v>
      </c>
      <c r="N50" s="1">
        <f t="shared" si="4"/>
        <v>7672.3127999999997</v>
      </c>
      <c r="S50" t="str">
        <f t="shared" si="0"/>
        <v>Khyber Pakhtunkhwa</v>
      </c>
      <c r="W50" t="str">
        <f t="shared" si="5"/>
        <v>North</v>
      </c>
      <c r="AB50" t="str">
        <f t="shared" si="6"/>
        <v>Khyber Pakhtunkhwa</v>
      </c>
    </row>
    <row r="51" spans="1:28" x14ac:dyDescent="0.25">
      <c r="A51" s="2">
        <v>45220</v>
      </c>
      <c r="B51" t="s">
        <v>21</v>
      </c>
      <c r="C51" t="s">
        <v>11</v>
      </c>
      <c r="D51" t="s">
        <v>22</v>
      </c>
      <c r="E51" t="s">
        <v>13</v>
      </c>
      <c r="F51" t="s">
        <v>23</v>
      </c>
      <c r="G51" t="s">
        <v>37</v>
      </c>
      <c r="H51">
        <v>2</v>
      </c>
      <c r="I51" s="1">
        <v>4726.0600000000004</v>
      </c>
      <c r="J51" s="1">
        <f t="shared" si="1"/>
        <v>8506.9080000000013</v>
      </c>
      <c r="K51" s="1">
        <f t="shared" si="2"/>
        <v>945.2120000000001</v>
      </c>
      <c r="L51" s="1">
        <v>9452.1200000000008</v>
      </c>
      <c r="M51" s="1">
        <f t="shared" si="3"/>
        <v>1701.3816000000002</v>
      </c>
      <c r="N51" s="1">
        <f t="shared" si="4"/>
        <v>11153.501600000001</v>
      </c>
      <c r="S51" t="str">
        <f t="shared" si="0"/>
        <v>Balochistan</v>
      </c>
      <c r="W51" t="str">
        <f t="shared" si="5"/>
        <v>West</v>
      </c>
      <c r="AB51" t="str">
        <f t="shared" si="6"/>
        <v>PK-BA</v>
      </c>
    </row>
    <row r="52" spans="1:28" x14ac:dyDescent="0.25">
      <c r="A52" s="2">
        <v>44963</v>
      </c>
      <c r="B52" t="s">
        <v>34</v>
      </c>
      <c r="C52" t="s">
        <v>54</v>
      </c>
      <c r="D52" t="s">
        <v>12</v>
      </c>
      <c r="E52" t="s">
        <v>18</v>
      </c>
      <c r="F52" t="s">
        <v>23</v>
      </c>
      <c r="G52" t="s">
        <v>39</v>
      </c>
      <c r="H52">
        <v>3</v>
      </c>
      <c r="I52" s="1">
        <v>2263.4699999999998</v>
      </c>
      <c r="J52" s="1">
        <f t="shared" si="1"/>
        <v>6111.3689999999997</v>
      </c>
      <c r="K52" s="1">
        <f t="shared" si="2"/>
        <v>679.04100000000005</v>
      </c>
      <c r="L52" s="1">
        <v>6790.41</v>
      </c>
      <c r="M52" s="1">
        <f t="shared" si="3"/>
        <v>1222.2737999999999</v>
      </c>
      <c r="N52" s="1">
        <f t="shared" si="4"/>
        <v>8012.6837999999998</v>
      </c>
      <c r="S52" t="str">
        <f t="shared" si="0"/>
        <v>Sindh</v>
      </c>
      <c r="W52" t="str">
        <f t="shared" si="5"/>
        <v>South</v>
      </c>
      <c r="AB52" t="str">
        <f t="shared" si="6"/>
        <v>PK-SD</v>
      </c>
    </row>
    <row r="53" spans="1:28" x14ac:dyDescent="0.25">
      <c r="A53" s="2">
        <v>45042</v>
      </c>
      <c r="B53" t="s">
        <v>21</v>
      </c>
      <c r="C53" t="s">
        <v>57</v>
      </c>
      <c r="D53" t="s">
        <v>22</v>
      </c>
      <c r="E53" t="s">
        <v>13</v>
      </c>
      <c r="F53" t="s">
        <v>14</v>
      </c>
      <c r="G53" t="s">
        <v>45</v>
      </c>
      <c r="H53">
        <v>20</v>
      </c>
      <c r="I53" s="1">
        <v>4365.58</v>
      </c>
      <c r="J53" s="1">
        <f t="shared" si="1"/>
        <v>78580.44</v>
      </c>
      <c r="K53" s="1">
        <f t="shared" si="2"/>
        <v>8731.1600000000017</v>
      </c>
      <c r="L53" s="1">
        <v>87311.6</v>
      </c>
      <c r="M53" s="1">
        <f t="shared" si="3"/>
        <v>15716.088</v>
      </c>
      <c r="N53" s="1">
        <f t="shared" si="4"/>
        <v>103027.68800000001</v>
      </c>
      <c r="S53" t="str">
        <f t="shared" si="0"/>
        <v>Balochistan</v>
      </c>
      <c r="W53" t="str">
        <f t="shared" si="5"/>
        <v>West</v>
      </c>
      <c r="AB53" t="str">
        <f t="shared" si="6"/>
        <v>PK-BA</v>
      </c>
    </row>
    <row r="54" spans="1:28" x14ac:dyDescent="0.25">
      <c r="A54" s="2">
        <v>44942</v>
      </c>
      <c r="B54" t="s">
        <v>40</v>
      </c>
      <c r="C54" t="s">
        <v>26</v>
      </c>
      <c r="D54" t="s">
        <v>12</v>
      </c>
      <c r="E54" t="s">
        <v>18</v>
      </c>
      <c r="F54" t="s">
        <v>32</v>
      </c>
      <c r="G54" t="s">
        <v>33</v>
      </c>
      <c r="H54">
        <v>20</v>
      </c>
      <c r="I54" s="1">
        <v>3925.65</v>
      </c>
      <c r="J54" s="1">
        <f t="shared" si="1"/>
        <v>70661.7</v>
      </c>
      <c r="K54" s="1">
        <f t="shared" si="2"/>
        <v>7851.3</v>
      </c>
      <c r="L54" s="1">
        <v>78513</v>
      </c>
      <c r="M54" s="1">
        <f t="shared" si="3"/>
        <v>14132.34</v>
      </c>
      <c r="N54" s="1">
        <f t="shared" si="4"/>
        <v>92645.34</v>
      </c>
      <c r="S54" t="str">
        <f t="shared" si="0"/>
        <v>Sindh</v>
      </c>
      <c r="W54" t="str">
        <f t="shared" si="5"/>
        <v>South</v>
      </c>
      <c r="AB54" t="str">
        <f t="shared" si="6"/>
        <v>PK-SD</v>
      </c>
    </row>
    <row r="55" spans="1:28" x14ac:dyDescent="0.25">
      <c r="A55" s="2">
        <v>45202</v>
      </c>
      <c r="B55" t="s">
        <v>16</v>
      </c>
      <c r="C55" t="s">
        <v>56</v>
      </c>
      <c r="D55" t="s">
        <v>12</v>
      </c>
      <c r="E55" t="s">
        <v>18</v>
      </c>
      <c r="F55" t="s">
        <v>14</v>
      </c>
      <c r="G55" t="s">
        <v>51</v>
      </c>
      <c r="H55">
        <v>3</v>
      </c>
      <c r="I55" s="1">
        <v>3613.98</v>
      </c>
      <c r="J55" s="1">
        <f t="shared" si="1"/>
        <v>9757.746000000001</v>
      </c>
      <c r="K55" s="1">
        <f t="shared" si="2"/>
        <v>1084.1940000000002</v>
      </c>
      <c r="L55" s="1">
        <v>10841.94</v>
      </c>
      <c r="M55" s="1">
        <f t="shared" si="3"/>
        <v>1951.5491999999999</v>
      </c>
      <c r="N55" s="1">
        <f t="shared" si="4"/>
        <v>12793.4892</v>
      </c>
      <c r="S55" t="str">
        <f t="shared" si="0"/>
        <v>Sindh</v>
      </c>
      <c r="W55" t="str">
        <f t="shared" si="5"/>
        <v>South</v>
      </c>
      <c r="AB55" t="str">
        <f t="shared" si="6"/>
        <v>PK-SD</v>
      </c>
    </row>
    <row r="56" spans="1:28" x14ac:dyDescent="0.25">
      <c r="A56" s="2">
        <v>45088</v>
      </c>
      <c r="B56" t="s">
        <v>38</v>
      </c>
      <c r="C56" t="s">
        <v>26</v>
      </c>
      <c r="D56" t="s">
        <v>12</v>
      </c>
      <c r="E56" t="s">
        <v>18</v>
      </c>
      <c r="F56" t="s">
        <v>19</v>
      </c>
      <c r="G56" t="s">
        <v>48</v>
      </c>
      <c r="H56">
        <v>7</v>
      </c>
      <c r="I56" s="1">
        <v>2483.54</v>
      </c>
      <c r="J56" s="1">
        <f t="shared" si="1"/>
        <v>15646.302</v>
      </c>
      <c r="K56" s="1">
        <f t="shared" si="2"/>
        <v>1738.4780000000001</v>
      </c>
      <c r="L56" s="1">
        <v>17384.78</v>
      </c>
      <c r="M56" s="1">
        <f t="shared" si="3"/>
        <v>3129.2603999999997</v>
      </c>
      <c r="N56" s="1">
        <f t="shared" si="4"/>
        <v>20514.040399999998</v>
      </c>
      <c r="S56" t="str">
        <f t="shared" si="0"/>
        <v>Sindh</v>
      </c>
      <c r="W56" t="str">
        <f t="shared" si="5"/>
        <v>South</v>
      </c>
      <c r="AB56" t="str">
        <f t="shared" si="6"/>
        <v>PK-SD</v>
      </c>
    </row>
    <row r="57" spans="1:28" x14ac:dyDescent="0.25">
      <c r="A57" s="2">
        <v>45201</v>
      </c>
      <c r="B57" t="s">
        <v>29</v>
      </c>
      <c r="C57" t="s">
        <v>58</v>
      </c>
      <c r="D57" t="s">
        <v>12</v>
      </c>
      <c r="E57" t="s">
        <v>18</v>
      </c>
      <c r="F57" t="s">
        <v>14</v>
      </c>
      <c r="G57" t="s">
        <v>51</v>
      </c>
      <c r="H57">
        <v>14</v>
      </c>
      <c r="I57" s="1">
        <v>2145.21</v>
      </c>
      <c r="J57" s="1">
        <f t="shared" si="1"/>
        <v>27029.646000000001</v>
      </c>
      <c r="K57" s="1">
        <f t="shared" si="2"/>
        <v>3003.2939999999999</v>
      </c>
      <c r="L57" s="1">
        <v>30032.94</v>
      </c>
      <c r="M57" s="1">
        <f t="shared" si="3"/>
        <v>5405.9291999999996</v>
      </c>
      <c r="N57" s="1">
        <f t="shared" si="4"/>
        <v>35438.869200000001</v>
      </c>
      <c r="S57" t="str">
        <f t="shared" si="0"/>
        <v>Sindh</v>
      </c>
      <c r="W57" t="str">
        <f t="shared" si="5"/>
        <v>South</v>
      </c>
      <c r="AB57" t="str">
        <f t="shared" si="6"/>
        <v>PK-SD</v>
      </c>
    </row>
    <row r="58" spans="1:28" x14ac:dyDescent="0.25">
      <c r="A58" s="2">
        <v>45254</v>
      </c>
      <c r="B58" t="s">
        <v>38</v>
      </c>
      <c r="C58" t="s">
        <v>62</v>
      </c>
      <c r="D58" t="s">
        <v>65</v>
      </c>
      <c r="E58" t="s">
        <v>64</v>
      </c>
      <c r="F58" t="s">
        <v>32</v>
      </c>
      <c r="G58" t="s">
        <v>49</v>
      </c>
      <c r="H58">
        <v>8</v>
      </c>
      <c r="I58" s="1">
        <v>4997.45</v>
      </c>
      <c r="J58" s="1">
        <f t="shared" si="1"/>
        <v>35981.64</v>
      </c>
      <c r="K58" s="1">
        <f t="shared" si="2"/>
        <v>3997.96</v>
      </c>
      <c r="L58" s="1">
        <v>39979.599999999999</v>
      </c>
      <c r="M58" s="1">
        <f t="shared" si="3"/>
        <v>7196.3279999999995</v>
      </c>
      <c r="N58" s="1">
        <f t="shared" si="4"/>
        <v>47175.928</v>
      </c>
      <c r="S58" t="str">
        <f t="shared" si="0"/>
        <v>Punjab</v>
      </c>
      <c r="W58" t="str">
        <f t="shared" si="5"/>
        <v>East</v>
      </c>
      <c r="AB58" t="str">
        <f t="shared" si="6"/>
        <v>PK-PB</v>
      </c>
    </row>
    <row r="59" spans="1:28" x14ac:dyDescent="0.25">
      <c r="A59" s="2">
        <v>45116</v>
      </c>
      <c r="B59" t="s">
        <v>40</v>
      </c>
      <c r="C59" t="s">
        <v>35</v>
      </c>
      <c r="D59" t="s">
        <v>65</v>
      </c>
      <c r="E59" t="s">
        <v>64</v>
      </c>
      <c r="F59" t="s">
        <v>32</v>
      </c>
      <c r="G59" t="s">
        <v>36</v>
      </c>
      <c r="H59">
        <v>3</v>
      </c>
      <c r="I59" s="1">
        <v>1753.98</v>
      </c>
      <c r="J59" s="1">
        <f t="shared" si="1"/>
        <v>4735.7460000000001</v>
      </c>
      <c r="K59" s="1">
        <f t="shared" si="2"/>
        <v>526.19399999999996</v>
      </c>
      <c r="L59" s="1">
        <v>5261.94</v>
      </c>
      <c r="M59" s="1">
        <f t="shared" si="3"/>
        <v>947.14919999999984</v>
      </c>
      <c r="N59" s="1">
        <f t="shared" si="4"/>
        <v>6209.0891999999994</v>
      </c>
      <c r="S59" t="str">
        <f t="shared" si="0"/>
        <v>Punjab</v>
      </c>
      <c r="W59" t="str">
        <f t="shared" si="5"/>
        <v>East</v>
      </c>
      <c r="AB59" t="str">
        <f t="shared" si="6"/>
        <v>PK-PB</v>
      </c>
    </row>
    <row r="60" spans="1:28" x14ac:dyDescent="0.25">
      <c r="A60" s="2">
        <v>45036</v>
      </c>
      <c r="B60" t="s">
        <v>31</v>
      </c>
      <c r="C60" t="s">
        <v>57</v>
      </c>
      <c r="D60" t="s">
        <v>22</v>
      </c>
      <c r="E60" t="s">
        <v>13</v>
      </c>
      <c r="F60" t="s">
        <v>32</v>
      </c>
      <c r="G60" t="s">
        <v>49</v>
      </c>
      <c r="H60">
        <v>2</v>
      </c>
      <c r="I60" s="1">
        <v>1207.92</v>
      </c>
      <c r="J60" s="1">
        <f t="shared" si="1"/>
        <v>2174.2560000000003</v>
      </c>
      <c r="K60" s="1">
        <f t="shared" si="2"/>
        <v>241.58400000000003</v>
      </c>
      <c r="L60" s="1">
        <v>2415.84</v>
      </c>
      <c r="M60" s="1">
        <f t="shared" si="3"/>
        <v>434.85120000000001</v>
      </c>
      <c r="N60" s="1">
        <f t="shared" si="4"/>
        <v>2850.6912000000002</v>
      </c>
      <c r="S60" t="str">
        <f t="shared" si="0"/>
        <v>Balochistan</v>
      </c>
      <c r="W60" t="str">
        <f t="shared" si="5"/>
        <v>West</v>
      </c>
      <c r="AB60" t="str">
        <f t="shared" si="6"/>
        <v>PK-BA</v>
      </c>
    </row>
    <row r="61" spans="1:28" x14ac:dyDescent="0.25">
      <c r="A61" s="2">
        <v>44995</v>
      </c>
      <c r="B61" t="s">
        <v>25</v>
      </c>
      <c r="C61" t="s">
        <v>59</v>
      </c>
      <c r="D61" t="s">
        <v>66</v>
      </c>
      <c r="E61" t="s">
        <v>41</v>
      </c>
      <c r="F61" t="s">
        <v>32</v>
      </c>
      <c r="G61" t="s">
        <v>50</v>
      </c>
      <c r="H61">
        <v>13</v>
      </c>
      <c r="I61" s="1">
        <v>4196.33</v>
      </c>
      <c r="J61" s="1">
        <f t="shared" si="1"/>
        <v>49097.061000000002</v>
      </c>
      <c r="K61" s="1">
        <f t="shared" si="2"/>
        <v>5455.2290000000003</v>
      </c>
      <c r="L61" s="1">
        <v>54552.29</v>
      </c>
      <c r="M61" s="1">
        <f t="shared" si="3"/>
        <v>9819.4122000000007</v>
      </c>
      <c r="N61" s="1">
        <f t="shared" si="4"/>
        <v>64371.7022</v>
      </c>
      <c r="S61" t="str">
        <f t="shared" si="0"/>
        <v>Khyber Pakhtunkhwa</v>
      </c>
      <c r="W61" t="str">
        <f t="shared" si="5"/>
        <v>North</v>
      </c>
      <c r="AB61" t="str">
        <f t="shared" si="6"/>
        <v>Khyber Pakhtunkhwa</v>
      </c>
    </row>
    <row r="62" spans="1:28" x14ac:dyDescent="0.25">
      <c r="A62" s="2">
        <v>45049</v>
      </c>
      <c r="B62" t="s">
        <v>43</v>
      </c>
      <c r="C62" t="s">
        <v>63</v>
      </c>
      <c r="D62" t="s">
        <v>65</v>
      </c>
      <c r="E62" t="s">
        <v>64</v>
      </c>
      <c r="F62" t="s">
        <v>19</v>
      </c>
      <c r="G62" t="s">
        <v>20</v>
      </c>
      <c r="H62">
        <v>18</v>
      </c>
      <c r="I62" s="1">
        <v>1310.78</v>
      </c>
      <c r="J62" s="1">
        <f t="shared" si="1"/>
        <v>21234.636000000002</v>
      </c>
      <c r="K62" s="1">
        <f t="shared" si="2"/>
        <v>2359.404</v>
      </c>
      <c r="L62" s="1">
        <v>23594.04</v>
      </c>
      <c r="M62" s="1">
        <f t="shared" si="3"/>
        <v>4246.9272000000001</v>
      </c>
      <c r="N62" s="1">
        <f t="shared" si="4"/>
        <v>27840.967199999999</v>
      </c>
      <c r="S62" t="str">
        <f t="shared" si="0"/>
        <v>Punjab</v>
      </c>
      <c r="W62" t="str">
        <f t="shared" si="5"/>
        <v>East</v>
      </c>
      <c r="AB62" t="str">
        <f t="shared" si="6"/>
        <v>PK-PB</v>
      </c>
    </row>
    <row r="63" spans="1:28" x14ac:dyDescent="0.25">
      <c r="A63" s="2">
        <v>45228</v>
      </c>
      <c r="B63" t="s">
        <v>40</v>
      </c>
      <c r="C63" t="s">
        <v>59</v>
      </c>
      <c r="D63" t="s">
        <v>66</v>
      </c>
      <c r="E63" t="s">
        <v>41</v>
      </c>
      <c r="F63" t="s">
        <v>14</v>
      </c>
      <c r="G63" t="s">
        <v>51</v>
      </c>
      <c r="H63">
        <v>20</v>
      </c>
      <c r="I63" s="1">
        <v>2142.9</v>
      </c>
      <c r="J63" s="1">
        <f t="shared" si="1"/>
        <v>38572.200000000004</v>
      </c>
      <c r="K63" s="1">
        <f t="shared" si="2"/>
        <v>4285.8</v>
      </c>
      <c r="L63" s="1">
        <v>42858</v>
      </c>
      <c r="M63" s="1">
        <f t="shared" si="3"/>
        <v>7714.44</v>
      </c>
      <c r="N63" s="1">
        <f t="shared" si="4"/>
        <v>50572.44</v>
      </c>
      <c r="S63" t="str">
        <f t="shared" si="0"/>
        <v>Khyber Pakhtunkhwa</v>
      </c>
      <c r="W63" t="str">
        <f t="shared" si="5"/>
        <v>North</v>
      </c>
      <c r="AB63" t="str">
        <f t="shared" si="6"/>
        <v>Khyber Pakhtunkhwa</v>
      </c>
    </row>
    <row r="64" spans="1:28" x14ac:dyDescent="0.25">
      <c r="A64" s="2">
        <v>45263</v>
      </c>
      <c r="B64" t="s">
        <v>43</v>
      </c>
      <c r="C64" t="s">
        <v>26</v>
      </c>
      <c r="D64" t="s">
        <v>12</v>
      </c>
      <c r="E64" t="s">
        <v>18</v>
      </c>
      <c r="F64" t="s">
        <v>32</v>
      </c>
      <c r="G64" t="s">
        <v>50</v>
      </c>
      <c r="H64">
        <v>19</v>
      </c>
      <c r="I64" s="1">
        <v>1359.7</v>
      </c>
      <c r="J64" s="1">
        <f t="shared" si="1"/>
        <v>23250.87</v>
      </c>
      <c r="K64" s="1">
        <f t="shared" si="2"/>
        <v>2583.4300000000003</v>
      </c>
      <c r="L64" s="1">
        <v>25834.3</v>
      </c>
      <c r="M64" s="1">
        <f t="shared" si="3"/>
        <v>4650.174</v>
      </c>
      <c r="N64" s="1">
        <f t="shared" si="4"/>
        <v>30484.473999999998</v>
      </c>
      <c r="S64" t="str">
        <f t="shared" si="0"/>
        <v>Sindh</v>
      </c>
      <c r="W64" t="str">
        <f t="shared" si="5"/>
        <v>South</v>
      </c>
      <c r="AB64" t="str">
        <f t="shared" si="6"/>
        <v>PK-SD</v>
      </c>
    </row>
    <row r="65" spans="1:28" x14ac:dyDescent="0.25">
      <c r="A65" s="2">
        <v>45072</v>
      </c>
      <c r="B65" t="s">
        <v>10</v>
      </c>
      <c r="C65" t="s">
        <v>62</v>
      </c>
      <c r="D65" t="s">
        <v>65</v>
      </c>
      <c r="E65" t="s">
        <v>64</v>
      </c>
      <c r="F65" t="s">
        <v>14</v>
      </c>
      <c r="G65" t="s">
        <v>51</v>
      </c>
      <c r="H65">
        <v>16</v>
      </c>
      <c r="I65" s="1">
        <v>4896.07</v>
      </c>
      <c r="J65" s="1">
        <f t="shared" si="1"/>
        <v>70503.407999999996</v>
      </c>
      <c r="K65" s="1">
        <f t="shared" si="2"/>
        <v>7833.7119999999995</v>
      </c>
      <c r="L65" s="1">
        <v>78337.119999999995</v>
      </c>
      <c r="M65" s="1">
        <f t="shared" si="3"/>
        <v>14100.681599999998</v>
      </c>
      <c r="N65" s="1">
        <f t="shared" si="4"/>
        <v>92437.801599999992</v>
      </c>
      <c r="S65" t="str">
        <f t="shared" si="0"/>
        <v>Punjab</v>
      </c>
      <c r="W65" t="str">
        <f t="shared" si="5"/>
        <v>East</v>
      </c>
      <c r="AB65" t="str">
        <f t="shared" si="6"/>
        <v>PK-PB</v>
      </c>
    </row>
    <row r="66" spans="1:28" x14ac:dyDescent="0.25">
      <c r="A66" s="2">
        <v>45286</v>
      </c>
      <c r="B66" t="s">
        <v>29</v>
      </c>
      <c r="C66" t="s">
        <v>54</v>
      </c>
      <c r="D66" t="s">
        <v>12</v>
      </c>
      <c r="E66" t="s">
        <v>18</v>
      </c>
      <c r="F66" t="s">
        <v>19</v>
      </c>
      <c r="G66" t="s">
        <v>48</v>
      </c>
      <c r="H66">
        <v>8</v>
      </c>
      <c r="I66" s="1">
        <v>4216.03</v>
      </c>
      <c r="J66" s="1">
        <f t="shared" si="1"/>
        <v>30355.415999999997</v>
      </c>
      <c r="K66" s="1">
        <f t="shared" si="2"/>
        <v>3372.8240000000001</v>
      </c>
      <c r="L66" s="1">
        <v>33728.239999999998</v>
      </c>
      <c r="M66" s="1">
        <f t="shared" si="3"/>
        <v>6071.0831999999991</v>
      </c>
      <c r="N66" s="1">
        <f t="shared" si="4"/>
        <v>39799.323199999999</v>
      </c>
      <c r="S66" t="str">
        <f t="shared" ref="S66:S129" si="7">VLOOKUP(C66,$Q$2:$R$15,2,FALSE)</f>
        <v>Sindh</v>
      </c>
      <c r="W66" t="str">
        <f t="shared" ref="W66:W129" si="8">VLOOKUP(D66,$U$2:$V$5,2,FALSE)</f>
        <v>South</v>
      </c>
      <c r="AB66" t="str">
        <f t="shared" si="6"/>
        <v>PK-SD</v>
      </c>
    </row>
    <row r="67" spans="1:28" x14ac:dyDescent="0.25">
      <c r="A67" s="2">
        <v>45143</v>
      </c>
      <c r="B67" t="s">
        <v>25</v>
      </c>
      <c r="C67" t="s">
        <v>59</v>
      </c>
      <c r="D67" t="s">
        <v>66</v>
      </c>
      <c r="E67" t="s">
        <v>41</v>
      </c>
      <c r="F67" t="s">
        <v>27</v>
      </c>
      <c r="G67" t="s">
        <v>42</v>
      </c>
      <c r="H67">
        <v>14</v>
      </c>
      <c r="I67" s="1">
        <v>2134.06</v>
      </c>
      <c r="J67" s="1">
        <f t="shared" ref="J67:J130" si="9">L67*90%</f>
        <v>26889.155999999999</v>
      </c>
      <c r="K67" s="1">
        <f t="shared" ref="K67:K130" si="10">L67*10%</f>
        <v>2987.6840000000002</v>
      </c>
      <c r="L67" s="1">
        <v>29876.84</v>
      </c>
      <c r="M67" s="1">
        <f t="shared" ref="M67:M130" si="11">L67*18%</f>
        <v>5377.8311999999996</v>
      </c>
      <c r="N67" s="1">
        <f t="shared" ref="N67:N130" si="12">L67+M67</f>
        <v>35254.671199999997</v>
      </c>
      <c r="S67" t="str">
        <f t="shared" si="7"/>
        <v>Khyber Pakhtunkhwa</v>
      </c>
      <c r="W67" t="str">
        <f t="shared" si="8"/>
        <v>North</v>
      </c>
      <c r="AB67" t="str">
        <f t="shared" ref="AB67:AB130" si="13">VLOOKUP(D67,$Z$2:$AA$5,2,FALSE)</f>
        <v>Khyber Pakhtunkhwa</v>
      </c>
    </row>
    <row r="68" spans="1:28" x14ac:dyDescent="0.25">
      <c r="A68" s="2">
        <v>45041</v>
      </c>
      <c r="B68" t="s">
        <v>43</v>
      </c>
      <c r="C68" t="s">
        <v>58</v>
      </c>
      <c r="D68" t="s">
        <v>12</v>
      </c>
      <c r="E68" t="s">
        <v>18</v>
      </c>
      <c r="F68" t="s">
        <v>14</v>
      </c>
      <c r="G68" t="s">
        <v>45</v>
      </c>
      <c r="H68">
        <v>6</v>
      </c>
      <c r="I68" s="1">
        <v>1523.33</v>
      </c>
      <c r="J68" s="1">
        <f t="shared" si="9"/>
        <v>8225.982</v>
      </c>
      <c r="K68" s="1">
        <f t="shared" si="10"/>
        <v>913.99800000000005</v>
      </c>
      <c r="L68" s="1">
        <v>9139.98</v>
      </c>
      <c r="M68" s="1">
        <f t="shared" si="11"/>
        <v>1645.1963999999998</v>
      </c>
      <c r="N68" s="1">
        <f t="shared" si="12"/>
        <v>10785.1764</v>
      </c>
      <c r="S68" t="str">
        <f t="shared" si="7"/>
        <v>Sindh</v>
      </c>
      <c r="W68" t="str">
        <f t="shared" si="8"/>
        <v>South</v>
      </c>
      <c r="AB68" t="str">
        <f t="shared" si="13"/>
        <v>PK-SD</v>
      </c>
    </row>
    <row r="69" spans="1:28" x14ac:dyDescent="0.25">
      <c r="A69" s="2">
        <v>45043</v>
      </c>
      <c r="B69" t="s">
        <v>21</v>
      </c>
      <c r="C69" t="s">
        <v>55</v>
      </c>
      <c r="D69" t="s">
        <v>66</v>
      </c>
      <c r="E69" t="s">
        <v>41</v>
      </c>
      <c r="F69" t="s">
        <v>27</v>
      </c>
      <c r="G69" t="s">
        <v>28</v>
      </c>
      <c r="H69">
        <v>13</v>
      </c>
      <c r="I69" s="1">
        <v>646.63</v>
      </c>
      <c r="J69" s="1">
        <f t="shared" si="9"/>
        <v>7565.5710000000008</v>
      </c>
      <c r="K69" s="1">
        <f t="shared" si="10"/>
        <v>840.61900000000014</v>
      </c>
      <c r="L69" s="1">
        <v>8406.19</v>
      </c>
      <c r="M69" s="1">
        <f t="shared" si="11"/>
        <v>1513.1142</v>
      </c>
      <c r="N69" s="1">
        <f t="shared" si="12"/>
        <v>9919.3042000000005</v>
      </c>
      <c r="S69" t="str">
        <f t="shared" si="7"/>
        <v>Khyber Pakhtunkhwa</v>
      </c>
      <c r="W69" t="str">
        <f t="shared" si="8"/>
        <v>North</v>
      </c>
      <c r="AB69" t="str">
        <f t="shared" si="13"/>
        <v>Khyber Pakhtunkhwa</v>
      </c>
    </row>
    <row r="70" spans="1:28" x14ac:dyDescent="0.25">
      <c r="A70" s="2">
        <v>45016</v>
      </c>
      <c r="B70" t="s">
        <v>31</v>
      </c>
      <c r="C70" t="s">
        <v>62</v>
      </c>
      <c r="D70" t="s">
        <v>65</v>
      </c>
      <c r="E70" t="s">
        <v>64</v>
      </c>
      <c r="F70" t="s">
        <v>19</v>
      </c>
      <c r="G70" t="s">
        <v>52</v>
      </c>
      <c r="H70">
        <v>4</v>
      </c>
      <c r="I70" s="1">
        <v>4965.34</v>
      </c>
      <c r="J70" s="1">
        <f t="shared" si="9"/>
        <v>17875.224000000002</v>
      </c>
      <c r="K70" s="1">
        <f t="shared" si="10"/>
        <v>1986.1360000000002</v>
      </c>
      <c r="L70" s="1">
        <v>19861.36</v>
      </c>
      <c r="M70" s="1">
        <f t="shared" si="11"/>
        <v>3575.0448000000001</v>
      </c>
      <c r="N70" s="1">
        <f t="shared" si="12"/>
        <v>23436.4048</v>
      </c>
      <c r="S70" t="str">
        <f t="shared" si="7"/>
        <v>Punjab</v>
      </c>
      <c r="W70" t="str">
        <f t="shared" si="8"/>
        <v>East</v>
      </c>
      <c r="AB70" t="str">
        <f t="shared" si="13"/>
        <v>PK-PB</v>
      </c>
    </row>
    <row r="71" spans="1:28" x14ac:dyDescent="0.25">
      <c r="A71" s="2">
        <v>45103</v>
      </c>
      <c r="B71" t="s">
        <v>38</v>
      </c>
      <c r="C71" t="s">
        <v>59</v>
      </c>
      <c r="D71" t="s">
        <v>66</v>
      </c>
      <c r="E71" t="s">
        <v>41</v>
      </c>
      <c r="F71" t="s">
        <v>19</v>
      </c>
      <c r="G71" t="s">
        <v>30</v>
      </c>
      <c r="H71">
        <v>14</v>
      </c>
      <c r="I71" s="1">
        <v>2883.11</v>
      </c>
      <c r="J71" s="1">
        <f t="shared" si="9"/>
        <v>36327.186000000002</v>
      </c>
      <c r="K71" s="1">
        <f t="shared" si="10"/>
        <v>4036.3540000000003</v>
      </c>
      <c r="L71" s="1">
        <v>40363.54</v>
      </c>
      <c r="M71" s="1">
        <f t="shared" si="11"/>
        <v>7265.4372000000003</v>
      </c>
      <c r="N71" s="1">
        <f t="shared" si="12"/>
        <v>47628.977200000001</v>
      </c>
      <c r="S71" t="str">
        <f t="shared" si="7"/>
        <v>Khyber Pakhtunkhwa</v>
      </c>
      <c r="W71" t="str">
        <f t="shared" si="8"/>
        <v>North</v>
      </c>
      <c r="AB71" t="str">
        <f t="shared" si="13"/>
        <v>Khyber Pakhtunkhwa</v>
      </c>
    </row>
    <row r="72" spans="1:28" x14ac:dyDescent="0.25">
      <c r="A72" s="2">
        <v>45095</v>
      </c>
      <c r="B72" t="s">
        <v>29</v>
      </c>
      <c r="C72" t="s">
        <v>61</v>
      </c>
      <c r="D72" t="s">
        <v>65</v>
      </c>
      <c r="E72" t="s">
        <v>64</v>
      </c>
      <c r="F72" t="s">
        <v>27</v>
      </c>
      <c r="G72" t="s">
        <v>42</v>
      </c>
      <c r="H72">
        <v>9</v>
      </c>
      <c r="I72" s="1">
        <v>2819.87</v>
      </c>
      <c r="J72" s="1">
        <f t="shared" si="9"/>
        <v>22840.947000000004</v>
      </c>
      <c r="K72" s="1">
        <f t="shared" si="10"/>
        <v>2537.8830000000003</v>
      </c>
      <c r="L72" s="1">
        <v>25378.83</v>
      </c>
      <c r="M72" s="1">
        <f t="shared" si="11"/>
        <v>4568.1894000000002</v>
      </c>
      <c r="N72" s="1">
        <f t="shared" si="12"/>
        <v>29947.019400000001</v>
      </c>
      <c r="S72" t="str">
        <f t="shared" si="7"/>
        <v>Punjab</v>
      </c>
      <c r="W72" t="str">
        <f t="shared" si="8"/>
        <v>East</v>
      </c>
      <c r="AB72" t="str">
        <f t="shared" si="13"/>
        <v>PK-PB</v>
      </c>
    </row>
    <row r="73" spans="1:28" x14ac:dyDescent="0.25">
      <c r="A73" s="2">
        <v>45247</v>
      </c>
      <c r="B73" t="s">
        <v>25</v>
      </c>
      <c r="C73" t="s">
        <v>26</v>
      </c>
      <c r="D73" t="s">
        <v>12</v>
      </c>
      <c r="E73" t="s">
        <v>18</v>
      </c>
      <c r="F73" t="s">
        <v>23</v>
      </c>
      <c r="G73" t="s">
        <v>24</v>
      </c>
      <c r="H73">
        <v>12</v>
      </c>
      <c r="I73" s="1">
        <v>3961.23</v>
      </c>
      <c r="J73" s="1">
        <f t="shared" si="9"/>
        <v>42781.284</v>
      </c>
      <c r="K73" s="1">
        <f t="shared" si="10"/>
        <v>4753.4760000000006</v>
      </c>
      <c r="L73" s="1">
        <v>47534.76</v>
      </c>
      <c r="M73" s="1">
        <f t="shared" si="11"/>
        <v>8556.2567999999992</v>
      </c>
      <c r="N73" s="1">
        <f t="shared" si="12"/>
        <v>56091.016799999998</v>
      </c>
      <c r="S73" t="str">
        <f t="shared" si="7"/>
        <v>Sindh</v>
      </c>
      <c r="W73" t="str">
        <f t="shared" si="8"/>
        <v>South</v>
      </c>
      <c r="AB73" t="str">
        <f t="shared" si="13"/>
        <v>PK-SD</v>
      </c>
    </row>
    <row r="74" spans="1:28" x14ac:dyDescent="0.25">
      <c r="A74" s="2">
        <v>44987</v>
      </c>
      <c r="B74" t="s">
        <v>31</v>
      </c>
      <c r="C74" t="s">
        <v>55</v>
      </c>
      <c r="D74" t="s">
        <v>66</v>
      </c>
      <c r="E74" t="s">
        <v>41</v>
      </c>
      <c r="F74" t="s">
        <v>23</v>
      </c>
      <c r="G74" t="s">
        <v>24</v>
      </c>
      <c r="H74">
        <v>15</v>
      </c>
      <c r="I74" s="1">
        <v>2194.7199999999998</v>
      </c>
      <c r="J74" s="1">
        <f t="shared" si="9"/>
        <v>29628.720000000005</v>
      </c>
      <c r="K74" s="1">
        <f t="shared" si="10"/>
        <v>3292.0800000000004</v>
      </c>
      <c r="L74" s="1">
        <v>32920.800000000003</v>
      </c>
      <c r="M74" s="1">
        <f t="shared" si="11"/>
        <v>5925.7440000000006</v>
      </c>
      <c r="N74" s="1">
        <f t="shared" si="12"/>
        <v>38846.544000000002</v>
      </c>
      <c r="S74" t="str">
        <f t="shared" si="7"/>
        <v>Khyber Pakhtunkhwa</v>
      </c>
      <c r="W74" t="str">
        <f t="shared" si="8"/>
        <v>North</v>
      </c>
      <c r="AB74" t="str">
        <f t="shared" si="13"/>
        <v>Khyber Pakhtunkhwa</v>
      </c>
    </row>
    <row r="75" spans="1:28" x14ac:dyDescent="0.25">
      <c r="A75" s="2">
        <v>45003</v>
      </c>
      <c r="B75" t="s">
        <v>29</v>
      </c>
      <c r="C75" t="s">
        <v>57</v>
      </c>
      <c r="D75" t="s">
        <v>22</v>
      </c>
      <c r="E75" t="s">
        <v>13</v>
      </c>
      <c r="F75" t="s">
        <v>32</v>
      </c>
      <c r="G75" t="s">
        <v>49</v>
      </c>
      <c r="H75">
        <v>5</v>
      </c>
      <c r="I75" s="1">
        <v>3058.74</v>
      </c>
      <c r="J75" s="1">
        <f t="shared" si="9"/>
        <v>13764.330000000002</v>
      </c>
      <c r="K75" s="1">
        <f t="shared" si="10"/>
        <v>1529.3700000000001</v>
      </c>
      <c r="L75" s="1">
        <v>15293.7</v>
      </c>
      <c r="M75" s="1">
        <f t="shared" si="11"/>
        <v>2752.866</v>
      </c>
      <c r="N75" s="1">
        <f t="shared" si="12"/>
        <v>18046.565999999999</v>
      </c>
      <c r="S75" t="str">
        <f t="shared" si="7"/>
        <v>Balochistan</v>
      </c>
      <c r="W75" t="str">
        <f t="shared" si="8"/>
        <v>West</v>
      </c>
      <c r="AB75" t="str">
        <f t="shared" si="13"/>
        <v>PK-BA</v>
      </c>
    </row>
    <row r="76" spans="1:28" x14ac:dyDescent="0.25">
      <c r="A76" s="2">
        <v>45270</v>
      </c>
      <c r="B76" t="s">
        <v>34</v>
      </c>
      <c r="C76" t="s">
        <v>26</v>
      </c>
      <c r="D76" t="s">
        <v>12</v>
      </c>
      <c r="E76" t="s">
        <v>18</v>
      </c>
      <c r="F76" t="s">
        <v>23</v>
      </c>
      <c r="G76" t="s">
        <v>24</v>
      </c>
      <c r="H76">
        <v>11</v>
      </c>
      <c r="I76" s="1">
        <v>827.59</v>
      </c>
      <c r="J76" s="1">
        <f t="shared" si="9"/>
        <v>8193.1409999999996</v>
      </c>
      <c r="K76" s="1">
        <f t="shared" si="10"/>
        <v>910.34900000000005</v>
      </c>
      <c r="L76" s="1">
        <v>9103.49</v>
      </c>
      <c r="M76" s="1">
        <f t="shared" si="11"/>
        <v>1638.6281999999999</v>
      </c>
      <c r="N76" s="1">
        <f t="shared" si="12"/>
        <v>10742.118199999999</v>
      </c>
      <c r="S76" t="str">
        <f t="shared" si="7"/>
        <v>Sindh</v>
      </c>
      <c r="W76" t="str">
        <f t="shared" si="8"/>
        <v>South</v>
      </c>
      <c r="AB76" t="str">
        <f t="shared" si="13"/>
        <v>PK-SD</v>
      </c>
    </row>
    <row r="77" spans="1:28" x14ac:dyDescent="0.25">
      <c r="A77" s="2">
        <v>45229</v>
      </c>
      <c r="B77" t="s">
        <v>38</v>
      </c>
      <c r="C77" t="s">
        <v>55</v>
      </c>
      <c r="D77" t="s">
        <v>66</v>
      </c>
      <c r="E77" t="s">
        <v>41</v>
      </c>
      <c r="F77" t="s">
        <v>32</v>
      </c>
      <c r="G77" t="s">
        <v>50</v>
      </c>
      <c r="H77">
        <v>10</v>
      </c>
      <c r="I77" s="1">
        <v>2008.29</v>
      </c>
      <c r="J77" s="1">
        <f t="shared" si="9"/>
        <v>18074.61</v>
      </c>
      <c r="K77" s="1">
        <f t="shared" si="10"/>
        <v>2008.2900000000002</v>
      </c>
      <c r="L77" s="1">
        <v>20082.900000000001</v>
      </c>
      <c r="M77" s="1">
        <f t="shared" si="11"/>
        <v>3614.922</v>
      </c>
      <c r="N77" s="1">
        <f t="shared" si="12"/>
        <v>23697.822</v>
      </c>
      <c r="S77" t="str">
        <f t="shared" si="7"/>
        <v>Khyber Pakhtunkhwa</v>
      </c>
      <c r="W77" t="str">
        <f t="shared" si="8"/>
        <v>North</v>
      </c>
      <c r="AB77" t="str">
        <f t="shared" si="13"/>
        <v>Khyber Pakhtunkhwa</v>
      </c>
    </row>
    <row r="78" spans="1:28" x14ac:dyDescent="0.25">
      <c r="A78" s="2">
        <v>44981</v>
      </c>
      <c r="B78" t="s">
        <v>34</v>
      </c>
      <c r="C78" t="s">
        <v>60</v>
      </c>
      <c r="D78" t="s">
        <v>12</v>
      </c>
      <c r="E78" t="s">
        <v>18</v>
      </c>
      <c r="F78" t="s">
        <v>23</v>
      </c>
      <c r="G78" t="s">
        <v>37</v>
      </c>
      <c r="H78">
        <v>3</v>
      </c>
      <c r="I78" s="1">
        <v>4157.17</v>
      </c>
      <c r="J78" s="1">
        <f t="shared" si="9"/>
        <v>11224.359</v>
      </c>
      <c r="K78" s="1">
        <f t="shared" si="10"/>
        <v>1247.1510000000001</v>
      </c>
      <c r="L78" s="1">
        <v>12471.51</v>
      </c>
      <c r="M78" s="1">
        <f t="shared" si="11"/>
        <v>2244.8717999999999</v>
      </c>
      <c r="N78" s="1">
        <f t="shared" si="12"/>
        <v>14716.381799999999</v>
      </c>
      <c r="S78" t="str">
        <f t="shared" si="7"/>
        <v>Sindh</v>
      </c>
      <c r="W78" t="str">
        <f t="shared" si="8"/>
        <v>South</v>
      </c>
      <c r="AB78" t="str">
        <f t="shared" si="13"/>
        <v>PK-SD</v>
      </c>
    </row>
    <row r="79" spans="1:28" x14ac:dyDescent="0.25">
      <c r="A79" s="2">
        <v>44964</v>
      </c>
      <c r="B79" t="s">
        <v>25</v>
      </c>
      <c r="C79" t="s">
        <v>62</v>
      </c>
      <c r="D79" t="s">
        <v>65</v>
      </c>
      <c r="E79" t="s">
        <v>64</v>
      </c>
      <c r="F79" t="s">
        <v>14</v>
      </c>
      <c r="G79" t="s">
        <v>53</v>
      </c>
      <c r="H79">
        <v>19</v>
      </c>
      <c r="I79" s="1">
        <v>2880.28</v>
      </c>
      <c r="J79" s="1">
        <f t="shared" si="9"/>
        <v>49252.788</v>
      </c>
      <c r="K79" s="1">
        <f t="shared" si="10"/>
        <v>5472.5320000000002</v>
      </c>
      <c r="L79" s="1">
        <v>54725.32</v>
      </c>
      <c r="M79" s="1">
        <f t="shared" si="11"/>
        <v>9850.5576000000001</v>
      </c>
      <c r="N79" s="1">
        <f t="shared" si="12"/>
        <v>64575.8776</v>
      </c>
      <c r="S79" t="str">
        <f t="shared" si="7"/>
        <v>Punjab</v>
      </c>
      <c r="W79" t="str">
        <f t="shared" si="8"/>
        <v>East</v>
      </c>
      <c r="AB79" t="str">
        <f t="shared" si="13"/>
        <v>PK-PB</v>
      </c>
    </row>
    <row r="80" spans="1:28" x14ac:dyDescent="0.25">
      <c r="A80" s="2">
        <v>45163</v>
      </c>
      <c r="B80" t="s">
        <v>43</v>
      </c>
      <c r="C80" t="s">
        <v>35</v>
      </c>
      <c r="D80" t="s">
        <v>65</v>
      </c>
      <c r="E80" t="s">
        <v>64</v>
      </c>
      <c r="F80" t="s">
        <v>32</v>
      </c>
      <c r="G80" t="s">
        <v>36</v>
      </c>
      <c r="H80">
        <v>6</v>
      </c>
      <c r="I80" s="1">
        <v>1212.76</v>
      </c>
      <c r="J80" s="1">
        <f t="shared" si="9"/>
        <v>6548.9040000000005</v>
      </c>
      <c r="K80" s="1">
        <f t="shared" si="10"/>
        <v>727.65600000000006</v>
      </c>
      <c r="L80" s="1">
        <v>7276.56</v>
      </c>
      <c r="M80" s="1">
        <f t="shared" si="11"/>
        <v>1309.7808</v>
      </c>
      <c r="N80" s="1">
        <f t="shared" si="12"/>
        <v>8586.3407999999999</v>
      </c>
      <c r="S80" t="str">
        <f t="shared" si="7"/>
        <v>Punjab</v>
      </c>
      <c r="W80" t="str">
        <f t="shared" si="8"/>
        <v>East</v>
      </c>
      <c r="AB80" t="str">
        <f t="shared" si="13"/>
        <v>PK-PB</v>
      </c>
    </row>
    <row r="81" spans="1:28" x14ac:dyDescent="0.25">
      <c r="A81" s="2">
        <v>45184</v>
      </c>
      <c r="B81" t="s">
        <v>29</v>
      </c>
      <c r="C81" t="s">
        <v>63</v>
      </c>
      <c r="D81" t="s">
        <v>65</v>
      </c>
      <c r="E81" t="s">
        <v>64</v>
      </c>
      <c r="F81" t="s">
        <v>32</v>
      </c>
      <c r="G81" t="s">
        <v>49</v>
      </c>
      <c r="H81">
        <v>11</v>
      </c>
      <c r="I81" s="1">
        <v>4463.4799999999996</v>
      </c>
      <c r="J81" s="1">
        <f t="shared" si="9"/>
        <v>44188.451999999997</v>
      </c>
      <c r="K81" s="1">
        <f t="shared" si="10"/>
        <v>4909.8280000000004</v>
      </c>
      <c r="L81" s="1">
        <v>49098.28</v>
      </c>
      <c r="M81" s="1">
        <f t="shared" si="11"/>
        <v>8837.6903999999995</v>
      </c>
      <c r="N81" s="1">
        <f t="shared" si="12"/>
        <v>57935.970399999998</v>
      </c>
      <c r="S81" t="str">
        <f t="shared" si="7"/>
        <v>Punjab</v>
      </c>
      <c r="W81" t="str">
        <f t="shared" si="8"/>
        <v>East</v>
      </c>
      <c r="AB81" t="str">
        <f t="shared" si="13"/>
        <v>PK-PB</v>
      </c>
    </row>
    <row r="82" spans="1:28" x14ac:dyDescent="0.25">
      <c r="A82" s="2">
        <v>45088</v>
      </c>
      <c r="B82" t="s">
        <v>38</v>
      </c>
      <c r="C82" t="s">
        <v>57</v>
      </c>
      <c r="D82" t="s">
        <v>22</v>
      </c>
      <c r="E82" t="s">
        <v>13</v>
      </c>
      <c r="F82" t="s">
        <v>19</v>
      </c>
      <c r="G82" t="s">
        <v>30</v>
      </c>
      <c r="H82">
        <v>17</v>
      </c>
      <c r="I82" s="1">
        <v>3975.74</v>
      </c>
      <c r="J82" s="1">
        <f t="shared" si="9"/>
        <v>60828.822</v>
      </c>
      <c r="K82" s="1">
        <f t="shared" si="10"/>
        <v>6758.7580000000007</v>
      </c>
      <c r="L82" s="1">
        <v>67587.58</v>
      </c>
      <c r="M82" s="1">
        <f t="shared" si="11"/>
        <v>12165.7644</v>
      </c>
      <c r="N82" s="1">
        <f t="shared" si="12"/>
        <v>79753.344400000002</v>
      </c>
      <c r="S82" t="str">
        <f t="shared" si="7"/>
        <v>Balochistan</v>
      </c>
      <c r="W82" t="str">
        <f t="shared" si="8"/>
        <v>West</v>
      </c>
      <c r="AB82" t="str">
        <f t="shared" si="13"/>
        <v>PK-BA</v>
      </c>
    </row>
    <row r="83" spans="1:28" x14ac:dyDescent="0.25">
      <c r="A83" s="2">
        <v>45126</v>
      </c>
      <c r="B83" t="s">
        <v>10</v>
      </c>
      <c r="C83" t="s">
        <v>17</v>
      </c>
      <c r="D83" t="s">
        <v>65</v>
      </c>
      <c r="E83" t="s">
        <v>64</v>
      </c>
      <c r="F83" t="s">
        <v>23</v>
      </c>
      <c r="G83" t="s">
        <v>39</v>
      </c>
      <c r="H83">
        <v>15</v>
      </c>
      <c r="I83" s="1">
        <v>2158.2199999999998</v>
      </c>
      <c r="J83" s="1">
        <f t="shared" si="9"/>
        <v>29135.97</v>
      </c>
      <c r="K83" s="1">
        <f t="shared" si="10"/>
        <v>3237.33</v>
      </c>
      <c r="L83" s="1">
        <v>32373.3</v>
      </c>
      <c r="M83" s="1">
        <f t="shared" si="11"/>
        <v>5827.1939999999995</v>
      </c>
      <c r="N83" s="1">
        <f t="shared" si="12"/>
        <v>38200.493999999999</v>
      </c>
      <c r="S83" t="str">
        <f t="shared" si="7"/>
        <v>Punjab</v>
      </c>
      <c r="W83" t="str">
        <f t="shared" si="8"/>
        <v>East</v>
      </c>
      <c r="AB83" t="str">
        <f t="shared" si="13"/>
        <v>PK-PB</v>
      </c>
    </row>
    <row r="84" spans="1:28" x14ac:dyDescent="0.25">
      <c r="A84" s="2">
        <v>45063</v>
      </c>
      <c r="B84" t="s">
        <v>21</v>
      </c>
      <c r="C84" t="s">
        <v>60</v>
      </c>
      <c r="D84" t="s">
        <v>12</v>
      </c>
      <c r="E84" t="s">
        <v>18</v>
      </c>
      <c r="F84" t="s">
        <v>23</v>
      </c>
      <c r="G84" t="s">
        <v>37</v>
      </c>
      <c r="H84">
        <v>17</v>
      </c>
      <c r="I84" s="1">
        <v>1720.9</v>
      </c>
      <c r="J84" s="1">
        <f t="shared" si="9"/>
        <v>26329.77</v>
      </c>
      <c r="K84" s="1">
        <f t="shared" si="10"/>
        <v>2925.53</v>
      </c>
      <c r="L84" s="1">
        <v>29255.3</v>
      </c>
      <c r="M84" s="1">
        <f t="shared" si="11"/>
        <v>5265.9539999999997</v>
      </c>
      <c r="N84" s="1">
        <f t="shared" si="12"/>
        <v>34521.254000000001</v>
      </c>
      <c r="S84" t="str">
        <f t="shared" si="7"/>
        <v>Sindh</v>
      </c>
      <c r="W84" t="str">
        <f t="shared" si="8"/>
        <v>South</v>
      </c>
      <c r="AB84" t="str">
        <f t="shared" si="13"/>
        <v>PK-SD</v>
      </c>
    </row>
    <row r="85" spans="1:28" x14ac:dyDescent="0.25">
      <c r="A85" s="2">
        <v>45107</v>
      </c>
      <c r="B85" t="s">
        <v>34</v>
      </c>
      <c r="C85" t="s">
        <v>26</v>
      </c>
      <c r="D85" t="s">
        <v>12</v>
      </c>
      <c r="E85" t="s">
        <v>18</v>
      </c>
      <c r="F85" t="s">
        <v>23</v>
      </c>
      <c r="G85" t="s">
        <v>24</v>
      </c>
      <c r="H85">
        <v>11</v>
      </c>
      <c r="I85" s="1">
        <v>3562.92</v>
      </c>
      <c r="J85" s="1">
        <f t="shared" si="9"/>
        <v>35272.908000000003</v>
      </c>
      <c r="K85" s="1">
        <f t="shared" si="10"/>
        <v>3919.2120000000004</v>
      </c>
      <c r="L85" s="1">
        <v>39192.120000000003</v>
      </c>
      <c r="M85" s="1">
        <f t="shared" si="11"/>
        <v>7054.5816000000004</v>
      </c>
      <c r="N85" s="1">
        <f t="shared" si="12"/>
        <v>46246.7016</v>
      </c>
      <c r="S85" t="str">
        <f t="shared" si="7"/>
        <v>Sindh</v>
      </c>
      <c r="W85" t="str">
        <f t="shared" si="8"/>
        <v>South</v>
      </c>
      <c r="AB85" t="str">
        <f t="shared" si="13"/>
        <v>PK-SD</v>
      </c>
    </row>
    <row r="86" spans="1:28" x14ac:dyDescent="0.25">
      <c r="A86" s="2">
        <v>45259</v>
      </c>
      <c r="B86" t="s">
        <v>29</v>
      </c>
      <c r="C86" t="s">
        <v>26</v>
      </c>
      <c r="D86" t="s">
        <v>12</v>
      </c>
      <c r="E86" t="s">
        <v>18</v>
      </c>
      <c r="F86" t="s">
        <v>19</v>
      </c>
      <c r="G86" t="s">
        <v>30</v>
      </c>
      <c r="H86">
        <v>17</v>
      </c>
      <c r="I86" s="1">
        <v>608.79</v>
      </c>
      <c r="J86" s="1">
        <f t="shared" si="9"/>
        <v>9314.487000000001</v>
      </c>
      <c r="K86" s="1">
        <f t="shared" si="10"/>
        <v>1034.943</v>
      </c>
      <c r="L86" s="1">
        <v>10349.43</v>
      </c>
      <c r="M86" s="1">
        <f t="shared" si="11"/>
        <v>1862.8974000000001</v>
      </c>
      <c r="N86" s="1">
        <f t="shared" si="12"/>
        <v>12212.3274</v>
      </c>
      <c r="S86" t="str">
        <f t="shared" si="7"/>
        <v>Sindh</v>
      </c>
      <c r="W86" t="str">
        <f t="shared" si="8"/>
        <v>South</v>
      </c>
      <c r="AB86" t="str">
        <f t="shared" si="13"/>
        <v>PK-SD</v>
      </c>
    </row>
    <row r="87" spans="1:28" x14ac:dyDescent="0.25">
      <c r="A87" s="2">
        <v>45035</v>
      </c>
      <c r="B87" t="s">
        <v>31</v>
      </c>
      <c r="C87" t="s">
        <v>35</v>
      </c>
      <c r="D87" t="s">
        <v>65</v>
      </c>
      <c r="E87" t="s">
        <v>64</v>
      </c>
      <c r="F87" t="s">
        <v>27</v>
      </c>
      <c r="G87" t="s">
        <v>28</v>
      </c>
      <c r="H87">
        <v>20</v>
      </c>
      <c r="I87" s="1">
        <v>4856.17</v>
      </c>
      <c r="J87" s="1">
        <f t="shared" si="9"/>
        <v>87411.06</v>
      </c>
      <c r="K87" s="1">
        <f t="shared" si="10"/>
        <v>9712.34</v>
      </c>
      <c r="L87" s="1">
        <v>97123.4</v>
      </c>
      <c r="M87" s="1">
        <f t="shared" si="11"/>
        <v>17482.212</v>
      </c>
      <c r="N87" s="1">
        <f t="shared" si="12"/>
        <v>114605.61199999999</v>
      </c>
      <c r="S87" t="str">
        <f t="shared" si="7"/>
        <v>Punjab</v>
      </c>
      <c r="W87" t="str">
        <f t="shared" si="8"/>
        <v>East</v>
      </c>
      <c r="AB87" t="str">
        <f t="shared" si="13"/>
        <v>PK-PB</v>
      </c>
    </row>
    <row r="88" spans="1:28" x14ac:dyDescent="0.25">
      <c r="A88" s="2">
        <v>45043</v>
      </c>
      <c r="B88" t="s">
        <v>43</v>
      </c>
      <c r="C88" t="s">
        <v>58</v>
      </c>
      <c r="D88" t="s">
        <v>12</v>
      </c>
      <c r="E88" t="s">
        <v>18</v>
      </c>
      <c r="F88" t="s">
        <v>19</v>
      </c>
      <c r="G88" t="s">
        <v>20</v>
      </c>
      <c r="H88">
        <v>12</v>
      </c>
      <c r="I88" s="1">
        <v>4298</v>
      </c>
      <c r="J88" s="1">
        <f t="shared" si="9"/>
        <v>46418.400000000001</v>
      </c>
      <c r="K88" s="1">
        <f t="shared" si="10"/>
        <v>5157.6000000000004</v>
      </c>
      <c r="L88" s="1">
        <v>51576</v>
      </c>
      <c r="M88" s="1">
        <f t="shared" si="11"/>
        <v>9283.68</v>
      </c>
      <c r="N88" s="1">
        <f t="shared" si="12"/>
        <v>60859.68</v>
      </c>
      <c r="S88" t="str">
        <f t="shared" si="7"/>
        <v>Sindh</v>
      </c>
      <c r="W88" t="str">
        <f t="shared" si="8"/>
        <v>South</v>
      </c>
      <c r="AB88" t="str">
        <f t="shared" si="13"/>
        <v>PK-SD</v>
      </c>
    </row>
    <row r="89" spans="1:28" x14ac:dyDescent="0.25">
      <c r="A89" s="2">
        <v>45020</v>
      </c>
      <c r="B89" t="s">
        <v>29</v>
      </c>
      <c r="C89" t="s">
        <v>61</v>
      </c>
      <c r="D89" t="s">
        <v>65</v>
      </c>
      <c r="E89" t="s">
        <v>64</v>
      </c>
      <c r="F89" t="s">
        <v>32</v>
      </c>
      <c r="G89" t="s">
        <v>49</v>
      </c>
      <c r="H89">
        <v>7</v>
      </c>
      <c r="I89" s="1">
        <v>1160.3499999999999</v>
      </c>
      <c r="J89" s="1">
        <f t="shared" si="9"/>
        <v>7310.2049999999999</v>
      </c>
      <c r="K89" s="1">
        <f t="shared" si="10"/>
        <v>812.245</v>
      </c>
      <c r="L89" s="1">
        <v>8122.45</v>
      </c>
      <c r="M89" s="1">
        <f t="shared" si="11"/>
        <v>1462.0409999999999</v>
      </c>
      <c r="N89" s="1">
        <f t="shared" si="12"/>
        <v>9584.491</v>
      </c>
      <c r="S89" t="str">
        <f t="shared" si="7"/>
        <v>Punjab</v>
      </c>
      <c r="W89" t="str">
        <f t="shared" si="8"/>
        <v>East</v>
      </c>
      <c r="AB89" t="str">
        <f t="shared" si="13"/>
        <v>PK-PB</v>
      </c>
    </row>
    <row r="90" spans="1:28" x14ac:dyDescent="0.25">
      <c r="A90" s="2">
        <v>45145</v>
      </c>
      <c r="B90" t="s">
        <v>34</v>
      </c>
      <c r="C90" t="s">
        <v>58</v>
      </c>
      <c r="D90" t="s">
        <v>12</v>
      </c>
      <c r="E90" t="s">
        <v>18</v>
      </c>
      <c r="F90" t="s">
        <v>23</v>
      </c>
      <c r="G90" t="s">
        <v>37</v>
      </c>
      <c r="H90">
        <v>3</v>
      </c>
      <c r="I90" s="1">
        <v>2488.34</v>
      </c>
      <c r="J90" s="1">
        <f t="shared" si="9"/>
        <v>6718.5180000000009</v>
      </c>
      <c r="K90" s="1">
        <f t="shared" si="10"/>
        <v>746.50200000000007</v>
      </c>
      <c r="L90" s="1">
        <v>7465.02</v>
      </c>
      <c r="M90" s="1">
        <f t="shared" si="11"/>
        <v>1343.7036000000001</v>
      </c>
      <c r="N90" s="1">
        <f t="shared" si="12"/>
        <v>8808.7236000000012</v>
      </c>
      <c r="S90" t="str">
        <f t="shared" si="7"/>
        <v>Sindh</v>
      </c>
      <c r="W90" t="str">
        <f t="shared" si="8"/>
        <v>South</v>
      </c>
      <c r="AB90" t="str">
        <f t="shared" si="13"/>
        <v>PK-SD</v>
      </c>
    </row>
    <row r="91" spans="1:28" x14ac:dyDescent="0.25">
      <c r="A91" s="2">
        <v>45126</v>
      </c>
      <c r="B91" t="s">
        <v>21</v>
      </c>
      <c r="C91" t="s">
        <v>17</v>
      </c>
      <c r="D91" t="s">
        <v>65</v>
      </c>
      <c r="E91" t="s">
        <v>64</v>
      </c>
      <c r="F91" t="s">
        <v>14</v>
      </c>
      <c r="G91" t="s">
        <v>51</v>
      </c>
      <c r="H91">
        <v>8</v>
      </c>
      <c r="I91" s="1">
        <v>1990</v>
      </c>
      <c r="J91" s="1">
        <f t="shared" si="9"/>
        <v>14328</v>
      </c>
      <c r="K91" s="1">
        <f t="shared" si="10"/>
        <v>1592</v>
      </c>
      <c r="L91" s="1">
        <v>15920</v>
      </c>
      <c r="M91" s="1">
        <f t="shared" si="11"/>
        <v>2865.6</v>
      </c>
      <c r="N91" s="1">
        <f t="shared" si="12"/>
        <v>18785.599999999999</v>
      </c>
      <c r="S91" t="str">
        <f t="shared" si="7"/>
        <v>Punjab</v>
      </c>
      <c r="W91" t="str">
        <f t="shared" si="8"/>
        <v>East</v>
      </c>
      <c r="AB91" t="str">
        <f t="shared" si="13"/>
        <v>PK-PB</v>
      </c>
    </row>
    <row r="92" spans="1:28" x14ac:dyDescent="0.25">
      <c r="A92" s="2">
        <v>44998</v>
      </c>
      <c r="B92" t="s">
        <v>31</v>
      </c>
      <c r="C92" t="s">
        <v>63</v>
      </c>
      <c r="D92" t="s">
        <v>65</v>
      </c>
      <c r="E92" t="s">
        <v>64</v>
      </c>
      <c r="F92" t="s">
        <v>32</v>
      </c>
      <c r="G92" t="s">
        <v>49</v>
      </c>
      <c r="H92">
        <v>20</v>
      </c>
      <c r="I92" s="1">
        <v>2446.21</v>
      </c>
      <c r="J92" s="1">
        <f t="shared" si="9"/>
        <v>44031.78</v>
      </c>
      <c r="K92" s="1">
        <f t="shared" si="10"/>
        <v>4892.42</v>
      </c>
      <c r="L92" s="1">
        <v>48924.2</v>
      </c>
      <c r="M92" s="1">
        <f t="shared" si="11"/>
        <v>8806.3559999999998</v>
      </c>
      <c r="N92" s="1">
        <f t="shared" si="12"/>
        <v>57730.555999999997</v>
      </c>
      <c r="S92" t="str">
        <f t="shared" si="7"/>
        <v>Punjab</v>
      </c>
      <c r="W92" t="str">
        <f t="shared" si="8"/>
        <v>East</v>
      </c>
      <c r="AB92" t="str">
        <f t="shared" si="13"/>
        <v>PK-PB</v>
      </c>
    </row>
    <row r="93" spans="1:28" x14ac:dyDescent="0.25">
      <c r="A93" s="2">
        <v>45221</v>
      </c>
      <c r="B93" t="s">
        <v>25</v>
      </c>
      <c r="C93" t="s">
        <v>62</v>
      </c>
      <c r="D93" t="s">
        <v>65</v>
      </c>
      <c r="E93" t="s">
        <v>64</v>
      </c>
      <c r="F93" t="s">
        <v>19</v>
      </c>
      <c r="G93" t="s">
        <v>52</v>
      </c>
      <c r="H93">
        <v>11</v>
      </c>
      <c r="I93" s="1">
        <v>1841.84</v>
      </c>
      <c r="J93" s="1">
        <f t="shared" si="9"/>
        <v>18234.216</v>
      </c>
      <c r="K93" s="1">
        <f t="shared" si="10"/>
        <v>2026.0240000000003</v>
      </c>
      <c r="L93" s="1">
        <v>20260.240000000002</v>
      </c>
      <c r="M93" s="1">
        <f t="shared" si="11"/>
        <v>3646.8432000000003</v>
      </c>
      <c r="N93" s="1">
        <f t="shared" si="12"/>
        <v>23907.083200000001</v>
      </c>
      <c r="S93" t="str">
        <f t="shared" si="7"/>
        <v>Punjab</v>
      </c>
      <c r="W93" t="str">
        <f t="shared" si="8"/>
        <v>East</v>
      </c>
      <c r="AB93" t="str">
        <f t="shared" si="13"/>
        <v>PK-PB</v>
      </c>
    </row>
    <row r="94" spans="1:28" x14ac:dyDescent="0.25">
      <c r="A94" s="2">
        <v>45261</v>
      </c>
      <c r="B94" t="s">
        <v>31</v>
      </c>
      <c r="C94" t="s">
        <v>26</v>
      </c>
      <c r="D94" t="s">
        <v>12</v>
      </c>
      <c r="E94" t="s">
        <v>18</v>
      </c>
      <c r="F94" t="s">
        <v>32</v>
      </c>
      <c r="G94" t="s">
        <v>33</v>
      </c>
      <c r="H94">
        <v>5</v>
      </c>
      <c r="I94" s="1">
        <v>3289.83</v>
      </c>
      <c r="J94" s="1">
        <f t="shared" si="9"/>
        <v>14804.235000000002</v>
      </c>
      <c r="K94" s="1">
        <f t="shared" si="10"/>
        <v>1644.9150000000002</v>
      </c>
      <c r="L94" s="1">
        <v>16449.150000000001</v>
      </c>
      <c r="M94" s="1">
        <f t="shared" si="11"/>
        <v>2960.8470000000002</v>
      </c>
      <c r="N94" s="1">
        <f t="shared" si="12"/>
        <v>19409.997000000003</v>
      </c>
      <c r="S94" t="str">
        <f t="shared" si="7"/>
        <v>Sindh</v>
      </c>
      <c r="W94" t="str">
        <f t="shared" si="8"/>
        <v>South</v>
      </c>
      <c r="AB94" t="str">
        <f t="shared" si="13"/>
        <v>PK-SD</v>
      </c>
    </row>
    <row r="95" spans="1:28" x14ac:dyDescent="0.25">
      <c r="A95" s="2">
        <v>45014</v>
      </c>
      <c r="B95" t="s">
        <v>34</v>
      </c>
      <c r="C95" t="s">
        <v>26</v>
      </c>
      <c r="D95" t="s">
        <v>12</v>
      </c>
      <c r="E95" t="s">
        <v>18</v>
      </c>
      <c r="F95" t="s">
        <v>27</v>
      </c>
      <c r="G95" t="s">
        <v>44</v>
      </c>
      <c r="H95">
        <v>6</v>
      </c>
      <c r="I95" s="1">
        <v>549.79999999999995</v>
      </c>
      <c r="J95" s="1">
        <f t="shared" si="9"/>
        <v>2968.92</v>
      </c>
      <c r="K95" s="1">
        <f t="shared" si="10"/>
        <v>329.88000000000005</v>
      </c>
      <c r="L95" s="1">
        <v>3298.8</v>
      </c>
      <c r="M95" s="1">
        <f t="shared" si="11"/>
        <v>593.78399999999999</v>
      </c>
      <c r="N95" s="1">
        <f t="shared" si="12"/>
        <v>3892.5840000000003</v>
      </c>
      <c r="S95" t="str">
        <f t="shared" si="7"/>
        <v>Sindh</v>
      </c>
      <c r="W95" t="str">
        <f t="shared" si="8"/>
        <v>South</v>
      </c>
      <c r="AB95" t="str">
        <f t="shared" si="13"/>
        <v>PK-SD</v>
      </c>
    </row>
    <row r="96" spans="1:28" x14ac:dyDescent="0.25">
      <c r="A96" s="2">
        <v>44960</v>
      </c>
      <c r="B96" t="s">
        <v>38</v>
      </c>
      <c r="C96" t="s">
        <v>55</v>
      </c>
      <c r="D96" t="s">
        <v>66</v>
      </c>
      <c r="E96" t="s">
        <v>41</v>
      </c>
      <c r="F96" t="s">
        <v>32</v>
      </c>
      <c r="G96" t="s">
        <v>33</v>
      </c>
      <c r="H96">
        <v>20</v>
      </c>
      <c r="I96" s="1">
        <v>4397.46</v>
      </c>
      <c r="J96" s="1">
        <f t="shared" si="9"/>
        <v>79154.28</v>
      </c>
      <c r="K96" s="1">
        <f t="shared" si="10"/>
        <v>8794.92</v>
      </c>
      <c r="L96" s="1">
        <v>87949.2</v>
      </c>
      <c r="M96" s="1">
        <f t="shared" si="11"/>
        <v>15830.856</v>
      </c>
      <c r="N96" s="1">
        <f t="shared" si="12"/>
        <v>103780.056</v>
      </c>
      <c r="S96" t="str">
        <f t="shared" si="7"/>
        <v>Khyber Pakhtunkhwa</v>
      </c>
      <c r="W96" t="str">
        <f t="shared" si="8"/>
        <v>North</v>
      </c>
      <c r="AB96" t="str">
        <f t="shared" si="13"/>
        <v>Khyber Pakhtunkhwa</v>
      </c>
    </row>
    <row r="97" spans="1:28" x14ac:dyDescent="0.25">
      <c r="A97" s="2">
        <v>45057</v>
      </c>
      <c r="B97" t="s">
        <v>34</v>
      </c>
      <c r="C97" t="s">
        <v>54</v>
      </c>
      <c r="D97" t="s">
        <v>12</v>
      </c>
      <c r="E97" t="s">
        <v>18</v>
      </c>
      <c r="F97" t="s">
        <v>27</v>
      </c>
      <c r="G97" t="s">
        <v>28</v>
      </c>
      <c r="H97">
        <v>3</v>
      </c>
      <c r="I97" s="1">
        <v>3107.88</v>
      </c>
      <c r="J97" s="1">
        <f t="shared" si="9"/>
        <v>8391.2759999999998</v>
      </c>
      <c r="K97" s="1">
        <f t="shared" si="10"/>
        <v>932.36400000000003</v>
      </c>
      <c r="L97" s="1">
        <v>9323.64</v>
      </c>
      <c r="M97" s="1">
        <f t="shared" si="11"/>
        <v>1678.2551999999998</v>
      </c>
      <c r="N97" s="1">
        <f t="shared" si="12"/>
        <v>11001.895199999999</v>
      </c>
      <c r="S97" t="str">
        <f t="shared" si="7"/>
        <v>Sindh</v>
      </c>
      <c r="W97" t="str">
        <f t="shared" si="8"/>
        <v>South</v>
      </c>
      <c r="AB97" t="str">
        <f t="shared" si="13"/>
        <v>PK-SD</v>
      </c>
    </row>
    <row r="98" spans="1:28" x14ac:dyDescent="0.25">
      <c r="A98" s="2">
        <v>45254</v>
      </c>
      <c r="B98" t="s">
        <v>10</v>
      </c>
      <c r="C98" t="s">
        <v>60</v>
      </c>
      <c r="D98" t="s">
        <v>12</v>
      </c>
      <c r="E98" t="s">
        <v>18</v>
      </c>
      <c r="F98" t="s">
        <v>14</v>
      </c>
      <c r="G98" t="s">
        <v>53</v>
      </c>
      <c r="H98">
        <v>11</v>
      </c>
      <c r="I98" s="1">
        <v>1451.86</v>
      </c>
      <c r="J98" s="1">
        <f t="shared" si="9"/>
        <v>14373.413999999999</v>
      </c>
      <c r="K98" s="1">
        <f t="shared" si="10"/>
        <v>1597.046</v>
      </c>
      <c r="L98" s="1">
        <v>15970.46</v>
      </c>
      <c r="M98" s="1">
        <f t="shared" si="11"/>
        <v>2874.6827999999996</v>
      </c>
      <c r="N98" s="1">
        <f t="shared" si="12"/>
        <v>18845.142799999998</v>
      </c>
      <c r="S98" t="str">
        <f t="shared" si="7"/>
        <v>Sindh</v>
      </c>
      <c r="W98" t="str">
        <f t="shared" si="8"/>
        <v>South</v>
      </c>
      <c r="AB98" t="str">
        <f t="shared" si="13"/>
        <v>PK-SD</v>
      </c>
    </row>
    <row r="99" spans="1:28" x14ac:dyDescent="0.25">
      <c r="A99" s="2">
        <v>45110</v>
      </c>
      <c r="B99" t="s">
        <v>34</v>
      </c>
      <c r="C99" t="s">
        <v>17</v>
      </c>
      <c r="D99" t="s">
        <v>65</v>
      </c>
      <c r="E99" t="s">
        <v>64</v>
      </c>
      <c r="F99" t="s">
        <v>27</v>
      </c>
      <c r="G99" t="s">
        <v>46</v>
      </c>
      <c r="H99">
        <v>13</v>
      </c>
      <c r="I99" s="1">
        <v>4087.03</v>
      </c>
      <c r="J99" s="1">
        <f t="shared" si="9"/>
        <v>47818.251000000004</v>
      </c>
      <c r="K99" s="1">
        <f t="shared" si="10"/>
        <v>5313.1390000000001</v>
      </c>
      <c r="L99" s="1">
        <v>53131.39</v>
      </c>
      <c r="M99" s="1">
        <f t="shared" si="11"/>
        <v>9563.6502</v>
      </c>
      <c r="N99" s="1">
        <f t="shared" si="12"/>
        <v>62695.040200000003</v>
      </c>
      <c r="S99" t="str">
        <f t="shared" si="7"/>
        <v>Punjab</v>
      </c>
      <c r="W99" t="str">
        <f t="shared" si="8"/>
        <v>East</v>
      </c>
      <c r="AB99" t="str">
        <f t="shared" si="13"/>
        <v>PK-PB</v>
      </c>
    </row>
    <row r="100" spans="1:28" x14ac:dyDescent="0.25">
      <c r="A100" s="2">
        <v>45171</v>
      </c>
      <c r="B100" t="s">
        <v>10</v>
      </c>
      <c r="C100" t="s">
        <v>58</v>
      </c>
      <c r="D100" t="s">
        <v>12</v>
      </c>
      <c r="E100" t="s">
        <v>18</v>
      </c>
      <c r="F100" t="s">
        <v>19</v>
      </c>
      <c r="G100" t="s">
        <v>20</v>
      </c>
      <c r="H100">
        <v>12</v>
      </c>
      <c r="I100" s="1">
        <v>3040.08</v>
      </c>
      <c r="J100" s="1">
        <f t="shared" si="9"/>
        <v>32832.864000000001</v>
      </c>
      <c r="K100" s="1">
        <f t="shared" si="10"/>
        <v>3648.096</v>
      </c>
      <c r="L100" s="1">
        <v>36480.959999999999</v>
      </c>
      <c r="M100" s="1">
        <f t="shared" si="11"/>
        <v>6566.5727999999999</v>
      </c>
      <c r="N100" s="1">
        <f t="shared" si="12"/>
        <v>43047.532800000001</v>
      </c>
      <c r="S100" t="str">
        <f t="shared" si="7"/>
        <v>Sindh</v>
      </c>
      <c r="W100" t="str">
        <f t="shared" si="8"/>
        <v>South</v>
      </c>
      <c r="AB100" t="str">
        <f t="shared" si="13"/>
        <v>PK-SD</v>
      </c>
    </row>
    <row r="101" spans="1:28" x14ac:dyDescent="0.25">
      <c r="A101" s="2">
        <v>45229</v>
      </c>
      <c r="B101" t="s">
        <v>31</v>
      </c>
      <c r="C101" t="s">
        <v>26</v>
      </c>
      <c r="D101" t="s">
        <v>12</v>
      </c>
      <c r="E101" t="s">
        <v>18</v>
      </c>
      <c r="F101" t="s">
        <v>27</v>
      </c>
      <c r="G101" t="s">
        <v>44</v>
      </c>
      <c r="H101">
        <v>19</v>
      </c>
      <c r="I101" s="1">
        <v>3968.42</v>
      </c>
      <c r="J101" s="1">
        <f t="shared" si="9"/>
        <v>67859.982000000004</v>
      </c>
      <c r="K101" s="1">
        <f t="shared" si="10"/>
        <v>7539.9979999999996</v>
      </c>
      <c r="L101" s="1">
        <v>75399.98</v>
      </c>
      <c r="M101" s="1">
        <f t="shared" si="11"/>
        <v>13571.996399999998</v>
      </c>
      <c r="N101" s="1">
        <f t="shared" si="12"/>
        <v>88971.9764</v>
      </c>
      <c r="S101" t="str">
        <f t="shared" si="7"/>
        <v>Sindh</v>
      </c>
      <c r="W101" t="str">
        <f t="shared" si="8"/>
        <v>South</v>
      </c>
      <c r="AB101" t="str">
        <f t="shared" si="13"/>
        <v>PK-SD</v>
      </c>
    </row>
    <row r="102" spans="1:28" x14ac:dyDescent="0.25">
      <c r="A102" s="2">
        <v>45122</v>
      </c>
      <c r="B102" t="s">
        <v>43</v>
      </c>
      <c r="C102" t="s">
        <v>57</v>
      </c>
      <c r="D102" t="s">
        <v>22</v>
      </c>
      <c r="E102" t="s">
        <v>13</v>
      </c>
      <c r="F102" t="s">
        <v>32</v>
      </c>
      <c r="G102" t="s">
        <v>36</v>
      </c>
      <c r="H102">
        <v>4</v>
      </c>
      <c r="I102" s="1">
        <v>894.64</v>
      </c>
      <c r="J102" s="1">
        <f t="shared" si="9"/>
        <v>3220.7040000000002</v>
      </c>
      <c r="K102" s="1">
        <f t="shared" si="10"/>
        <v>357.85599999999999</v>
      </c>
      <c r="L102" s="1">
        <v>3578.56</v>
      </c>
      <c r="M102" s="1">
        <f t="shared" si="11"/>
        <v>644.14080000000001</v>
      </c>
      <c r="N102" s="1">
        <f t="shared" si="12"/>
        <v>4222.7007999999996</v>
      </c>
      <c r="S102" t="str">
        <f t="shared" si="7"/>
        <v>Balochistan</v>
      </c>
      <c r="W102" t="str">
        <f t="shared" si="8"/>
        <v>West</v>
      </c>
      <c r="AB102" t="str">
        <f t="shared" si="13"/>
        <v>PK-BA</v>
      </c>
    </row>
    <row r="103" spans="1:28" x14ac:dyDescent="0.25">
      <c r="A103" s="2">
        <v>45233</v>
      </c>
      <c r="B103" t="s">
        <v>34</v>
      </c>
      <c r="C103" t="s">
        <v>57</v>
      </c>
      <c r="D103" t="s">
        <v>22</v>
      </c>
      <c r="E103" t="s">
        <v>13</v>
      </c>
      <c r="F103" t="s">
        <v>27</v>
      </c>
      <c r="G103" t="s">
        <v>46</v>
      </c>
      <c r="H103">
        <v>20</v>
      </c>
      <c r="I103" s="1">
        <v>1787.99</v>
      </c>
      <c r="J103" s="1">
        <f t="shared" si="9"/>
        <v>32183.820000000003</v>
      </c>
      <c r="K103" s="1">
        <f t="shared" si="10"/>
        <v>3575.9800000000005</v>
      </c>
      <c r="L103" s="1">
        <v>35759.800000000003</v>
      </c>
      <c r="M103" s="1">
        <f t="shared" si="11"/>
        <v>6436.7640000000001</v>
      </c>
      <c r="N103" s="1">
        <f t="shared" si="12"/>
        <v>42196.564000000006</v>
      </c>
      <c r="S103" t="str">
        <f t="shared" si="7"/>
        <v>Balochistan</v>
      </c>
      <c r="W103" t="str">
        <f t="shared" si="8"/>
        <v>West</v>
      </c>
      <c r="AB103" t="str">
        <f t="shared" si="13"/>
        <v>PK-BA</v>
      </c>
    </row>
    <row r="104" spans="1:28" x14ac:dyDescent="0.25">
      <c r="A104" s="2">
        <v>45090</v>
      </c>
      <c r="B104" t="s">
        <v>10</v>
      </c>
      <c r="C104" t="s">
        <v>26</v>
      </c>
      <c r="D104" t="s">
        <v>12</v>
      </c>
      <c r="E104" t="s">
        <v>18</v>
      </c>
      <c r="F104" t="s">
        <v>14</v>
      </c>
      <c r="G104" t="s">
        <v>45</v>
      </c>
      <c r="H104">
        <v>17</v>
      </c>
      <c r="I104" s="1">
        <v>2910.12</v>
      </c>
      <c r="J104" s="1">
        <f t="shared" si="9"/>
        <v>44524.836000000003</v>
      </c>
      <c r="K104" s="1">
        <f t="shared" si="10"/>
        <v>4947.2040000000006</v>
      </c>
      <c r="L104" s="1">
        <v>49472.04</v>
      </c>
      <c r="M104" s="1">
        <f t="shared" si="11"/>
        <v>8904.9671999999991</v>
      </c>
      <c r="N104" s="1">
        <f t="shared" si="12"/>
        <v>58377.0072</v>
      </c>
      <c r="S104" t="str">
        <f t="shared" si="7"/>
        <v>Sindh</v>
      </c>
      <c r="W104" t="str">
        <f t="shared" si="8"/>
        <v>South</v>
      </c>
      <c r="AB104" t="str">
        <f t="shared" si="13"/>
        <v>PK-SD</v>
      </c>
    </row>
    <row r="105" spans="1:28" x14ac:dyDescent="0.25">
      <c r="A105" s="2">
        <v>44960</v>
      </c>
      <c r="B105" t="s">
        <v>43</v>
      </c>
      <c r="C105" t="s">
        <v>17</v>
      </c>
      <c r="D105" t="s">
        <v>65</v>
      </c>
      <c r="E105" t="s">
        <v>64</v>
      </c>
      <c r="F105" t="s">
        <v>27</v>
      </c>
      <c r="G105" t="s">
        <v>28</v>
      </c>
      <c r="H105">
        <v>16</v>
      </c>
      <c r="I105" s="1">
        <v>827.8</v>
      </c>
      <c r="J105" s="1">
        <f t="shared" si="9"/>
        <v>11920.32</v>
      </c>
      <c r="K105" s="1">
        <f t="shared" si="10"/>
        <v>1324.48</v>
      </c>
      <c r="L105" s="1">
        <v>13244.8</v>
      </c>
      <c r="M105" s="1">
        <f t="shared" si="11"/>
        <v>2384.0639999999999</v>
      </c>
      <c r="N105" s="1">
        <f t="shared" si="12"/>
        <v>15628.864</v>
      </c>
      <c r="S105" t="str">
        <f t="shared" si="7"/>
        <v>Punjab</v>
      </c>
      <c r="W105" t="str">
        <f t="shared" si="8"/>
        <v>East</v>
      </c>
      <c r="AB105" t="str">
        <f t="shared" si="13"/>
        <v>PK-PB</v>
      </c>
    </row>
    <row r="106" spans="1:28" x14ac:dyDescent="0.25">
      <c r="A106" s="2">
        <v>45055</v>
      </c>
      <c r="B106" t="s">
        <v>21</v>
      </c>
      <c r="C106" t="s">
        <v>58</v>
      </c>
      <c r="D106" t="s">
        <v>12</v>
      </c>
      <c r="E106" t="s">
        <v>18</v>
      </c>
      <c r="F106" t="s">
        <v>19</v>
      </c>
      <c r="G106" t="s">
        <v>30</v>
      </c>
      <c r="H106">
        <v>18</v>
      </c>
      <c r="I106" s="1">
        <v>3093.44</v>
      </c>
      <c r="J106" s="1">
        <f t="shared" si="9"/>
        <v>50113.728000000003</v>
      </c>
      <c r="K106" s="1">
        <f t="shared" si="10"/>
        <v>5568.192</v>
      </c>
      <c r="L106" s="1">
        <v>55681.919999999998</v>
      </c>
      <c r="M106" s="1">
        <f t="shared" si="11"/>
        <v>10022.7456</v>
      </c>
      <c r="N106" s="1">
        <f t="shared" si="12"/>
        <v>65704.665599999993</v>
      </c>
      <c r="S106" t="str">
        <f t="shared" si="7"/>
        <v>Sindh</v>
      </c>
      <c r="W106" t="str">
        <f t="shared" si="8"/>
        <v>South</v>
      </c>
      <c r="AB106" t="str">
        <f t="shared" si="13"/>
        <v>PK-SD</v>
      </c>
    </row>
    <row r="107" spans="1:28" x14ac:dyDescent="0.25">
      <c r="A107" s="2">
        <v>44946</v>
      </c>
      <c r="B107" t="s">
        <v>34</v>
      </c>
      <c r="C107" t="s">
        <v>56</v>
      </c>
      <c r="D107" t="s">
        <v>12</v>
      </c>
      <c r="E107" t="s">
        <v>18</v>
      </c>
      <c r="F107" t="s">
        <v>23</v>
      </c>
      <c r="G107" t="s">
        <v>39</v>
      </c>
      <c r="H107">
        <v>10</v>
      </c>
      <c r="I107" s="1">
        <v>2469.04</v>
      </c>
      <c r="J107" s="1">
        <f t="shared" si="9"/>
        <v>22221.360000000001</v>
      </c>
      <c r="K107" s="1">
        <f t="shared" si="10"/>
        <v>2469.0400000000004</v>
      </c>
      <c r="L107" s="1">
        <v>24690.400000000001</v>
      </c>
      <c r="M107" s="1">
        <f t="shared" si="11"/>
        <v>4444.2719999999999</v>
      </c>
      <c r="N107" s="1">
        <f t="shared" si="12"/>
        <v>29134.672000000002</v>
      </c>
      <c r="S107" t="str">
        <f t="shared" si="7"/>
        <v>Sindh</v>
      </c>
      <c r="W107" t="str">
        <f t="shared" si="8"/>
        <v>South</v>
      </c>
      <c r="AB107" t="str">
        <f t="shared" si="13"/>
        <v>PK-SD</v>
      </c>
    </row>
    <row r="108" spans="1:28" x14ac:dyDescent="0.25">
      <c r="A108" s="2">
        <v>45062</v>
      </c>
      <c r="B108" t="s">
        <v>21</v>
      </c>
      <c r="C108" t="s">
        <v>56</v>
      </c>
      <c r="D108" t="s">
        <v>12</v>
      </c>
      <c r="E108" t="s">
        <v>18</v>
      </c>
      <c r="F108" t="s">
        <v>19</v>
      </c>
      <c r="G108" t="s">
        <v>20</v>
      </c>
      <c r="H108">
        <v>12</v>
      </c>
      <c r="I108" s="1">
        <v>2127.2800000000002</v>
      </c>
      <c r="J108" s="1">
        <f t="shared" si="9"/>
        <v>22974.624</v>
      </c>
      <c r="K108" s="1">
        <f t="shared" si="10"/>
        <v>2552.7360000000003</v>
      </c>
      <c r="L108" s="1">
        <v>25527.360000000001</v>
      </c>
      <c r="M108" s="1">
        <f t="shared" si="11"/>
        <v>4594.9247999999998</v>
      </c>
      <c r="N108" s="1">
        <f t="shared" si="12"/>
        <v>30122.284800000001</v>
      </c>
      <c r="S108" t="str">
        <f t="shared" si="7"/>
        <v>Sindh</v>
      </c>
      <c r="W108" t="str">
        <f t="shared" si="8"/>
        <v>South</v>
      </c>
      <c r="AB108" t="str">
        <f t="shared" si="13"/>
        <v>PK-SD</v>
      </c>
    </row>
    <row r="109" spans="1:28" x14ac:dyDescent="0.25">
      <c r="A109" s="2">
        <v>44944</v>
      </c>
      <c r="B109" t="s">
        <v>31</v>
      </c>
      <c r="C109" t="s">
        <v>56</v>
      </c>
      <c r="D109" t="s">
        <v>12</v>
      </c>
      <c r="E109" t="s">
        <v>18</v>
      </c>
      <c r="F109" t="s">
        <v>32</v>
      </c>
      <c r="G109" t="s">
        <v>36</v>
      </c>
      <c r="H109">
        <v>1</v>
      </c>
      <c r="I109" s="1">
        <v>1811.76</v>
      </c>
      <c r="J109" s="1">
        <f t="shared" si="9"/>
        <v>1630.5840000000001</v>
      </c>
      <c r="K109" s="1">
        <f t="shared" si="10"/>
        <v>181.17600000000002</v>
      </c>
      <c r="L109" s="1">
        <v>1811.76</v>
      </c>
      <c r="M109" s="1">
        <f t="shared" si="11"/>
        <v>326.11680000000001</v>
      </c>
      <c r="N109" s="1">
        <f t="shared" si="12"/>
        <v>2137.8768</v>
      </c>
      <c r="S109" t="str">
        <f t="shared" si="7"/>
        <v>Sindh</v>
      </c>
      <c r="W109" t="str">
        <f t="shared" si="8"/>
        <v>South</v>
      </c>
      <c r="AB109" t="str">
        <f t="shared" si="13"/>
        <v>PK-SD</v>
      </c>
    </row>
    <row r="110" spans="1:28" x14ac:dyDescent="0.25">
      <c r="A110" s="2">
        <v>45075</v>
      </c>
      <c r="B110" t="s">
        <v>40</v>
      </c>
      <c r="C110" t="s">
        <v>62</v>
      </c>
      <c r="D110" t="s">
        <v>65</v>
      </c>
      <c r="E110" t="s">
        <v>64</v>
      </c>
      <c r="F110" t="s">
        <v>14</v>
      </c>
      <c r="G110" t="s">
        <v>45</v>
      </c>
      <c r="H110">
        <v>4</v>
      </c>
      <c r="I110" s="1">
        <v>4485.82</v>
      </c>
      <c r="J110" s="1">
        <f t="shared" si="9"/>
        <v>16148.951999999999</v>
      </c>
      <c r="K110" s="1">
        <f t="shared" si="10"/>
        <v>1794.328</v>
      </c>
      <c r="L110" s="1">
        <v>17943.28</v>
      </c>
      <c r="M110" s="1">
        <f t="shared" si="11"/>
        <v>3229.7903999999999</v>
      </c>
      <c r="N110" s="1">
        <f t="shared" si="12"/>
        <v>21173.070399999997</v>
      </c>
      <c r="S110" t="str">
        <f t="shared" si="7"/>
        <v>Punjab</v>
      </c>
      <c r="W110" t="str">
        <f t="shared" si="8"/>
        <v>East</v>
      </c>
      <c r="AB110" t="str">
        <f t="shared" si="13"/>
        <v>PK-PB</v>
      </c>
    </row>
    <row r="111" spans="1:28" x14ac:dyDescent="0.25">
      <c r="A111" s="2">
        <v>45172</v>
      </c>
      <c r="B111" t="s">
        <v>40</v>
      </c>
      <c r="C111" t="s">
        <v>57</v>
      </c>
      <c r="D111" t="s">
        <v>22</v>
      </c>
      <c r="E111" t="s">
        <v>13</v>
      </c>
      <c r="F111" t="s">
        <v>32</v>
      </c>
      <c r="G111" t="s">
        <v>36</v>
      </c>
      <c r="H111">
        <v>8</v>
      </c>
      <c r="I111" s="1">
        <v>4649.3500000000004</v>
      </c>
      <c r="J111" s="1">
        <f t="shared" si="9"/>
        <v>33475.320000000007</v>
      </c>
      <c r="K111" s="1">
        <f t="shared" si="10"/>
        <v>3719.4800000000005</v>
      </c>
      <c r="L111" s="1">
        <v>37194.800000000003</v>
      </c>
      <c r="M111" s="1">
        <f t="shared" si="11"/>
        <v>6695.0640000000003</v>
      </c>
      <c r="N111" s="1">
        <f t="shared" si="12"/>
        <v>43889.864000000001</v>
      </c>
      <c r="S111" t="str">
        <f t="shared" si="7"/>
        <v>Balochistan</v>
      </c>
      <c r="W111" t="str">
        <f t="shared" si="8"/>
        <v>West</v>
      </c>
      <c r="AB111" t="str">
        <f t="shared" si="13"/>
        <v>PK-BA</v>
      </c>
    </row>
    <row r="112" spans="1:28" x14ac:dyDescent="0.25">
      <c r="A112" s="2">
        <v>45009</v>
      </c>
      <c r="B112" t="s">
        <v>16</v>
      </c>
      <c r="C112" t="s">
        <v>55</v>
      </c>
      <c r="D112" t="s">
        <v>66</v>
      </c>
      <c r="E112" t="s">
        <v>41</v>
      </c>
      <c r="F112" t="s">
        <v>14</v>
      </c>
      <c r="G112" t="s">
        <v>53</v>
      </c>
      <c r="H112">
        <v>3</v>
      </c>
      <c r="I112" s="1">
        <v>4027.17</v>
      </c>
      <c r="J112" s="1">
        <f t="shared" si="9"/>
        <v>10873.359</v>
      </c>
      <c r="K112" s="1">
        <f t="shared" si="10"/>
        <v>1208.1510000000001</v>
      </c>
      <c r="L112" s="1">
        <v>12081.51</v>
      </c>
      <c r="M112" s="1">
        <f t="shared" si="11"/>
        <v>2174.6718000000001</v>
      </c>
      <c r="N112" s="1">
        <f t="shared" si="12"/>
        <v>14256.1818</v>
      </c>
      <c r="S112" t="str">
        <f t="shared" si="7"/>
        <v>Khyber Pakhtunkhwa</v>
      </c>
      <c r="W112" t="str">
        <f t="shared" si="8"/>
        <v>North</v>
      </c>
      <c r="AB112" t="str">
        <f t="shared" si="13"/>
        <v>Khyber Pakhtunkhwa</v>
      </c>
    </row>
    <row r="113" spans="1:28" x14ac:dyDescent="0.25">
      <c r="A113" s="2">
        <v>45244</v>
      </c>
      <c r="B113" t="s">
        <v>40</v>
      </c>
      <c r="C113" t="s">
        <v>26</v>
      </c>
      <c r="D113" t="s">
        <v>12</v>
      </c>
      <c r="E113" t="s">
        <v>18</v>
      </c>
      <c r="F113" t="s">
        <v>32</v>
      </c>
      <c r="G113" t="s">
        <v>49</v>
      </c>
      <c r="H113">
        <v>14</v>
      </c>
      <c r="I113" s="1">
        <v>4406.29</v>
      </c>
      <c r="J113" s="1">
        <f t="shared" si="9"/>
        <v>55519.254000000001</v>
      </c>
      <c r="K113" s="1">
        <f t="shared" si="10"/>
        <v>6168.8060000000005</v>
      </c>
      <c r="L113" s="1">
        <v>61688.06</v>
      </c>
      <c r="M113" s="1">
        <f t="shared" si="11"/>
        <v>11103.850799999998</v>
      </c>
      <c r="N113" s="1">
        <f t="shared" si="12"/>
        <v>72791.910799999998</v>
      </c>
      <c r="S113" t="str">
        <f t="shared" si="7"/>
        <v>Sindh</v>
      </c>
      <c r="W113" t="str">
        <f t="shared" si="8"/>
        <v>South</v>
      </c>
      <c r="AB113" t="str">
        <f t="shared" si="13"/>
        <v>PK-SD</v>
      </c>
    </row>
    <row r="114" spans="1:28" x14ac:dyDescent="0.25">
      <c r="A114" s="2">
        <v>45077</v>
      </c>
      <c r="B114" t="s">
        <v>16</v>
      </c>
      <c r="C114" t="s">
        <v>56</v>
      </c>
      <c r="D114" t="s">
        <v>12</v>
      </c>
      <c r="E114" t="s">
        <v>18</v>
      </c>
      <c r="F114" t="s">
        <v>27</v>
      </c>
      <c r="G114" t="s">
        <v>44</v>
      </c>
      <c r="H114">
        <v>20</v>
      </c>
      <c r="I114" s="1">
        <v>4072.4</v>
      </c>
      <c r="J114" s="1">
        <f t="shared" si="9"/>
        <v>73303.199999999997</v>
      </c>
      <c r="K114" s="1">
        <f t="shared" si="10"/>
        <v>8144.8</v>
      </c>
      <c r="L114" s="1">
        <v>81448</v>
      </c>
      <c r="M114" s="1">
        <f t="shared" si="11"/>
        <v>14660.64</v>
      </c>
      <c r="N114" s="1">
        <f t="shared" si="12"/>
        <v>96108.64</v>
      </c>
      <c r="S114" t="str">
        <f t="shared" si="7"/>
        <v>Sindh</v>
      </c>
      <c r="W114" t="str">
        <f t="shared" si="8"/>
        <v>South</v>
      </c>
      <c r="AB114" t="str">
        <f t="shared" si="13"/>
        <v>PK-SD</v>
      </c>
    </row>
    <row r="115" spans="1:28" x14ac:dyDescent="0.25">
      <c r="A115" s="2">
        <v>45098</v>
      </c>
      <c r="B115" t="s">
        <v>29</v>
      </c>
      <c r="C115" t="s">
        <v>26</v>
      </c>
      <c r="D115" t="s">
        <v>12</v>
      </c>
      <c r="E115" t="s">
        <v>18</v>
      </c>
      <c r="F115" t="s">
        <v>27</v>
      </c>
      <c r="G115" t="s">
        <v>46</v>
      </c>
      <c r="H115">
        <v>1</v>
      </c>
      <c r="I115" s="1">
        <v>4801.38</v>
      </c>
      <c r="J115" s="1">
        <f t="shared" si="9"/>
        <v>4321.2420000000002</v>
      </c>
      <c r="K115" s="1">
        <f t="shared" si="10"/>
        <v>480.13800000000003</v>
      </c>
      <c r="L115" s="1">
        <v>4801.38</v>
      </c>
      <c r="M115" s="1">
        <f t="shared" si="11"/>
        <v>864.24839999999995</v>
      </c>
      <c r="N115" s="1">
        <f t="shared" si="12"/>
        <v>5665.6283999999996</v>
      </c>
      <c r="S115" t="str">
        <f t="shared" si="7"/>
        <v>Sindh</v>
      </c>
      <c r="W115" t="str">
        <f t="shared" si="8"/>
        <v>South</v>
      </c>
      <c r="AB115" t="str">
        <f t="shared" si="13"/>
        <v>PK-SD</v>
      </c>
    </row>
    <row r="116" spans="1:28" x14ac:dyDescent="0.25">
      <c r="A116" s="2">
        <v>44932</v>
      </c>
      <c r="B116" t="s">
        <v>34</v>
      </c>
      <c r="C116" t="s">
        <v>54</v>
      </c>
      <c r="D116" t="s">
        <v>12</v>
      </c>
      <c r="E116" t="s">
        <v>18</v>
      </c>
      <c r="F116" t="s">
        <v>23</v>
      </c>
      <c r="G116" t="s">
        <v>39</v>
      </c>
      <c r="H116">
        <v>17</v>
      </c>
      <c r="I116" s="1">
        <v>828.26</v>
      </c>
      <c r="J116" s="1">
        <f t="shared" si="9"/>
        <v>12672.378000000001</v>
      </c>
      <c r="K116" s="1">
        <f t="shared" si="10"/>
        <v>1408.0420000000001</v>
      </c>
      <c r="L116" s="1">
        <v>14080.42</v>
      </c>
      <c r="M116" s="1">
        <f t="shared" si="11"/>
        <v>2534.4755999999998</v>
      </c>
      <c r="N116" s="1">
        <f t="shared" si="12"/>
        <v>16614.8956</v>
      </c>
      <c r="S116" t="str">
        <f t="shared" si="7"/>
        <v>Sindh</v>
      </c>
      <c r="W116" t="str">
        <f t="shared" si="8"/>
        <v>South</v>
      </c>
      <c r="AB116" t="str">
        <f t="shared" si="13"/>
        <v>PK-SD</v>
      </c>
    </row>
    <row r="117" spans="1:28" x14ac:dyDescent="0.25">
      <c r="A117" s="2">
        <v>44935</v>
      </c>
      <c r="B117" t="s">
        <v>25</v>
      </c>
      <c r="C117" t="s">
        <v>60</v>
      </c>
      <c r="D117" t="s">
        <v>12</v>
      </c>
      <c r="E117" t="s">
        <v>18</v>
      </c>
      <c r="F117" t="s">
        <v>27</v>
      </c>
      <c r="G117" t="s">
        <v>44</v>
      </c>
      <c r="H117">
        <v>13</v>
      </c>
      <c r="I117" s="1">
        <v>4331.5</v>
      </c>
      <c r="J117" s="1">
        <f t="shared" si="9"/>
        <v>50678.55</v>
      </c>
      <c r="K117" s="1">
        <f t="shared" si="10"/>
        <v>5630.9500000000007</v>
      </c>
      <c r="L117" s="1">
        <v>56309.5</v>
      </c>
      <c r="M117" s="1">
        <f t="shared" si="11"/>
        <v>10135.709999999999</v>
      </c>
      <c r="N117" s="1">
        <f t="shared" si="12"/>
        <v>66445.209999999992</v>
      </c>
      <c r="S117" t="str">
        <f t="shared" si="7"/>
        <v>Sindh</v>
      </c>
      <c r="W117" t="str">
        <f t="shared" si="8"/>
        <v>South</v>
      </c>
      <c r="AB117" t="str">
        <f t="shared" si="13"/>
        <v>PK-SD</v>
      </c>
    </row>
    <row r="118" spans="1:28" x14ac:dyDescent="0.25">
      <c r="A118" s="2">
        <v>45172</v>
      </c>
      <c r="B118" t="s">
        <v>29</v>
      </c>
      <c r="C118" t="s">
        <v>59</v>
      </c>
      <c r="D118" t="s">
        <v>66</v>
      </c>
      <c r="E118" t="s">
        <v>41</v>
      </c>
      <c r="F118" t="s">
        <v>23</v>
      </c>
      <c r="G118" t="s">
        <v>39</v>
      </c>
      <c r="H118">
        <v>14</v>
      </c>
      <c r="I118" s="1">
        <v>3404.4</v>
      </c>
      <c r="J118" s="1">
        <f t="shared" si="9"/>
        <v>42895.44</v>
      </c>
      <c r="K118" s="1">
        <f t="shared" si="10"/>
        <v>4766.16</v>
      </c>
      <c r="L118" s="1">
        <v>47661.599999999999</v>
      </c>
      <c r="M118" s="1">
        <f t="shared" si="11"/>
        <v>8579.0879999999997</v>
      </c>
      <c r="N118" s="1">
        <f t="shared" si="12"/>
        <v>56240.687999999995</v>
      </c>
      <c r="S118" t="str">
        <f t="shared" si="7"/>
        <v>Khyber Pakhtunkhwa</v>
      </c>
      <c r="W118" t="str">
        <f t="shared" si="8"/>
        <v>North</v>
      </c>
      <c r="AB118" t="str">
        <f t="shared" si="13"/>
        <v>Khyber Pakhtunkhwa</v>
      </c>
    </row>
    <row r="119" spans="1:28" x14ac:dyDescent="0.25">
      <c r="A119" s="2">
        <v>44956</v>
      </c>
      <c r="B119" t="s">
        <v>40</v>
      </c>
      <c r="C119" t="s">
        <v>11</v>
      </c>
      <c r="D119" t="s">
        <v>22</v>
      </c>
      <c r="E119" t="s">
        <v>13</v>
      </c>
      <c r="F119" t="s">
        <v>14</v>
      </c>
      <c r="G119" t="s">
        <v>53</v>
      </c>
      <c r="H119">
        <v>20</v>
      </c>
      <c r="I119" s="1">
        <v>3734.44</v>
      </c>
      <c r="J119" s="1">
        <f t="shared" si="9"/>
        <v>67219.92</v>
      </c>
      <c r="K119" s="1">
        <f t="shared" si="10"/>
        <v>7468.880000000001</v>
      </c>
      <c r="L119" s="1">
        <v>74688.800000000003</v>
      </c>
      <c r="M119" s="1">
        <f t="shared" si="11"/>
        <v>13443.984</v>
      </c>
      <c r="N119" s="1">
        <f t="shared" si="12"/>
        <v>88132.784</v>
      </c>
      <c r="S119" t="str">
        <f t="shared" si="7"/>
        <v>Balochistan</v>
      </c>
      <c r="W119" t="str">
        <f t="shared" si="8"/>
        <v>West</v>
      </c>
      <c r="AB119" t="str">
        <f t="shared" si="13"/>
        <v>PK-BA</v>
      </c>
    </row>
    <row r="120" spans="1:28" x14ac:dyDescent="0.25">
      <c r="A120" s="2">
        <v>44983</v>
      </c>
      <c r="B120" t="s">
        <v>43</v>
      </c>
      <c r="C120" t="s">
        <v>11</v>
      </c>
      <c r="D120" t="s">
        <v>22</v>
      </c>
      <c r="E120" t="s">
        <v>13</v>
      </c>
      <c r="F120" t="s">
        <v>14</v>
      </c>
      <c r="G120" t="s">
        <v>45</v>
      </c>
      <c r="H120">
        <v>6</v>
      </c>
      <c r="I120" s="1">
        <v>112.76</v>
      </c>
      <c r="J120" s="1">
        <f t="shared" si="9"/>
        <v>608.904</v>
      </c>
      <c r="K120" s="1">
        <f t="shared" si="10"/>
        <v>67.655999999999992</v>
      </c>
      <c r="L120" s="1">
        <v>676.56</v>
      </c>
      <c r="M120" s="1">
        <f t="shared" si="11"/>
        <v>121.78079999999999</v>
      </c>
      <c r="N120" s="1">
        <f t="shared" si="12"/>
        <v>798.34079999999994</v>
      </c>
      <c r="S120" t="str">
        <f t="shared" si="7"/>
        <v>Balochistan</v>
      </c>
      <c r="W120" t="str">
        <f t="shared" si="8"/>
        <v>West</v>
      </c>
      <c r="AB120" t="str">
        <f t="shared" si="13"/>
        <v>PK-BA</v>
      </c>
    </row>
    <row r="121" spans="1:28" x14ac:dyDescent="0.25">
      <c r="A121" s="2">
        <v>45275</v>
      </c>
      <c r="B121" t="s">
        <v>43</v>
      </c>
      <c r="C121" t="s">
        <v>61</v>
      </c>
      <c r="D121" t="s">
        <v>65</v>
      </c>
      <c r="E121" t="s">
        <v>64</v>
      </c>
      <c r="F121" t="s">
        <v>32</v>
      </c>
      <c r="G121" t="s">
        <v>33</v>
      </c>
      <c r="H121">
        <v>6</v>
      </c>
      <c r="I121" s="1">
        <v>4751.7700000000004</v>
      </c>
      <c r="J121" s="1">
        <f t="shared" si="9"/>
        <v>25659.558000000001</v>
      </c>
      <c r="K121" s="1">
        <f t="shared" si="10"/>
        <v>2851.0619999999999</v>
      </c>
      <c r="L121" s="1">
        <v>28510.62</v>
      </c>
      <c r="M121" s="1">
        <f t="shared" si="11"/>
        <v>5131.9115999999995</v>
      </c>
      <c r="N121" s="1">
        <f t="shared" si="12"/>
        <v>33642.531600000002</v>
      </c>
      <c r="S121" t="str">
        <f t="shared" si="7"/>
        <v>Punjab</v>
      </c>
      <c r="W121" t="str">
        <f t="shared" si="8"/>
        <v>East</v>
      </c>
      <c r="AB121" t="str">
        <f t="shared" si="13"/>
        <v>PK-PB</v>
      </c>
    </row>
    <row r="122" spans="1:28" x14ac:dyDescent="0.25">
      <c r="A122" s="2">
        <v>45115</v>
      </c>
      <c r="B122" t="s">
        <v>21</v>
      </c>
      <c r="C122" t="s">
        <v>60</v>
      </c>
      <c r="D122" t="s">
        <v>12</v>
      </c>
      <c r="E122" t="s">
        <v>18</v>
      </c>
      <c r="F122" t="s">
        <v>27</v>
      </c>
      <c r="G122" t="s">
        <v>44</v>
      </c>
      <c r="H122">
        <v>4</v>
      </c>
      <c r="I122" s="1">
        <v>3214.1</v>
      </c>
      <c r="J122" s="1">
        <f t="shared" si="9"/>
        <v>11570.76</v>
      </c>
      <c r="K122" s="1">
        <f t="shared" si="10"/>
        <v>1285.6400000000001</v>
      </c>
      <c r="L122" s="1">
        <v>12856.4</v>
      </c>
      <c r="M122" s="1">
        <f t="shared" si="11"/>
        <v>2314.152</v>
      </c>
      <c r="N122" s="1">
        <f t="shared" si="12"/>
        <v>15170.552</v>
      </c>
      <c r="S122" t="str">
        <f t="shared" si="7"/>
        <v>Sindh</v>
      </c>
      <c r="W122" t="str">
        <f t="shared" si="8"/>
        <v>South</v>
      </c>
      <c r="AB122" t="str">
        <f t="shared" si="13"/>
        <v>PK-SD</v>
      </c>
    </row>
    <row r="123" spans="1:28" x14ac:dyDescent="0.25">
      <c r="A123" s="2">
        <v>45192</v>
      </c>
      <c r="B123" t="s">
        <v>10</v>
      </c>
      <c r="C123" t="s">
        <v>61</v>
      </c>
      <c r="D123" t="s">
        <v>65</v>
      </c>
      <c r="E123" t="s">
        <v>64</v>
      </c>
      <c r="F123" t="s">
        <v>32</v>
      </c>
      <c r="G123" t="s">
        <v>36</v>
      </c>
      <c r="H123">
        <v>20</v>
      </c>
      <c r="I123" s="1">
        <v>598.97</v>
      </c>
      <c r="J123" s="1">
        <f t="shared" si="9"/>
        <v>10781.46</v>
      </c>
      <c r="K123" s="1">
        <f t="shared" si="10"/>
        <v>1197.94</v>
      </c>
      <c r="L123" s="1">
        <v>11979.4</v>
      </c>
      <c r="M123" s="1">
        <f t="shared" si="11"/>
        <v>2156.2919999999999</v>
      </c>
      <c r="N123" s="1">
        <f t="shared" si="12"/>
        <v>14135.691999999999</v>
      </c>
      <c r="S123" t="str">
        <f t="shared" si="7"/>
        <v>Punjab</v>
      </c>
      <c r="W123" t="str">
        <f t="shared" si="8"/>
        <v>East</v>
      </c>
      <c r="AB123" t="str">
        <f t="shared" si="13"/>
        <v>PK-PB</v>
      </c>
    </row>
    <row r="124" spans="1:28" x14ac:dyDescent="0.25">
      <c r="A124" s="2">
        <v>45031</v>
      </c>
      <c r="B124" t="s">
        <v>43</v>
      </c>
      <c r="C124" t="s">
        <v>11</v>
      </c>
      <c r="D124" t="s">
        <v>22</v>
      </c>
      <c r="E124" t="s">
        <v>13</v>
      </c>
      <c r="F124" t="s">
        <v>14</v>
      </c>
      <c r="G124" t="s">
        <v>45</v>
      </c>
      <c r="H124">
        <v>15</v>
      </c>
      <c r="I124" s="1">
        <v>1513.67</v>
      </c>
      <c r="J124" s="1">
        <f t="shared" si="9"/>
        <v>20434.544999999998</v>
      </c>
      <c r="K124" s="1">
        <f t="shared" si="10"/>
        <v>2270.5050000000001</v>
      </c>
      <c r="L124" s="1">
        <v>22705.05</v>
      </c>
      <c r="M124" s="1">
        <f t="shared" si="11"/>
        <v>4086.9089999999997</v>
      </c>
      <c r="N124" s="1">
        <f t="shared" si="12"/>
        <v>26791.958999999999</v>
      </c>
      <c r="S124" t="str">
        <f t="shared" si="7"/>
        <v>Balochistan</v>
      </c>
      <c r="W124" t="str">
        <f t="shared" si="8"/>
        <v>West</v>
      </c>
      <c r="AB124" t="str">
        <f t="shared" si="13"/>
        <v>PK-BA</v>
      </c>
    </row>
    <row r="125" spans="1:28" x14ac:dyDescent="0.25">
      <c r="A125" s="2">
        <v>44999</v>
      </c>
      <c r="B125" t="s">
        <v>34</v>
      </c>
      <c r="C125" t="s">
        <v>63</v>
      </c>
      <c r="D125" t="s">
        <v>65</v>
      </c>
      <c r="E125" t="s">
        <v>64</v>
      </c>
      <c r="F125" t="s">
        <v>23</v>
      </c>
      <c r="G125" t="s">
        <v>37</v>
      </c>
      <c r="H125">
        <v>6</v>
      </c>
      <c r="I125" s="1">
        <v>194.62</v>
      </c>
      <c r="J125" s="1">
        <f t="shared" si="9"/>
        <v>1050.9480000000001</v>
      </c>
      <c r="K125" s="1">
        <f t="shared" si="10"/>
        <v>116.77200000000001</v>
      </c>
      <c r="L125" s="1">
        <v>1167.72</v>
      </c>
      <c r="M125" s="1">
        <f t="shared" si="11"/>
        <v>210.18959999999998</v>
      </c>
      <c r="N125" s="1">
        <f t="shared" si="12"/>
        <v>1377.9096</v>
      </c>
      <c r="S125" t="str">
        <f t="shared" si="7"/>
        <v>Punjab</v>
      </c>
      <c r="W125" t="str">
        <f t="shared" si="8"/>
        <v>East</v>
      </c>
      <c r="AB125" t="str">
        <f t="shared" si="13"/>
        <v>PK-PB</v>
      </c>
    </row>
    <row r="126" spans="1:28" x14ac:dyDescent="0.25">
      <c r="A126" s="2">
        <v>45261</v>
      </c>
      <c r="B126" t="s">
        <v>38</v>
      </c>
      <c r="C126" t="s">
        <v>63</v>
      </c>
      <c r="D126" t="s">
        <v>65</v>
      </c>
      <c r="E126" t="s">
        <v>64</v>
      </c>
      <c r="F126" t="s">
        <v>23</v>
      </c>
      <c r="G126" t="s">
        <v>37</v>
      </c>
      <c r="H126">
        <v>6</v>
      </c>
      <c r="I126" s="1">
        <v>4508.3</v>
      </c>
      <c r="J126" s="1">
        <f t="shared" si="9"/>
        <v>24344.82</v>
      </c>
      <c r="K126" s="1">
        <f t="shared" si="10"/>
        <v>2704.98</v>
      </c>
      <c r="L126" s="1">
        <v>27049.8</v>
      </c>
      <c r="M126" s="1">
        <f t="shared" si="11"/>
        <v>4868.9639999999999</v>
      </c>
      <c r="N126" s="1">
        <f t="shared" si="12"/>
        <v>31918.763999999999</v>
      </c>
      <c r="S126" t="str">
        <f t="shared" si="7"/>
        <v>Punjab</v>
      </c>
      <c r="W126" t="str">
        <f t="shared" si="8"/>
        <v>East</v>
      </c>
      <c r="AB126" t="str">
        <f t="shared" si="13"/>
        <v>PK-PB</v>
      </c>
    </row>
    <row r="127" spans="1:28" x14ac:dyDescent="0.25">
      <c r="A127" s="2">
        <v>45180</v>
      </c>
      <c r="B127" t="s">
        <v>31</v>
      </c>
      <c r="C127" t="s">
        <v>35</v>
      </c>
      <c r="D127" t="s">
        <v>65</v>
      </c>
      <c r="E127" t="s">
        <v>64</v>
      </c>
      <c r="F127" t="s">
        <v>14</v>
      </c>
      <c r="G127" t="s">
        <v>53</v>
      </c>
      <c r="H127">
        <v>20</v>
      </c>
      <c r="I127" s="1">
        <v>4055.72</v>
      </c>
      <c r="J127" s="1">
        <f t="shared" si="9"/>
        <v>73002.959999999992</v>
      </c>
      <c r="K127" s="1">
        <f t="shared" si="10"/>
        <v>8111.44</v>
      </c>
      <c r="L127" s="1">
        <v>81114.399999999994</v>
      </c>
      <c r="M127" s="1">
        <f t="shared" si="11"/>
        <v>14600.591999999999</v>
      </c>
      <c r="N127" s="1">
        <f t="shared" si="12"/>
        <v>95714.991999999998</v>
      </c>
      <c r="S127" t="str">
        <f t="shared" si="7"/>
        <v>Punjab</v>
      </c>
      <c r="W127" t="str">
        <f t="shared" si="8"/>
        <v>East</v>
      </c>
      <c r="AB127" t="str">
        <f t="shared" si="13"/>
        <v>PK-PB</v>
      </c>
    </row>
    <row r="128" spans="1:28" x14ac:dyDescent="0.25">
      <c r="A128" s="2">
        <v>45202</v>
      </c>
      <c r="B128" t="s">
        <v>34</v>
      </c>
      <c r="C128" t="s">
        <v>55</v>
      </c>
      <c r="D128" t="s">
        <v>66</v>
      </c>
      <c r="E128" t="s">
        <v>41</v>
      </c>
      <c r="F128" t="s">
        <v>14</v>
      </c>
      <c r="G128" t="s">
        <v>53</v>
      </c>
      <c r="H128">
        <v>8</v>
      </c>
      <c r="I128" s="1">
        <v>2986.89</v>
      </c>
      <c r="J128" s="1">
        <f t="shared" si="9"/>
        <v>21505.608</v>
      </c>
      <c r="K128" s="1">
        <f t="shared" si="10"/>
        <v>2389.5120000000002</v>
      </c>
      <c r="L128" s="1">
        <v>23895.119999999999</v>
      </c>
      <c r="M128" s="1">
        <f t="shared" si="11"/>
        <v>4301.1215999999995</v>
      </c>
      <c r="N128" s="1">
        <f t="shared" si="12"/>
        <v>28196.241599999998</v>
      </c>
      <c r="S128" t="str">
        <f t="shared" si="7"/>
        <v>Khyber Pakhtunkhwa</v>
      </c>
      <c r="W128" t="str">
        <f t="shared" si="8"/>
        <v>North</v>
      </c>
      <c r="AB128" t="str">
        <f t="shared" si="13"/>
        <v>Khyber Pakhtunkhwa</v>
      </c>
    </row>
    <row r="129" spans="1:28" x14ac:dyDescent="0.25">
      <c r="A129" s="2">
        <v>45041</v>
      </c>
      <c r="B129" t="s">
        <v>29</v>
      </c>
      <c r="C129" t="s">
        <v>58</v>
      </c>
      <c r="D129" t="s">
        <v>12</v>
      </c>
      <c r="E129" t="s">
        <v>18</v>
      </c>
      <c r="F129" t="s">
        <v>32</v>
      </c>
      <c r="G129" t="s">
        <v>49</v>
      </c>
      <c r="H129">
        <v>7</v>
      </c>
      <c r="I129" s="1">
        <v>4933.0600000000004</v>
      </c>
      <c r="J129" s="1">
        <f t="shared" si="9"/>
        <v>31078.277999999998</v>
      </c>
      <c r="K129" s="1">
        <f t="shared" si="10"/>
        <v>3453.1419999999998</v>
      </c>
      <c r="L129" s="1">
        <v>34531.42</v>
      </c>
      <c r="M129" s="1">
        <f t="shared" si="11"/>
        <v>6215.6555999999991</v>
      </c>
      <c r="N129" s="1">
        <f t="shared" si="12"/>
        <v>40747.075599999996</v>
      </c>
      <c r="S129" t="str">
        <f t="shared" si="7"/>
        <v>Sindh</v>
      </c>
      <c r="W129" t="str">
        <f t="shared" si="8"/>
        <v>South</v>
      </c>
      <c r="AB129" t="str">
        <f t="shared" si="13"/>
        <v>PK-SD</v>
      </c>
    </row>
    <row r="130" spans="1:28" x14ac:dyDescent="0.25">
      <c r="A130" s="2">
        <v>45194</v>
      </c>
      <c r="B130" t="s">
        <v>40</v>
      </c>
      <c r="C130" t="s">
        <v>54</v>
      </c>
      <c r="D130" t="s">
        <v>12</v>
      </c>
      <c r="E130" t="s">
        <v>18</v>
      </c>
      <c r="F130" t="s">
        <v>19</v>
      </c>
      <c r="G130" t="s">
        <v>20</v>
      </c>
      <c r="H130">
        <v>4</v>
      </c>
      <c r="I130" s="1">
        <v>4837.17</v>
      </c>
      <c r="J130" s="1">
        <f t="shared" si="9"/>
        <v>17413.812000000002</v>
      </c>
      <c r="K130" s="1">
        <f t="shared" si="10"/>
        <v>1934.8680000000002</v>
      </c>
      <c r="L130" s="1">
        <v>19348.68</v>
      </c>
      <c r="M130" s="1">
        <f t="shared" si="11"/>
        <v>3482.7624000000001</v>
      </c>
      <c r="N130" s="1">
        <f t="shared" si="12"/>
        <v>22831.4424</v>
      </c>
      <c r="S130" t="str">
        <f t="shared" ref="S130:S193" si="14">VLOOKUP(C130,$Q$2:$R$15,2,FALSE)</f>
        <v>Sindh</v>
      </c>
      <c r="W130" t="str">
        <f t="shared" ref="W130:W193" si="15">VLOOKUP(D130,$U$2:$V$5,2,FALSE)</f>
        <v>South</v>
      </c>
      <c r="AB130" t="str">
        <f t="shared" si="13"/>
        <v>PK-SD</v>
      </c>
    </row>
    <row r="131" spans="1:28" x14ac:dyDescent="0.25">
      <c r="A131" s="2">
        <v>45203</v>
      </c>
      <c r="B131" t="s">
        <v>34</v>
      </c>
      <c r="C131" t="s">
        <v>61</v>
      </c>
      <c r="D131" t="s">
        <v>65</v>
      </c>
      <c r="E131" t="s">
        <v>64</v>
      </c>
      <c r="F131" t="s">
        <v>19</v>
      </c>
      <c r="G131" t="s">
        <v>20</v>
      </c>
      <c r="H131">
        <v>1</v>
      </c>
      <c r="I131" s="1">
        <v>4813.2299999999996</v>
      </c>
      <c r="J131" s="1">
        <f t="shared" ref="J131:J194" si="16">L131*90%</f>
        <v>4331.9070000000002</v>
      </c>
      <c r="K131" s="1">
        <f t="shared" ref="K131:K194" si="17">L131*10%</f>
        <v>481.32299999999998</v>
      </c>
      <c r="L131" s="1">
        <v>4813.2299999999996</v>
      </c>
      <c r="M131" s="1">
        <f t="shared" ref="M131:M194" si="18">L131*18%</f>
        <v>866.38139999999987</v>
      </c>
      <c r="N131" s="1">
        <f t="shared" ref="N131:N194" si="19">L131+M131</f>
        <v>5679.6113999999998</v>
      </c>
      <c r="S131" t="str">
        <f t="shared" si="14"/>
        <v>Punjab</v>
      </c>
      <c r="W131" t="str">
        <f t="shared" si="15"/>
        <v>East</v>
      </c>
      <c r="AB131" t="str">
        <f t="shared" ref="AB131:AB194" si="20">VLOOKUP(D131,$Z$2:$AA$5,2,FALSE)</f>
        <v>PK-PB</v>
      </c>
    </row>
    <row r="132" spans="1:28" x14ac:dyDescent="0.25">
      <c r="A132" s="2">
        <v>45012</v>
      </c>
      <c r="B132" t="s">
        <v>34</v>
      </c>
      <c r="C132" t="s">
        <v>57</v>
      </c>
      <c r="D132" t="s">
        <v>22</v>
      </c>
      <c r="E132" t="s">
        <v>13</v>
      </c>
      <c r="F132" t="s">
        <v>23</v>
      </c>
      <c r="G132" t="s">
        <v>47</v>
      </c>
      <c r="H132">
        <v>16</v>
      </c>
      <c r="I132" s="1">
        <v>3158.66</v>
      </c>
      <c r="J132" s="1">
        <f t="shared" si="16"/>
        <v>45484.703999999998</v>
      </c>
      <c r="K132" s="1">
        <f t="shared" si="17"/>
        <v>5053.8559999999998</v>
      </c>
      <c r="L132" s="1">
        <v>50538.559999999998</v>
      </c>
      <c r="M132" s="1">
        <f t="shared" si="18"/>
        <v>9096.9407999999985</v>
      </c>
      <c r="N132" s="1">
        <f t="shared" si="19"/>
        <v>59635.500799999994</v>
      </c>
      <c r="S132" t="str">
        <f t="shared" si="14"/>
        <v>Balochistan</v>
      </c>
      <c r="W132" t="str">
        <f t="shared" si="15"/>
        <v>West</v>
      </c>
      <c r="AB132" t="str">
        <f t="shared" si="20"/>
        <v>PK-BA</v>
      </c>
    </row>
    <row r="133" spans="1:28" x14ac:dyDescent="0.25">
      <c r="A133" s="2">
        <v>45175</v>
      </c>
      <c r="B133" t="s">
        <v>16</v>
      </c>
      <c r="C133" t="s">
        <v>11</v>
      </c>
      <c r="D133" t="s">
        <v>22</v>
      </c>
      <c r="E133" t="s">
        <v>13</v>
      </c>
      <c r="F133" t="s">
        <v>32</v>
      </c>
      <c r="G133" t="s">
        <v>36</v>
      </c>
      <c r="H133">
        <v>6</v>
      </c>
      <c r="I133" s="1">
        <v>2920.43</v>
      </c>
      <c r="J133" s="1">
        <f t="shared" si="16"/>
        <v>15770.322000000002</v>
      </c>
      <c r="K133" s="1">
        <f t="shared" si="17"/>
        <v>1752.2580000000003</v>
      </c>
      <c r="L133" s="1">
        <v>17522.580000000002</v>
      </c>
      <c r="M133" s="1">
        <f t="shared" si="18"/>
        <v>3154.0644000000002</v>
      </c>
      <c r="N133" s="1">
        <f t="shared" si="19"/>
        <v>20676.644400000001</v>
      </c>
      <c r="S133" t="str">
        <f t="shared" si="14"/>
        <v>Balochistan</v>
      </c>
      <c r="W133" t="str">
        <f t="shared" si="15"/>
        <v>West</v>
      </c>
      <c r="AB133" t="str">
        <f t="shared" si="20"/>
        <v>PK-BA</v>
      </c>
    </row>
    <row r="134" spans="1:28" x14ac:dyDescent="0.25">
      <c r="A134" s="2">
        <v>45267</v>
      </c>
      <c r="B134" t="s">
        <v>16</v>
      </c>
      <c r="C134" t="s">
        <v>11</v>
      </c>
      <c r="D134" t="s">
        <v>22</v>
      </c>
      <c r="E134" t="s">
        <v>13</v>
      </c>
      <c r="F134" t="s">
        <v>23</v>
      </c>
      <c r="G134" t="s">
        <v>37</v>
      </c>
      <c r="H134">
        <v>12</v>
      </c>
      <c r="I134" s="1">
        <v>2170.02</v>
      </c>
      <c r="J134" s="1">
        <f t="shared" si="16"/>
        <v>23436.216</v>
      </c>
      <c r="K134" s="1">
        <f t="shared" si="17"/>
        <v>2604.0240000000003</v>
      </c>
      <c r="L134" s="1">
        <v>26040.240000000002</v>
      </c>
      <c r="M134" s="1">
        <f t="shared" si="18"/>
        <v>4687.2431999999999</v>
      </c>
      <c r="N134" s="1">
        <f t="shared" si="19"/>
        <v>30727.483200000002</v>
      </c>
      <c r="S134" t="str">
        <f t="shared" si="14"/>
        <v>Balochistan</v>
      </c>
      <c r="W134" t="str">
        <f t="shared" si="15"/>
        <v>West</v>
      </c>
      <c r="AB134" t="str">
        <f t="shared" si="20"/>
        <v>PK-BA</v>
      </c>
    </row>
    <row r="135" spans="1:28" x14ac:dyDescent="0.25">
      <c r="A135" s="2">
        <v>45060</v>
      </c>
      <c r="B135" t="s">
        <v>29</v>
      </c>
      <c r="C135" t="s">
        <v>11</v>
      </c>
      <c r="D135" t="s">
        <v>22</v>
      </c>
      <c r="E135" t="s">
        <v>13</v>
      </c>
      <c r="F135" t="s">
        <v>32</v>
      </c>
      <c r="G135" t="s">
        <v>33</v>
      </c>
      <c r="H135">
        <v>2</v>
      </c>
      <c r="I135" s="1">
        <v>4542.6099999999997</v>
      </c>
      <c r="J135" s="1">
        <f t="shared" si="16"/>
        <v>8176.6979999999994</v>
      </c>
      <c r="K135" s="1">
        <f t="shared" si="17"/>
        <v>908.52199999999993</v>
      </c>
      <c r="L135" s="1">
        <v>9085.2199999999993</v>
      </c>
      <c r="M135" s="1">
        <f t="shared" si="18"/>
        <v>1635.3395999999998</v>
      </c>
      <c r="N135" s="1">
        <f t="shared" si="19"/>
        <v>10720.559599999999</v>
      </c>
      <c r="S135" t="str">
        <f t="shared" si="14"/>
        <v>Balochistan</v>
      </c>
      <c r="W135" t="str">
        <f t="shared" si="15"/>
        <v>West</v>
      </c>
      <c r="AB135" t="str">
        <f t="shared" si="20"/>
        <v>PK-BA</v>
      </c>
    </row>
    <row r="136" spans="1:28" x14ac:dyDescent="0.25">
      <c r="A136" s="2">
        <v>45283</v>
      </c>
      <c r="B136" t="s">
        <v>21</v>
      </c>
      <c r="C136" t="s">
        <v>59</v>
      </c>
      <c r="D136" t="s">
        <v>66</v>
      </c>
      <c r="E136" t="s">
        <v>41</v>
      </c>
      <c r="F136" t="s">
        <v>32</v>
      </c>
      <c r="G136" t="s">
        <v>33</v>
      </c>
      <c r="H136">
        <v>1</v>
      </c>
      <c r="I136" s="1">
        <v>3091.48</v>
      </c>
      <c r="J136" s="1">
        <f t="shared" si="16"/>
        <v>2782.3319999999999</v>
      </c>
      <c r="K136" s="1">
        <f t="shared" si="17"/>
        <v>309.14800000000002</v>
      </c>
      <c r="L136" s="1">
        <v>3091.48</v>
      </c>
      <c r="M136" s="1">
        <f t="shared" si="18"/>
        <v>556.46640000000002</v>
      </c>
      <c r="N136" s="1">
        <f t="shared" si="19"/>
        <v>3647.9463999999998</v>
      </c>
      <c r="S136" t="str">
        <f t="shared" si="14"/>
        <v>Khyber Pakhtunkhwa</v>
      </c>
      <c r="W136" t="str">
        <f t="shared" si="15"/>
        <v>North</v>
      </c>
      <c r="AB136" t="str">
        <f t="shared" si="20"/>
        <v>Khyber Pakhtunkhwa</v>
      </c>
    </row>
    <row r="137" spans="1:28" x14ac:dyDescent="0.25">
      <c r="A137" s="2">
        <v>44930</v>
      </c>
      <c r="B137" t="s">
        <v>34</v>
      </c>
      <c r="C137" t="s">
        <v>60</v>
      </c>
      <c r="D137" t="s">
        <v>12</v>
      </c>
      <c r="E137" t="s">
        <v>18</v>
      </c>
      <c r="F137" t="s">
        <v>14</v>
      </c>
      <c r="G137" t="s">
        <v>15</v>
      </c>
      <c r="H137">
        <v>3</v>
      </c>
      <c r="I137" s="1">
        <v>2205.6</v>
      </c>
      <c r="J137" s="1">
        <f t="shared" si="16"/>
        <v>5955.12</v>
      </c>
      <c r="K137" s="1">
        <f t="shared" si="17"/>
        <v>661.68000000000006</v>
      </c>
      <c r="L137" s="1">
        <v>6616.8</v>
      </c>
      <c r="M137" s="1">
        <f t="shared" si="18"/>
        <v>1191.0239999999999</v>
      </c>
      <c r="N137" s="1">
        <f t="shared" si="19"/>
        <v>7807.8240000000005</v>
      </c>
      <c r="S137" t="str">
        <f t="shared" si="14"/>
        <v>Sindh</v>
      </c>
      <c r="W137" t="str">
        <f t="shared" si="15"/>
        <v>South</v>
      </c>
      <c r="AB137" t="str">
        <f t="shared" si="20"/>
        <v>PK-SD</v>
      </c>
    </row>
    <row r="138" spans="1:28" x14ac:dyDescent="0.25">
      <c r="A138" s="2">
        <v>45129</v>
      </c>
      <c r="B138" t="s">
        <v>21</v>
      </c>
      <c r="C138" t="s">
        <v>11</v>
      </c>
      <c r="D138" t="s">
        <v>22</v>
      </c>
      <c r="E138" t="s">
        <v>13</v>
      </c>
      <c r="F138" t="s">
        <v>32</v>
      </c>
      <c r="G138" t="s">
        <v>49</v>
      </c>
      <c r="H138">
        <v>10</v>
      </c>
      <c r="I138" s="1">
        <v>4282.18</v>
      </c>
      <c r="J138" s="1">
        <f t="shared" si="16"/>
        <v>38539.620000000003</v>
      </c>
      <c r="K138" s="1">
        <f t="shared" si="17"/>
        <v>4282.18</v>
      </c>
      <c r="L138" s="1">
        <v>42821.8</v>
      </c>
      <c r="M138" s="1">
        <f t="shared" si="18"/>
        <v>7707.924</v>
      </c>
      <c r="N138" s="1">
        <f t="shared" si="19"/>
        <v>50529.724000000002</v>
      </c>
      <c r="S138" t="str">
        <f t="shared" si="14"/>
        <v>Balochistan</v>
      </c>
      <c r="W138" t="str">
        <f t="shared" si="15"/>
        <v>West</v>
      </c>
      <c r="AB138" t="str">
        <f t="shared" si="20"/>
        <v>PK-BA</v>
      </c>
    </row>
    <row r="139" spans="1:28" x14ac:dyDescent="0.25">
      <c r="A139" s="2">
        <v>45248</v>
      </c>
      <c r="B139" t="s">
        <v>29</v>
      </c>
      <c r="C139" t="s">
        <v>54</v>
      </c>
      <c r="D139" t="s">
        <v>12</v>
      </c>
      <c r="E139" t="s">
        <v>18</v>
      </c>
      <c r="F139" t="s">
        <v>19</v>
      </c>
      <c r="G139" t="s">
        <v>20</v>
      </c>
      <c r="H139">
        <v>5</v>
      </c>
      <c r="I139" s="1">
        <v>4252.84</v>
      </c>
      <c r="J139" s="1">
        <f t="shared" si="16"/>
        <v>19137.780000000002</v>
      </c>
      <c r="K139" s="1">
        <f t="shared" si="17"/>
        <v>2126.42</v>
      </c>
      <c r="L139" s="1">
        <v>21264.2</v>
      </c>
      <c r="M139" s="1">
        <f t="shared" si="18"/>
        <v>3827.556</v>
      </c>
      <c r="N139" s="1">
        <f t="shared" si="19"/>
        <v>25091.756000000001</v>
      </c>
      <c r="S139" t="str">
        <f t="shared" si="14"/>
        <v>Sindh</v>
      </c>
      <c r="W139" t="str">
        <f t="shared" si="15"/>
        <v>South</v>
      </c>
      <c r="AB139" t="str">
        <f t="shared" si="20"/>
        <v>PK-SD</v>
      </c>
    </row>
    <row r="140" spans="1:28" x14ac:dyDescent="0.25">
      <c r="A140" s="2">
        <v>44934</v>
      </c>
      <c r="B140" t="s">
        <v>16</v>
      </c>
      <c r="C140" t="s">
        <v>26</v>
      </c>
      <c r="D140" t="s">
        <v>12</v>
      </c>
      <c r="E140" t="s">
        <v>18</v>
      </c>
      <c r="F140" t="s">
        <v>14</v>
      </c>
      <c r="G140" t="s">
        <v>53</v>
      </c>
      <c r="H140">
        <v>3</v>
      </c>
      <c r="I140" s="1">
        <v>916.33</v>
      </c>
      <c r="J140" s="1">
        <f t="shared" si="16"/>
        <v>2474.0909999999999</v>
      </c>
      <c r="K140" s="1">
        <f t="shared" si="17"/>
        <v>274.899</v>
      </c>
      <c r="L140" s="1">
        <v>2748.99</v>
      </c>
      <c r="M140" s="1">
        <f t="shared" si="18"/>
        <v>494.81819999999993</v>
      </c>
      <c r="N140" s="1">
        <f t="shared" si="19"/>
        <v>3243.8081999999995</v>
      </c>
      <c r="S140" t="str">
        <f t="shared" si="14"/>
        <v>Sindh</v>
      </c>
      <c r="W140" t="str">
        <f t="shared" si="15"/>
        <v>South</v>
      </c>
      <c r="AB140" t="str">
        <f t="shared" si="20"/>
        <v>PK-SD</v>
      </c>
    </row>
    <row r="141" spans="1:28" x14ac:dyDescent="0.25">
      <c r="A141" s="2">
        <v>45029</v>
      </c>
      <c r="B141" t="s">
        <v>16</v>
      </c>
      <c r="C141" t="s">
        <v>35</v>
      </c>
      <c r="D141" t="s">
        <v>65</v>
      </c>
      <c r="E141" t="s">
        <v>64</v>
      </c>
      <c r="F141" t="s">
        <v>14</v>
      </c>
      <c r="G141" t="s">
        <v>53</v>
      </c>
      <c r="H141">
        <v>3</v>
      </c>
      <c r="I141" s="1">
        <v>1270.1500000000001</v>
      </c>
      <c r="J141" s="1">
        <f t="shared" si="16"/>
        <v>3429.4049999999997</v>
      </c>
      <c r="K141" s="1">
        <f t="shared" si="17"/>
        <v>381.04500000000002</v>
      </c>
      <c r="L141" s="1">
        <v>3810.45</v>
      </c>
      <c r="M141" s="1">
        <f t="shared" si="18"/>
        <v>685.88099999999997</v>
      </c>
      <c r="N141" s="1">
        <f t="shared" si="19"/>
        <v>4496.3310000000001</v>
      </c>
      <c r="S141" t="str">
        <f t="shared" si="14"/>
        <v>Punjab</v>
      </c>
      <c r="W141" t="str">
        <f t="shared" si="15"/>
        <v>East</v>
      </c>
      <c r="AB141" t="str">
        <f t="shared" si="20"/>
        <v>PK-PB</v>
      </c>
    </row>
    <row r="142" spans="1:28" x14ac:dyDescent="0.25">
      <c r="A142" s="2">
        <v>44968</v>
      </c>
      <c r="B142" t="s">
        <v>21</v>
      </c>
      <c r="C142" t="s">
        <v>17</v>
      </c>
      <c r="D142" t="s">
        <v>65</v>
      </c>
      <c r="E142" t="s">
        <v>64</v>
      </c>
      <c r="F142" t="s">
        <v>14</v>
      </c>
      <c r="G142" t="s">
        <v>45</v>
      </c>
      <c r="H142">
        <v>6</v>
      </c>
      <c r="I142" s="1">
        <v>1750.35</v>
      </c>
      <c r="J142" s="1">
        <f t="shared" si="16"/>
        <v>9451.8900000000012</v>
      </c>
      <c r="K142" s="1">
        <f t="shared" si="17"/>
        <v>1050.21</v>
      </c>
      <c r="L142" s="1">
        <v>10502.1</v>
      </c>
      <c r="M142" s="1">
        <f t="shared" si="18"/>
        <v>1890.3779999999999</v>
      </c>
      <c r="N142" s="1">
        <f t="shared" si="19"/>
        <v>12392.478000000001</v>
      </c>
      <c r="S142" t="str">
        <f t="shared" si="14"/>
        <v>Punjab</v>
      </c>
      <c r="W142" t="str">
        <f t="shared" si="15"/>
        <v>East</v>
      </c>
      <c r="AB142" t="str">
        <f t="shared" si="20"/>
        <v>PK-PB</v>
      </c>
    </row>
    <row r="143" spans="1:28" x14ac:dyDescent="0.25">
      <c r="A143" s="2">
        <v>45230</v>
      </c>
      <c r="B143" t="s">
        <v>10</v>
      </c>
      <c r="C143" t="s">
        <v>17</v>
      </c>
      <c r="D143" t="s">
        <v>65</v>
      </c>
      <c r="E143" t="s">
        <v>64</v>
      </c>
      <c r="F143" t="s">
        <v>27</v>
      </c>
      <c r="G143" t="s">
        <v>28</v>
      </c>
      <c r="H143">
        <v>6</v>
      </c>
      <c r="I143" s="1">
        <v>1105.03</v>
      </c>
      <c r="J143" s="1">
        <f t="shared" si="16"/>
        <v>5967.1620000000003</v>
      </c>
      <c r="K143" s="1">
        <f t="shared" si="17"/>
        <v>663.01800000000003</v>
      </c>
      <c r="L143" s="1">
        <v>6630.18</v>
      </c>
      <c r="M143" s="1">
        <f t="shared" si="18"/>
        <v>1193.4323999999999</v>
      </c>
      <c r="N143" s="1">
        <f t="shared" si="19"/>
        <v>7823.6124</v>
      </c>
      <c r="S143" t="str">
        <f t="shared" si="14"/>
        <v>Punjab</v>
      </c>
      <c r="W143" t="str">
        <f t="shared" si="15"/>
        <v>East</v>
      </c>
      <c r="AB143" t="str">
        <f t="shared" si="20"/>
        <v>PK-PB</v>
      </c>
    </row>
    <row r="144" spans="1:28" x14ac:dyDescent="0.25">
      <c r="A144" s="2">
        <v>45011</v>
      </c>
      <c r="B144" t="s">
        <v>34</v>
      </c>
      <c r="C144" t="s">
        <v>17</v>
      </c>
      <c r="D144" t="s">
        <v>65</v>
      </c>
      <c r="E144" t="s">
        <v>64</v>
      </c>
      <c r="F144" t="s">
        <v>14</v>
      </c>
      <c r="G144" t="s">
        <v>15</v>
      </c>
      <c r="H144">
        <v>17</v>
      </c>
      <c r="I144" s="1">
        <v>1801.69</v>
      </c>
      <c r="J144" s="1">
        <f t="shared" si="16"/>
        <v>27565.857</v>
      </c>
      <c r="K144" s="1">
        <f t="shared" si="17"/>
        <v>3062.873</v>
      </c>
      <c r="L144" s="1">
        <v>30628.73</v>
      </c>
      <c r="M144" s="1">
        <f t="shared" si="18"/>
        <v>5513.1713999999993</v>
      </c>
      <c r="N144" s="1">
        <f t="shared" si="19"/>
        <v>36141.901400000002</v>
      </c>
      <c r="S144" t="str">
        <f t="shared" si="14"/>
        <v>Punjab</v>
      </c>
      <c r="W144" t="str">
        <f t="shared" si="15"/>
        <v>East</v>
      </c>
      <c r="AB144" t="str">
        <f t="shared" si="20"/>
        <v>PK-PB</v>
      </c>
    </row>
    <row r="145" spans="1:28" x14ac:dyDescent="0.25">
      <c r="A145" s="2">
        <v>45116</v>
      </c>
      <c r="B145" t="s">
        <v>38</v>
      </c>
      <c r="C145" t="s">
        <v>62</v>
      </c>
      <c r="D145" t="s">
        <v>65</v>
      </c>
      <c r="E145" t="s">
        <v>64</v>
      </c>
      <c r="F145" t="s">
        <v>32</v>
      </c>
      <c r="G145" t="s">
        <v>33</v>
      </c>
      <c r="H145">
        <v>19</v>
      </c>
      <c r="I145" s="1">
        <v>717.29</v>
      </c>
      <c r="J145" s="1">
        <f t="shared" si="16"/>
        <v>12265.659</v>
      </c>
      <c r="K145" s="1">
        <f t="shared" si="17"/>
        <v>1362.8510000000001</v>
      </c>
      <c r="L145" s="1">
        <v>13628.51</v>
      </c>
      <c r="M145" s="1">
        <f t="shared" si="18"/>
        <v>2453.1318000000001</v>
      </c>
      <c r="N145" s="1">
        <f t="shared" si="19"/>
        <v>16081.641800000001</v>
      </c>
      <c r="S145" t="str">
        <f t="shared" si="14"/>
        <v>Punjab</v>
      </c>
      <c r="W145" t="str">
        <f t="shared" si="15"/>
        <v>East</v>
      </c>
      <c r="AB145" t="str">
        <f t="shared" si="20"/>
        <v>PK-PB</v>
      </c>
    </row>
    <row r="146" spans="1:28" x14ac:dyDescent="0.25">
      <c r="A146" s="2">
        <v>45221</v>
      </c>
      <c r="B146" t="s">
        <v>21</v>
      </c>
      <c r="C146" t="s">
        <v>63</v>
      </c>
      <c r="D146" t="s">
        <v>65</v>
      </c>
      <c r="E146" t="s">
        <v>64</v>
      </c>
      <c r="F146" t="s">
        <v>19</v>
      </c>
      <c r="G146" t="s">
        <v>48</v>
      </c>
      <c r="H146">
        <v>2</v>
      </c>
      <c r="I146" s="1">
        <v>4547.16</v>
      </c>
      <c r="J146" s="1">
        <f t="shared" si="16"/>
        <v>8184.8879999999999</v>
      </c>
      <c r="K146" s="1">
        <f t="shared" si="17"/>
        <v>909.43200000000002</v>
      </c>
      <c r="L146" s="1">
        <v>9094.32</v>
      </c>
      <c r="M146" s="1">
        <f t="shared" si="18"/>
        <v>1636.9775999999999</v>
      </c>
      <c r="N146" s="1">
        <f t="shared" si="19"/>
        <v>10731.2976</v>
      </c>
      <c r="S146" t="str">
        <f t="shared" si="14"/>
        <v>Punjab</v>
      </c>
      <c r="W146" t="str">
        <f t="shared" si="15"/>
        <v>East</v>
      </c>
      <c r="AB146" t="str">
        <f t="shared" si="20"/>
        <v>PK-PB</v>
      </c>
    </row>
    <row r="147" spans="1:28" x14ac:dyDescent="0.25">
      <c r="A147" s="2">
        <v>45234</v>
      </c>
      <c r="B147" t="s">
        <v>34</v>
      </c>
      <c r="C147" t="s">
        <v>26</v>
      </c>
      <c r="D147" t="s">
        <v>12</v>
      </c>
      <c r="E147" t="s">
        <v>18</v>
      </c>
      <c r="F147" t="s">
        <v>23</v>
      </c>
      <c r="G147" t="s">
        <v>24</v>
      </c>
      <c r="H147">
        <v>2</v>
      </c>
      <c r="I147" s="1">
        <v>4818.49</v>
      </c>
      <c r="J147" s="1">
        <f t="shared" si="16"/>
        <v>8673.2819999999992</v>
      </c>
      <c r="K147" s="1">
        <f t="shared" si="17"/>
        <v>963.69799999999998</v>
      </c>
      <c r="L147" s="1">
        <v>9636.98</v>
      </c>
      <c r="M147" s="1">
        <f t="shared" si="18"/>
        <v>1734.6563999999998</v>
      </c>
      <c r="N147" s="1">
        <f t="shared" si="19"/>
        <v>11371.636399999999</v>
      </c>
      <c r="S147" t="str">
        <f t="shared" si="14"/>
        <v>Sindh</v>
      </c>
      <c r="W147" t="str">
        <f t="shared" si="15"/>
        <v>South</v>
      </c>
      <c r="AB147" t="str">
        <f t="shared" si="20"/>
        <v>PK-SD</v>
      </c>
    </row>
    <row r="148" spans="1:28" x14ac:dyDescent="0.25">
      <c r="A148" s="2">
        <v>45240</v>
      </c>
      <c r="B148" t="s">
        <v>25</v>
      </c>
      <c r="C148" t="s">
        <v>56</v>
      </c>
      <c r="D148" t="s">
        <v>12</v>
      </c>
      <c r="E148" t="s">
        <v>18</v>
      </c>
      <c r="F148" t="s">
        <v>19</v>
      </c>
      <c r="G148" t="s">
        <v>20</v>
      </c>
      <c r="H148">
        <v>14</v>
      </c>
      <c r="I148" s="1">
        <v>1410.91</v>
      </c>
      <c r="J148" s="1">
        <f t="shared" si="16"/>
        <v>17777.466</v>
      </c>
      <c r="K148" s="1">
        <f t="shared" si="17"/>
        <v>1975.2740000000003</v>
      </c>
      <c r="L148" s="1">
        <v>19752.740000000002</v>
      </c>
      <c r="M148" s="1">
        <f t="shared" si="18"/>
        <v>3555.4932000000003</v>
      </c>
      <c r="N148" s="1">
        <f t="shared" si="19"/>
        <v>23308.233200000002</v>
      </c>
      <c r="S148" t="str">
        <f t="shared" si="14"/>
        <v>Sindh</v>
      </c>
      <c r="W148" t="str">
        <f t="shared" si="15"/>
        <v>South</v>
      </c>
      <c r="AB148" t="str">
        <f t="shared" si="20"/>
        <v>PK-SD</v>
      </c>
    </row>
    <row r="149" spans="1:28" x14ac:dyDescent="0.25">
      <c r="A149" s="2">
        <v>45005</v>
      </c>
      <c r="B149" t="s">
        <v>43</v>
      </c>
      <c r="C149" t="s">
        <v>54</v>
      </c>
      <c r="D149" t="s">
        <v>12</v>
      </c>
      <c r="E149" t="s">
        <v>18</v>
      </c>
      <c r="F149" t="s">
        <v>23</v>
      </c>
      <c r="G149" t="s">
        <v>24</v>
      </c>
      <c r="H149">
        <v>20</v>
      </c>
      <c r="I149" s="1">
        <v>239.35</v>
      </c>
      <c r="J149" s="1">
        <f t="shared" si="16"/>
        <v>4308.3</v>
      </c>
      <c r="K149" s="1">
        <f t="shared" si="17"/>
        <v>478.70000000000005</v>
      </c>
      <c r="L149" s="1">
        <v>4787</v>
      </c>
      <c r="M149" s="1">
        <f t="shared" si="18"/>
        <v>861.66</v>
      </c>
      <c r="N149" s="1">
        <f t="shared" si="19"/>
        <v>5648.66</v>
      </c>
      <c r="S149" t="str">
        <f t="shared" si="14"/>
        <v>Sindh</v>
      </c>
      <c r="W149" t="str">
        <f t="shared" si="15"/>
        <v>South</v>
      </c>
      <c r="AB149" t="str">
        <f t="shared" si="20"/>
        <v>PK-SD</v>
      </c>
    </row>
    <row r="150" spans="1:28" x14ac:dyDescent="0.25">
      <c r="A150" s="2">
        <v>45079</v>
      </c>
      <c r="B150" t="s">
        <v>29</v>
      </c>
      <c r="C150" t="s">
        <v>63</v>
      </c>
      <c r="D150" t="s">
        <v>65</v>
      </c>
      <c r="E150" t="s">
        <v>64</v>
      </c>
      <c r="F150" t="s">
        <v>19</v>
      </c>
      <c r="G150" t="s">
        <v>48</v>
      </c>
      <c r="H150">
        <v>16</v>
      </c>
      <c r="I150" s="1">
        <v>4096.74</v>
      </c>
      <c r="J150" s="1">
        <f t="shared" si="16"/>
        <v>58993.055999999997</v>
      </c>
      <c r="K150" s="1">
        <f t="shared" si="17"/>
        <v>6554.7839999999997</v>
      </c>
      <c r="L150" s="1">
        <v>65547.839999999997</v>
      </c>
      <c r="M150" s="1">
        <f t="shared" si="18"/>
        <v>11798.611199999999</v>
      </c>
      <c r="N150" s="1">
        <f t="shared" si="19"/>
        <v>77346.451199999996</v>
      </c>
      <c r="S150" t="str">
        <f t="shared" si="14"/>
        <v>Punjab</v>
      </c>
      <c r="W150" t="str">
        <f t="shared" si="15"/>
        <v>East</v>
      </c>
      <c r="AB150" t="str">
        <f t="shared" si="20"/>
        <v>PK-PB</v>
      </c>
    </row>
    <row r="151" spans="1:28" x14ac:dyDescent="0.25">
      <c r="A151" s="2">
        <v>44945</v>
      </c>
      <c r="B151" t="s">
        <v>29</v>
      </c>
      <c r="C151" t="s">
        <v>56</v>
      </c>
      <c r="D151" t="s">
        <v>12</v>
      </c>
      <c r="E151" t="s">
        <v>18</v>
      </c>
      <c r="F151" t="s">
        <v>19</v>
      </c>
      <c r="G151" t="s">
        <v>30</v>
      </c>
      <c r="H151">
        <v>14</v>
      </c>
      <c r="I151" s="1">
        <v>3507.25</v>
      </c>
      <c r="J151" s="1">
        <f t="shared" si="16"/>
        <v>44191.35</v>
      </c>
      <c r="K151" s="1">
        <f t="shared" si="17"/>
        <v>4910.1500000000005</v>
      </c>
      <c r="L151" s="1">
        <v>49101.5</v>
      </c>
      <c r="M151" s="1">
        <f t="shared" si="18"/>
        <v>8838.27</v>
      </c>
      <c r="N151" s="1">
        <f t="shared" si="19"/>
        <v>57939.770000000004</v>
      </c>
      <c r="S151" t="str">
        <f t="shared" si="14"/>
        <v>Sindh</v>
      </c>
      <c r="W151" t="str">
        <f t="shared" si="15"/>
        <v>South</v>
      </c>
      <c r="AB151" t="str">
        <f t="shared" si="20"/>
        <v>PK-SD</v>
      </c>
    </row>
    <row r="152" spans="1:28" x14ac:dyDescent="0.25">
      <c r="A152" s="2">
        <v>44971</v>
      </c>
      <c r="B152" t="s">
        <v>25</v>
      </c>
      <c r="C152" t="s">
        <v>59</v>
      </c>
      <c r="D152" t="s">
        <v>66</v>
      </c>
      <c r="E152" t="s">
        <v>41</v>
      </c>
      <c r="F152" t="s">
        <v>19</v>
      </c>
      <c r="G152" t="s">
        <v>48</v>
      </c>
      <c r="H152">
        <v>16</v>
      </c>
      <c r="I152" s="1">
        <v>4507.37</v>
      </c>
      <c r="J152" s="1">
        <f t="shared" si="16"/>
        <v>64906.127999999997</v>
      </c>
      <c r="K152" s="1">
        <f t="shared" si="17"/>
        <v>7211.7920000000004</v>
      </c>
      <c r="L152" s="1">
        <v>72117.919999999998</v>
      </c>
      <c r="M152" s="1">
        <f t="shared" si="18"/>
        <v>12981.2256</v>
      </c>
      <c r="N152" s="1">
        <f t="shared" si="19"/>
        <v>85099.145600000003</v>
      </c>
      <c r="S152" t="str">
        <f t="shared" si="14"/>
        <v>Khyber Pakhtunkhwa</v>
      </c>
      <c r="W152" t="str">
        <f t="shared" si="15"/>
        <v>North</v>
      </c>
      <c r="AB152" t="str">
        <f t="shared" si="20"/>
        <v>Khyber Pakhtunkhwa</v>
      </c>
    </row>
    <row r="153" spans="1:28" x14ac:dyDescent="0.25">
      <c r="A153" s="2">
        <v>45072</v>
      </c>
      <c r="B153" t="s">
        <v>29</v>
      </c>
      <c r="C153" t="s">
        <v>26</v>
      </c>
      <c r="D153" t="s">
        <v>12</v>
      </c>
      <c r="E153" t="s">
        <v>18</v>
      </c>
      <c r="F153" t="s">
        <v>14</v>
      </c>
      <c r="G153" t="s">
        <v>45</v>
      </c>
      <c r="H153">
        <v>10</v>
      </c>
      <c r="I153" s="1">
        <v>239.55</v>
      </c>
      <c r="J153" s="1">
        <f t="shared" si="16"/>
        <v>2155.9500000000003</v>
      </c>
      <c r="K153" s="1">
        <f t="shared" si="17"/>
        <v>239.55</v>
      </c>
      <c r="L153" s="1">
        <v>2395.5</v>
      </c>
      <c r="M153" s="1">
        <f t="shared" si="18"/>
        <v>431.19</v>
      </c>
      <c r="N153" s="1">
        <f t="shared" si="19"/>
        <v>2826.69</v>
      </c>
      <c r="S153" t="str">
        <f t="shared" si="14"/>
        <v>Sindh</v>
      </c>
      <c r="W153" t="str">
        <f t="shared" si="15"/>
        <v>South</v>
      </c>
      <c r="AB153" t="str">
        <f t="shared" si="20"/>
        <v>PK-SD</v>
      </c>
    </row>
    <row r="154" spans="1:28" x14ac:dyDescent="0.25">
      <c r="A154" s="2">
        <v>45095</v>
      </c>
      <c r="B154" t="s">
        <v>10</v>
      </c>
      <c r="C154" t="s">
        <v>11</v>
      </c>
      <c r="D154" t="s">
        <v>22</v>
      </c>
      <c r="E154" t="s">
        <v>13</v>
      </c>
      <c r="F154" t="s">
        <v>19</v>
      </c>
      <c r="G154" t="s">
        <v>30</v>
      </c>
      <c r="H154">
        <v>17</v>
      </c>
      <c r="I154" s="1">
        <v>679.78</v>
      </c>
      <c r="J154" s="1">
        <f t="shared" si="16"/>
        <v>10400.634</v>
      </c>
      <c r="K154" s="1">
        <f t="shared" si="17"/>
        <v>1155.626</v>
      </c>
      <c r="L154" s="1">
        <v>11556.26</v>
      </c>
      <c r="M154" s="1">
        <f t="shared" si="18"/>
        <v>2080.1268</v>
      </c>
      <c r="N154" s="1">
        <f t="shared" si="19"/>
        <v>13636.3868</v>
      </c>
      <c r="S154" t="str">
        <f t="shared" si="14"/>
        <v>Balochistan</v>
      </c>
      <c r="W154" t="str">
        <f t="shared" si="15"/>
        <v>West</v>
      </c>
      <c r="AB154" t="str">
        <f t="shared" si="20"/>
        <v>PK-BA</v>
      </c>
    </row>
    <row r="155" spans="1:28" x14ac:dyDescent="0.25">
      <c r="A155" s="2">
        <v>45255</v>
      </c>
      <c r="B155" t="s">
        <v>29</v>
      </c>
      <c r="C155" t="s">
        <v>57</v>
      </c>
      <c r="D155" t="s">
        <v>22</v>
      </c>
      <c r="E155" t="s">
        <v>13</v>
      </c>
      <c r="F155" t="s">
        <v>14</v>
      </c>
      <c r="G155" t="s">
        <v>53</v>
      </c>
      <c r="H155">
        <v>18</v>
      </c>
      <c r="I155" s="1">
        <v>2658.57</v>
      </c>
      <c r="J155" s="1">
        <f t="shared" si="16"/>
        <v>43068.834000000003</v>
      </c>
      <c r="K155" s="1">
        <f t="shared" si="17"/>
        <v>4785.4260000000004</v>
      </c>
      <c r="L155" s="1">
        <v>47854.26</v>
      </c>
      <c r="M155" s="1">
        <f t="shared" si="18"/>
        <v>8613.7667999999994</v>
      </c>
      <c r="N155" s="1">
        <f t="shared" si="19"/>
        <v>56468.0268</v>
      </c>
      <c r="S155" t="str">
        <f t="shared" si="14"/>
        <v>Balochistan</v>
      </c>
      <c r="W155" t="str">
        <f t="shared" si="15"/>
        <v>West</v>
      </c>
      <c r="AB155" t="str">
        <f t="shared" si="20"/>
        <v>PK-BA</v>
      </c>
    </row>
    <row r="156" spans="1:28" x14ac:dyDescent="0.25">
      <c r="A156" s="2">
        <v>45062</v>
      </c>
      <c r="B156" t="s">
        <v>38</v>
      </c>
      <c r="C156" t="s">
        <v>17</v>
      </c>
      <c r="D156" t="s">
        <v>65</v>
      </c>
      <c r="E156" t="s">
        <v>64</v>
      </c>
      <c r="F156" t="s">
        <v>14</v>
      </c>
      <c r="G156" t="s">
        <v>15</v>
      </c>
      <c r="H156">
        <v>18</v>
      </c>
      <c r="I156" s="1">
        <v>4937.99</v>
      </c>
      <c r="J156" s="1">
        <f t="shared" si="16"/>
        <v>79995.438000000009</v>
      </c>
      <c r="K156" s="1">
        <f t="shared" si="17"/>
        <v>8888.3820000000014</v>
      </c>
      <c r="L156" s="1">
        <v>88883.82</v>
      </c>
      <c r="M156" s="1">
        <f t="shared" si="18"/>
        <v>15999.087600000001</v>
      </c>
      <c r="N156" s="1">
        <f t="shared" si="19"/>
        <v>104882.90760000001</v>
      </c>
      <c r="S156" t="str">
        <f t="shared" si="14"/>
        <v>Punjab</v>
      </c>
      <c r="W156" t="str">
        <f t="shared" si="15"/>
        <v>East</v>
      </c>
      <c r="AB156" t="str">
        <f t="shared" si="20"/>
        <v>PK-PB</v>
      </c>
    </row>
    <row r="157" spans="1:28" x14ac:dyDescent="0.25">
      <c r="A157" s="2">
        <v>45244</v>
      </c>
      <c r="B157" t="s">
        <v>38</v>
      </c>
      <c r="C157" t="s">
        <v>60</v>
      </c>
      <c r="D157" t="s">
        <v>12</v>
      </c>
      <c r="E157" t="s">
        <v>18</v>
      </c>
      <c r="F157" t="s">
        <v>14</v>
      </c>
      <c r="G157" t="s">
        <v>51</v>
      </c>
      <c r="H157">
        <v>17</v>
      </c>
      <c r="I157" s="1">
        <v>3421.31</v>
      </c>
      <c r="J157" s="1">
        <f t="shared" si="16"/>
        <v>52346.042999999998</v>
      </c>
      <c r="K157" s="1">
        <f t="shared" si="17"/>
        <v>5816.2269999999999</v>
      </c>
      <c r="L157" s="1">
        <v>58162.27</v>
      </c>
      <c r="M157" s="1">
        <f t="shared" si="18"/>
        <v>10469.2086</v>
      </c>
      <c r="N157" s="1">
        <f t="shared" si="19"/>
        <v>68631.478600000002</v>
      </c>
      <c r="S157" t="str">
        <f t="shared" si="14"/>
        <v>Sindh</v>
      </c>
      <c r="W157" t="str">
        <f t="shared" si="15"/>
        <v>South</v>
      </c>
      <c r="AB157" t="str">
        <f t="shared" si="20"/>
        <v>PK-SD</v>
      </c>
    </row>
    <row r="158" spans="1:28" x14ac:dyDescent="0.25">
      <c r="A158" s="2">
        <v>45248</v>
      </c>
      <c r="B158" t="s">
        <v>43</v>
      </c>
      <c r="C158" t="s">
        <v>61</v>
      </c>
      <c r="D158" t="s">
        <v>65</v>
      </c>
      <c r="E158" t="s">
        <v>64</v>
      </c>
      <c r="F158" t="s">
        <v>32</v>
      </c>
      <c r="G158" t="s">
        <v>33</v>
      </c>
      <c r="H158">
        <v>4</v>
      </c>
      <c r="I158" s="1">
        <v>1555.9</v>
      </c>
      <c r="J158" s="1">
        <f t="shared" si="16"/>
        <v>5601.2400000000007</v>
      </c>
      <c r="K158" s="1">
        <f t="shared" si="17"/>
        <v>622.36000000000013</v>
      </c>
      <c r="L158" s="1">
        <v>6223.6</v>
      </c>
      <c r="M158" s="1">
        <f t="shared" si="18"/>
        <v>1120.248</v>
      </c>
      <c r="N158" s="1">
        <f t="shared" si="19"/>
        <v>7343.848</v>
      </c>
      <c r="S158" t="str">
        <f t="shared" si="14"/>
        <v>Punjab</v>
      </c>
      <c r="W158" t="str">
        <f t="shared" si="15"/>
        <v>East</v>
      </c>
      <c r="AB158" t="str">
        <f t="shared" si="20"/>
        <v>PK-PB</v>
      </c>
    </row>
    <row r="159" spans="1:28" x14ac:dyDescent="0.25">
      <c r="A159" s="2">
        <v>45076</v>
      </c>
      <c r="B159" t="s">
        <v>31</v>
      </c>
      <c r="C159" t="s">
        <v>59</v>
      </c>
      <c r="D159" t="s">
        <v>66</v>
      </c>
      <c r="E159" t="s">
        <v>41</v>
      </c>
      <c r="F159" t="s">
        <v>32</v>
      </c>
      <c r="G159" t="s">
        <v>33</v>
      </c>
      <c r="H159">
        <v>12</v>
      </c>
      <c r="I159" s="1">
        <v>932.42</v>
      </c>
      <c r="J159" s="1">
        <f t="shared" si="16"/>
        <v>10070.136</v>
      </c>
      <c r="K159" s="1">
        <f t="shared" si="17"/>
        <v>1118.9040000000002</v>
      </c>
      <c r="L159" s="1">
        <v>11189.04</v>
      </c>
      <c r="M159" s="1">
        <f t="shared" si="18"/>
        <v>2014.0272</v>
      </c>
      <c r="N159" s="1">
        <f t="shared" si="19"/>
        <v>13203.067200000001</v>
      </c>
      <c r="S159" t="str">
        <f t="shared" si="14"/>
        <v>Khyber Pakhtunkhwa</v>
      </c>
      <c r="W159" t="str">
        <f t="shared" si="15"/>
        <v>North</v>
      </c>
      <c r="AB159" t="str">
        <f t="shared" si="20"/>
        <v>Khyber Pakhtunkhwa</v>
      </c>
    </row>
    <row r="160" spans="1:28" x14ac:dyDescent="0.25">
      <c r="A160" s="2">
        <v>45098</v>
      </c>
      <c r="B160" t="s">
        <v>29</v>
      </c>
      <c r="C160" t="s">
        <v>57</v>
      </c>
      <c r="D160" t="s">
        <v>22</v>
      </c>
      <c r="E160" t="s">
        <v>13</v>
      </c>
      <c r="F160" t="s">
        <v>14</v>
      </c>
      <c r="G160" t="s">
        <v>53</v>
      </c>
      <c r="H160">
        <v>20</v>
      </c>
      <c r="I160" s="1">
        <v>459.48</v>
      </c>
      <c r="J160" s="1">
        <f t="shared" si="16"/>
        <v>8270.6400000000012</v>
      </c>
      <c r="K160" s="1">
        <f t="shared" si="17"/>
        <v>918.96</v>
      </c>
      <c r="L160" s="1">
        <v>9189.6</v>
      </c>
      <c r="M160" s="1">
        <f t="shared" si="18"/>
        <v>1654.1279999999999</v>
      </c>
      <c r="N160" s="1">
        <f t="shared" si="19"/>
        <v>10843.728000000001</v>
      </c>
      <c r="S160" t="str">
        <f t="shared" si="14"/>
        <v>Balochistan</v>
      </c>
      <c r="W160" t="str">
        <f t="shared" si="15"/>
        <v>West</v>
      </c>
      <c r="AB160" t="str">
        <f t="shared" si="20"/>
        <v>PK-BA</v>
      </c>
    </row>
    <row r="161" spans="1:28" x14ac:dyDescent="0.25">
      <c r="A161" s="2">
        <v>45014</v>
      </c>
      <c r="B161" t="s">
        <v>16</v>
      </c>
      <c r="C161" t="s">
        <v>54</v>
      </c>
      <c r="D161" t="s">
        <v>12</v>
      </c>
      <c r="E161" t="s">
        <v>18</v>
      </c>
      <c r="F161" t="s">
        <v>32</v>
      </c>
      <c r="G161" t="s">
        <v>49</v>
      </c>
      <c r="H161">
        <v>5</v>
      </c>
      <c r="I161" s="1">
        <v>568.87</v>
      </c>
      <c r="J161" s="1">
        <f t="shared" si="16"/>
        <v>2559.915</v>
      </c>
      <c r="K161" s="1">
        <f t="shared" si="17"/>
        <v>284.435</v>
      </c>
      <c r="L161" s="1">
        <v>2844.35</v>
      </c>
      <c r="M161" s="1">
        <f t="shared" si="18"/>
        <v>511.98299999999995</v>
      </c>
      <c r="N161" s="1">
        <f t="shared" si="19"/>
        <v>3356.3329999999996</v>
      </c>
      <c r="S161" t="str">
        <f t="shared" si="14"/>
        <v>Sindh</v>
      </c>
      <c r="W161" t="str">
        <f t="shared" si="15"/>
        <v>South</v>
      </c>
      <c r="AB161" t="str">
        <f t="shared" si="20"/>
        <v>PK-SD</v>
      </c>
    </row>
    <row r="162" spans="1:28" x14ac:dyDescent="0.25">
      <c r="A162" s="2">
        <v>45063</v>
      </c>
      <c r="B162" t="s">
        <v>21</v>
      </c>
      <c r="C162" t="s">
        <v>62</v>
      </c>
      <c r="D162" t="s">
        <v>65</v>
      </c>
      <c r="E162" t="s">
        <v>64</v>
      </c>
      <c r="F162" t="s">
        <v>23</v>
      </c>
      <c r="G162" t="s">
        <v>47</v>
      </c>
      <c r="H162">
        <v>10</v>
      </c>
      <c r="I162" s="1">
        <v>1468.96</v>
      </c>
      <c r="J162" s="1">
        <f t="shared" si="16"/>
        <v>13220.640000000001</v>
      </c>
      <c r="K162" s="1">
        <f t="shared" si="17"/>
        <v>1468.96</v>
      </c>
      <c r="L162" s="1">
        <v>14689.6</v>
      </c>
      <c r="M162" s="1">
        <f t="shared" si="18"/>
        <v>2644.1280000000002</v>
      </c>
      <c r="N162" s="1">
        <f t="shared" si="19"/>
        <v>17333.727999999999</v>
      </c>
      <c r="S162" t="str">
        <f t="shared" si="14"/>
        <v>Punjab</v>
      </c>
      <c r="W162" t="str">
        <f t="shared" si="15"/>
        <v>East</v>
      </c>
      <c r="AB162" t="str">
        <f t="shared" si="20"/>
        <v>PK-PB</v>
      </c>
    </row>
    <row r="163" spans="1:28" x14ac:dyDescent="0.25">
      <c r="A163" s="2">
        <v>45129</v>
      </c>
      <c r="B163" t="s">
        <v>43</v>
      </c>
      <c r="C163" t="s">
        <v>61</v>
      </c>
      <c r="D163" t="s">
        <v>65</v>
      </c>
      <c r="E163" t="s">
        <v>64</v>
      </c>
      <c r="F163" t="s">
        <v>14</v>
      </c>
      <c r="G163" t="s">
        <v>53</v>
      </c>
      <c r="H163">
        <v>6</v>
      </c>
      <c r="I163" s="1">
        <v>3080.25</v>
      </c>
      <c r="J163" s="1">
        <f t="shared" si="16"/>
        <v>16633.350000000002</v>
      </c>
      <c r="K163" s="1">
        <f t="shared" si="17"/>
        <v>1848.15</v>
      </c>
      <c r="L163" s="1">
        <v>18481.5</v>
      </c>
      <c r="M163" s="1">
        <f t="shared" si="18"/>
        <v>3326.67</v>
      </c>
      <c r="N163" s="1">
        <f t="shared" si="19"/>
        <v>21808.17</v>
      </c>
      <c r="S163" t="str">
        <f t="shared" si="14"/>
        <v>Punjab</v>
      </c>
      <c r="W163" t="str">
        <f t="shared" si="15"/>
        <v>East</v>
      </c>
      <c r="AB163" t="str">
        <f t="shared" si="20"/>
        <v>PK-PB</v>
      </c>
    </row>
    <row r="164" spans="1:28" x14ac:dyDescent="0.25">
      <c r="A164" s="2">
        <v>45227</v>
      </c>
      <c r="B164" t="s">
        <v>43</v>
      </c>
      <c r="C164" t="s">
        <v>54</v>
      </c>
      <c r="D164" t="s">
        <v>12</v>
      </c>
      <c r="E164" t="s">
        <v>18</v>
      </c>
      <c r="F164" t="s">
        <v>23</v>
      </c>
      <c r="G164" t="s">
        <v>37</v>
      </c>
      <c r="H164">
        <v>11</v>
      </c>
      <c r="I164" s="1">
        <v>1817.43</v>
      </c>
      <c r="J164" s="1">
        <f t="shared" si="16"/>
        <v>17992.557000000001</v>
      </c>
      <c r="K164" s="1">
        <f t="shared" si="17"/>
        <v>1999.173</v>
      </c>
      <c r="L164" s="1">
        <v>19991.73</v>
      </c>
      <c r="M164" s="1">
        <f t="shared" si="18"/>
        <v>3598.5113999999999</v>
      </c>
      <c r="N164" s="1">
        <f t="shared" si="19"/>
        <v>23590.241399999999</v>
      </c>
      <c r="S164" t="str">
        <f t="shared" si="14"/>
        <v>Sindh</v>
      </c>
      <c r="W164" t="str">
        <f t="shared" si="15"/>
        <v>South</v>
      </c>
      <c r="AB164" t="str">
        <f t="shared" si="20"/>
        <v>PK-SD</v>
      </c>
    </row>
    <row r="165" spans="1:28" x14ac:dyDescent="0.25">
      <c r="A165" s="2">
        <v>45000</v>
      </c>
      <c r="B165" t="s">
        <v>10</v>
      </c>
      <c r="C165" t="s">
        <v>26</v>
      </c>
      <c r="D165" t="s">
        <v>12</v>
      </c>
      <c r="E165" t="s">
        <v>18</v>
      </c>
      <c r="F165" t="s">
        <v>19</v>
      </c>
      <c r="G165" t="s">
        <v>48</v>
      </c>
      <c r="H165">
        <v>19</v>
      </c>
      <c r="I165" s="1">
        <v>3800.55</v>
      </c>
      <c r="J165" s="1">
        <f t="shared" si="16"/>
        <v>64989.404999999999</v>
      </c>
      <c r="K165" s="1">
        <f t="shared" si="17"/>
        <v>7221.0450000000001</v>
      </c>
      <c r="L165" s="1">
        <v>72210.45</v>
      </c>
      <c r="M165" s="1">
        <f t="shared" si="18"/>
        <v>12997.880999999999</v>
      </c>
      <c r="N165" s="1">
        <f t="shared" si="19"/>
        <v>85208.330999999991</v>
      </c>
      <c r="S165" t="str">
        <f t="shared" si="14"/>
        <v>Sindh</v>
      </c>
      <c r="W165" t="str">
        <f t="shared" si="15"/>
        <v>South</v>
      </c>
      <c r="AB165" t="str">
        <f t="shared" si="20"/>
        <v>PK-SD</v>
      </c>
    </row>
    <row r="166" spans="1:28" x14ac:dyDescent="0.25">
      <c r="A166" s="2">
        <v>45121</v>
      </c>
      <c r="B166" t="s">
        <v>31</v>
      </c>
      <c r="C166" t="s">
        <v>63</v>
      </c>
      <c r="D166" t="s">
        <v>65</v>
      </c>
      <c r="E166" t="s">
        <v>64</v>
      </c>
      <c r="F166" t="s">
        <v>32</v>
      </c>
      <c r="G166" t="s">
        <v>33</v>
      </c>
      <c r="H166">
        <v>17</v>
      </c>
      <c r="I166" s="1">
        <v>2809.13</v>
      </c>
      <c r="J166" s="1">
        <f t="shared" si="16"/>
        <v>42979.688999999998</v>
      </c>
      <c r="K166" s="1">
        <f t="shared" si="17"/>
        <v>4775.5209999999997</v>
      </c>
      <c r="L166" s="1">
        <v>47755.21</v>
      </c>
      <c r="M166" s="1">
        <f t="shared" si="18"/>
        <v>8595.9377999999997</v>
      </c>
      <c r="N166" s="1">
        <f t="shared" si="19"/>
        <v>56351.147799999999</v>
      </c>
      <c r="S166" t="str">
        <f t="shared" si="14"/>
        <v>Punjab</v>
      </c>
      <c r="W166" t="str">
        <f t="shared" si="15"/>
        <v>East</v>
      </c>
      <c r="AB166" t="str">
        <f t="shared" si="20"/>
        <v>PK-PB</v>
      </c>
    </row>
    <row r="167" spans="1:28" x14ac:dyDescent="0.25">
      <c r="A167" s="2">
        <v>45083</v>
      </c>
      <c r="B167" t="s">
        <v>21</v>
      </c>
      <c r="C167" t="s">
        <v>57</v>
      </c>
      <c r="D167" t="s">
        <v>22</v>
      </c>
      <c r="E167" t="s">
        <v>13</v>
      </c>
      <c r="F167" t="s">
        <v>19</v>
      </c>
      <c r="G167" t="s">
        <v>20</v>
      </c>
      <c r="H167">
        <v>9</v>
      </c>
      <c r="I167" s="1">
        <v>4712.9799999999996</v>
      </c>
      <c r="J167" s="1">
        <f t="shared" si="16"/>
        <v>38175.137999999999</v>
      </c>
      <c r="K167" s="1">
        <f t="shared" si="17"/>
        <v>4241.6819999999998</v>
      </c>
      <c r="L167" s="1">
        <v>42416.82</v>
      </c>
      <c r="M167" s="1">
        <f t="shared" si="18"/>
        <v>7635.0275999999994</v>
      </c>
      <c r="N167" s="1">
        <f t="shared" si="19"/>
        <v>50051.847600000001</v>
      </c>
      <c r="S167" t="str">
        <f t="shared" si="14"/>
        <v>Balochistan</v>
      </c>
      <c r="W167" t="str">
        <f t="shared" si="15"/>
        <v>West</v>
      </c>
      <c r="AB167" t="str">
        <f t="shared" si="20"/>
        <v>PK-BA</v>
      </c>
    </row>
    <row r="168" spans="1:28" x14ac:dyDescent="0.25">
      <c r="A168" s="2">
        <v>45262</v>
      </c>
      <c r="B168" t="s">
        <v>21</v>
      </c>
      <c r="C168" t="s">
        <v>63</v>
      </c>
      <c r="D168" t="s">
        <v>65</v>
      </c>
      <c r="E168" t="s">
        <v>64</v>
      </c>
      <c r="F168" t="s">
        <v>32</v>
      </c>
      <c r="G168" t="s">
        <v>50</v>
      </c>
      <c r="H168">
        <v>1</v>
      </c>
      <c r="I168" s="1">
        <v>4541.7700000000004</v>
      </c>
      <c r="J168" s="1">
        <f t="shared" si="16"/>
        <v>4087.5930000000003</v>
      </c>
      <c r="K168" s="1">
        <f t="shared" si="17"/>
        <v>454.17700000000008</v>
      </c>
      <c r="L168" s="1">
        <v>4541.7700000000004</v>
      </c>
      <c r="M168" s="1">
        <f t="shared" si="18"/>
        <v>817.51859999999999</v>
      </c>
      <c r="N168" s="1">
        <f t="shared" si="19"/>
        <v>5359.2886000000008</v>
      </c>
      <c r="S168" t="str">
        <f t="shared" si="14"/>
        <v>Punjab</v>
      </c>
      <c r="W168" t="str">
        <f t="shared" si="15"/>
        <v>East</v>
      </c>
      <c r="AB168" t="str">
        <f t="shared" si="20"/>
        <v>PK-PB</v>
      </c>
    </row>
    <row r="169" spans="1:28" x14ac:dyDescent="0.25">
      <c r="A169" s="2">
        <v>44988</v>
      </c>
      <c r="B169" t="s">
        <v>34</v>
      </c>
      <c r="C169" t="s">
        <v>58</v>
      </c>
      <c r="D169" t="s">
        <v>12</v>
      </c>
      <c r="E169" t="s">
        <v>18</v>
      </c>
      <c r="F169" t="s">
        <v>32</v>
      </c>
      <c r="G169" t="s">
        <v>36</v>
      </c>
      <c r="H169">
        <v>9</v>
      </c>
      <c r="I169" s="1">
        <v>3122.72</v>
      </c>
      <c r="J169" s="1">
        <f t="shared" si="16"/>
        <v>25294.031999999999</v>
      </c>
      <c r="K169" s="1">
        <f t="shared" si="17"/>
        <v>2810.4480000000003</v>
      </c>
      <c r="L169" s="1">
        <v>28104.48</v>
      </c>
      <c r="M169" s="1">
        <f t="shared" si="18"/>
        <v>5058.8063999999995</v>
      </c>
      <c r="N169" s="1">
        <f t="shared" si="19"/>
        <v>33163.286399999997</v>
      </c>
      <c r="S169" t="str">
        <f t="shared" si="14"/>
        <v>Sindh</v>
      </c>
      <c r="W169" t="str">
        <f t="shared" si="15"/>
        <v>South</v>
      </c>
      <c r="AB169" t="str">
        <f t="shared" si="20"/>
        <v>PK-SD</v>
      </c>
    </row>
    <row r="170" spans="1:28" x14ac:dyDescent="0.25">
      <c r="A170" s="2">
        <v>45005</v>
      </c>
      <c r="B170" t="s">
        <v>31</v>
      </c>
      <c r="C170" t="s">
        <v>26</v>
      </c>
      <c r="D170" t="s">
        <v>12</v>
      </c>
      <c r="E170" t="s">
        <v>18</v>
      </c>
      <c r="F170" t="s">
        <v>19</v>
      </c>
      <c r="G170" t="s">
        <v>48</v>
      </c>
      <c r="H170">
        <v>9</v>
      </c>
      <c r="I170" s="1">
        <v>4198.92</v>
      </c>
      <c r="J170" s="1">
        <f t="shared" si="16"/>
        <v>34011.252</v>
      </c>
      <c r="K170" s="1">
        <f t="shared" si="17"/>
        <v>3779.0280000000002</v>
      </c>
      <c r="L170" s="1">
        <v>37790.28</v>
      </c>
      <c r="M170" s="1">
        <f t="shared" si="18"/>
        <v>6802.2503999999999</v>
      </c>
      <c r="N170" s="1">
        <f t="shared" si="19"/>
        <v>44592.530399999996</v>
      </c>
      <c r="S170" t="str">
        <f t="shared" si="14"/>
        <v>Sindh</v>
      </c>
      <c r="W170" t="str">
        <f t="shared" si="15"/>
        <v>South</v>
      </c>
      <c r="AB170" t="str">
        <f t="shared" si="20"/>
        <v>PK-SD</v>
      </c>
    </row>
    <row r="171" spans="1:28" x14ac:dyDescent="0.25">
      <c r="A171" s="2">
        <v>44989</v>
      </c>
      <c r="B171" t="s">
        <v>29</v>
      </c>
      <c r="C171" t="s">
        <v>17</v>
      </c>
      <c r="D171" t="s">
        <v>65</v>
      </c>
      <c r="E171" t="s">
        <v>64</v>
      </c>
      <c r="F171" t="s">
        <v>14</v>
      </c>
      <c r="G171" t="s">
        <v>51</v>
      </c>
      <c r="H171">
        <v>17</v>
      </c>
      <c r="I171" s="1">
        <v>4415.8500000000004</v>
      </c>
      <c r="J171" s="1">
        <f t="shared" si="16"/>
        <v>67562.505000000005</v>
      </c>
      <c r="K171" s="1">
        <f t="shared" si="17"/>
        <v>7506.9449999999997</v>
      </c>
      <c r="L171" s="1">
        <v>75069.45</v>
      </c>
      <c r="M171" s="1">
        <f t="shared" si="18"/>
        <v>13512.500999999998</v>
      </c>
      <c r="N171" s="1">
        <f t="shared" si="19"/>
        <v>88581.951000000001</v>
      </c>
      <c r="S171" t="str">
        <f t="shared" si="14"/>
        <v>Punjab</v>
      </c>
      <c r="W171" t="str">
        <f t="shared" si="15"/>
        <v>East</v>
      </c>
      <c r="AB171" t="str">
        <f t="shared" si="20"/>
        <v>PK-PB</v>
      </c>
    </row>
    <row r="172" spans="1:28" x14ac:dyDescent="0.25">
      <c r="A172" s="2">
        <v>45224</v>
      </c>
      <c r="B172" t="s">
        <v>40</v>
      </c>
      <c r="C172" t="s">
        <v>54</v>
      </c>
      <c r="D172" t="s">
        <v>12</v>
      </c>
      <c r="E172" t="s">
        <v>18</v>
      </c>
      <c r="F172" t="s">
        <v>27</v>
      </c>
      <c r="G172" t="s">
        <v>44</v>
      </c>
      <c r="H172">
        <v>16</v>
      </c>
      <c r="I172" s="1">
        <v>4684.8599999999997</v>
      </c>
      <c r="J172" s="1">
        <f t="shared" si="16"/>
        <v>67461.983999999997</v>
      </c>
      <c r="K172" s="1">
        <f t="shared" si="17"/>
        <v>7495.7759999999998</v>
      </c>
      <c r="L172" s="1">
        <v>74957.759999999995</v>
      </c>
      <c r="M172" s="1">
        <f t="shared" si="18"/>
        <v>13492.396799999999</v>
      </c>
      <c r="N172" s="1">
        <f t="shared" si="19"/>
        <v>88450.156799999997</v>
      </c>
      <c r="S172" t="str">
        <f t="shared" si="14"/>
        <v>Sindh</v>
      </c>
      <c r="W172" t="str">
        <f t="shared" si="15"/>
        <v>South</v>
      </c>
      <c r="AB172" t="str">
        <f t="shared" si="20"/>
        <v>PK-SD</v>
      </c>
    </row>
    <row r="173" spans="1:28" x14ac:dyDescent="0.25">
      <c r="A173" s="2">
        <v>45283</v>
      </c>
      <c r="B173" t="s">
        <v>21</v>
      </c>
      <c r="C173" t="s">
        <v>54</v>
      </c>
      <c r="D173" t="s">
        <v>12</v>
      </c>
      <c r="E173" t="s">
        <v>18</v>
      </c>
      <c r="F173" t="s">
        <v>14</v>
      </c>
      <c r="G173" t="s">
        <v>45</v>
      </c>
      <c r="H173">
        <v>17</v>
      </c>
      <c r="I173" s="1">
        <v>4156.25</v>
      </c>
      <c r="J173" s="1">
        <f t="shared" si="16"/>
        <v>63590.625</v>
      </c>
      <c r="K173" s="1">
        <f t="shared" si="17"/>
        <v>7065.625</v>
      </c>
      <c r="L173" s="1">
        <v>70656.25</v>
      </c>
      <c r="M173" s="1">
        <f t="shared" si="18"/>
        <v>12718.125</v>
      </c>
      <c r="N173" s="1">
        <f t="shared" si="19"/>
        <v>83374.375</v>
      </c>
      <c r="S173" t="str">
        <f t="shared" si="14"/>
        <v>Sindh</v>
      </c>
      <c r="W173" t="str">
        <f t="shared" si="15"/>
        <v>South</v>
      </c>
      <c r="AB173" t="str">
        <f t="shared" si="20"/>
        <v>PK-SD</v>
      </c>
    </row>
    <row r="174" spans="1:28" x14ac:dyDescent="0.25">
      <c r="A174" s="2">
        <v>45051</v>
      </c>
      <c r="B174" t="s">
        <v>21</v>
      </c>
      <c r="C174" t="s">
        <v>17</v>
      </c>
      <c r="D174" t="s">
        <v>65</v>
      </c>
      <c r="E174" t="s">
        <v>64</v>
      </c>
      <c r="F174" t="s">
        <v>19</v>
      </c>
      <c r="G174" t="s">
        <v>48</v>
      </c>
      <c r="H174">
        <v>10</v>
      </c>
      <c r="I174" s="1">
        <v>3776.8</v>
      </c>
      <c r="J174" s="1">
        <f t="shared" si="16"/>
        <v>33991.200000000004</v>
      </c>
      <c r="K174" s="1">
        <f t="shared" si="17"/>
        <v>3776.8</v>
      </c>
      <c r="L174" s="1">
        <v>37768</v>
      </c>
      <c r="M174" s="1">
        <f t="shared" si="18"/>
        <v>6798.24</v>
      </c>
      <c r="N174" s="1">
        <f t="shared" si="19"/>
        <v>44566.239999999998</v>
      </c>
      <c r="S174" t="str">
        <f t="shared" si="14"/>
        <v>Punjab</v>
      </c>
      <c r="W174" t="str">
        <f t="shared" si="15"/>
        <v>East</v>
      </c>
      <c r="AB174" t="str">
        <f t="shared" si="20"/>
        <v>PK-PB</v>
      </c>
    </row>
    <row r="175" spans="1:28" x14ac:dyDescent="0.25">
      <c r="A175" s="2">
        <v>44950</v>
      </c>
      <c r="B175" t="s">
        <v>38</v>
      </c>
      <c r="C175" t="s">
        <v>60</v>
      </c>
      <c r="D175" t="s">
        <v>12</v>
      </c>
      <c r="E175" t="s">
        <v>18</v>
      </c>
      <c r="F175" t="s">
        <v>32</v>
      </c>
      <c r="G175" t="s">
        <v>33</v>
      </c>
      <c r="H175">
        <v>8</v>
      </c>
      <c r="I175" s="1">
        <v>310.33</v>
      </c>
      <c r="J175" s="1">
        <f t="shared" si="16"/>
        <v>2234.3759999999997</v>
      </c>
      <c r="K175" s="1">
        <f t="shared" si="17"/>
        <v>248.26400000000001</v>
      </c>
      <c r="L175" s="1">
        <v>2482.64</v>
      </c>
      <c r="M175" s="1">
        <f t="shared" si="18"/>
        <v>446.87519999999995</v>
      </c>
      <c r="N175" s="1">
        <f t="shared" si="19"/>
        <v>2929.5151999999998</v>
      </c>
      <c r="S175" t="str">
        <f t="shared" si="14"/>
        <v>Sindh</v>
      </c>
      <c r="W175" t="str">
        <f t="shared" si="15"/>
        <v>South</v>
      </c>
      <c r="AB175" t="str">
        <f t="shared" si="20"/>
        <v>PK-SD</v>
      </c>
    </row>
    <row r="176" spans="1:28" x14ac:dyDescent="0.25">
      <c r="A176" s="2">
        <v>45051</v>
      </c>
      <c r="B176" t="s">
        <v>29</v>
      </c>
      <c r="C176" t="s">
        <v>63</v>
      </c>
      <c r="D176" t="s">
        <v>65</v>
      </c>
      <c r="E176" t="s">
        <v>64</v>
      </c>
      <c r="F176" t="s">
        <v>27</v>
      </c>
      <c r="G176" t="s">
        <v>42</v>
      </c>
      <c r="H176">
        <v>5</v>
      </c>
      <c r="I176" s="1">
        <v>1313.4</v>
      </c>
      <c r="J176" s="1">
        <f t="shared" si="16"/>
        <v>5910.3</v>
      </c>
      <c r="K176" s="1">
        <f t="shared" si="17"/>
        <v>656.7</v>
      </c>
      <c r="L176" s="1">
        <v>6567</v>
      </c>
      <c r="M176" s="1">
        <f t="shared" si="18"/>
        <v>1182.06</v>
      </c>
      <c r="N176" s="1">
        <f t="shared" si="19"/>
        <v>7749.0599999999995</v>
      </c>
      <c r="S176" t="str">
        <f t="shared" si="14"/>
        <v>Punjab</v>
      </c>
      <c r="W176" t="str">
        <f t="shared" si="15"/>
        <v>East</v>
      </c>
      <c r="AB176" t="str">
        <f t="shared" si="20"/>
        <v>PK-PB</v>
      </c>
    </row>
    <row r="177" spans="1:28" x14ac:dyDescent="0.25">
      <c r="A177" s="2">
        <v>45218</v>
      </c>
      <c r="B177" t="s">
        <v>43</v>
      </c>
      <c r="C177" t="s">
        <v>11</v>
      </c>
      <c r="D177" t="s">
        <v>22</v>
      </c>
      <c r="E177" t="s">
        <v>13</v>
      </c>
      <c r="F177" t="s">
        <v>27</v>
      </c>
      <c r="G177" t="s">
        <v>44</v>
      </c>
      <c r="H177">
        <v>6</v>
      </c>
      <c r="I177" s="1">
        <v>2332.11</v>
      </c>
      <c r="J177" s="1">
        <f t="shared" si="16"/>
        <v>12593.394</v>
      </c>
      <c r="K177" s="1">
        <f t="shared" si="17"/>
        <v>1399.2660000000001</v>
      </c>
      <c r="L177" s="1">
        <v>13992.66</v>
      </c>
      <c r="M177" s="1">
        <f t="shared" si="18"/>
        <v>2518.6787999999997</v>
      </c>
      <c r="N177" s="1">
        <f t="shared" si="19"/>
        <v>16511.338799999998</v>
      </c>
      <c r="S177" t="str">
        <f t="shared" si="14"/>
        <v>Balochistan</v>
      </c>
      <c r="W177" t="str">
        <f t="shared" si="15"/>
        <v>West</v>
      </c>
      <c r="AB177" t="str">
        <f t="shared" si="20"/>
        <v>PK-BA</v>
      </c>
    </row>
    <row r="178" spans="1:28" x14ac:dyDescent="0.25">
      <c r="A178" s="2">
        <v>45045</v>
      </c>
      <c r="B178" t="s">
        <v>16</v>
      </c>
      <c r="C178" t="s">
        <v>26</v>
      </c>
      <c r="D178" t="s">
        <v>12</v>
      </c>
      <c r="E178" t="s">
        <v>18</v>
      </c>
      <c r="F178" t="s">
        <v>19</v>
      </c>
      <c r="G178" t="s">
        <v>52</v>
      </c>
      <c r="H178">
        <v>3</v>
      </c>
      <c r="I178" s="1">
        <v>4955.22</v>
      </c>
      <c r="J178" s="1">
        <f t="shared" si="16"/>
        <v>13379.094000000001</v>
      </c>
      <c r="K178" s="1">
        <f t="shared" si="17"/>
        <v>1486.566</v>
      </c>
      <c r="L178" s="1">
        <v>14865.66</v>
      </c>
      <c r="M178" s="1">
        <f t="shared" si="18"/>
        <v>2675.8188</v>
      </c>
      <c r="N178" s="1">
        <f t="shared" si="19"/>
        <v>17541.478800000001</v>
      </c>
      <c r="S178" t="str">
        <f t="shared" si="14"/>
        <v>Sindh</v>
      </c>
      <c r="W178" t="str">
        <f t="shared" si="15"/>
        <v>South</v>
      </c>
      <c r="AB178" t="str">
        <f t="shared" si="20"/>
        <v>PK-SD</v>
      </c>
    </row>
    <row r="179" spans="1:28" x14ac:dyDescent="0.25">
      <c r="A179" s="2">
        <v>45243</v>
      </c>
      <c r="B179" t="s">
        <v>16</v>
      </c>
      <c r="C179" t="s">
        <v>11</v>
      </c>
      <c r="D179" t="s">
        <v>22</v>
      </c>
      <c r="E179" t="s">
        <v>13</v>
      </c>
      <c r="F179" t="s">
        <v>14</v>
      </c>
      <c r="G179" t="s">
        <v>15</v>
      </c>
      <c r="H179">
        <v>17</v>
      </c>
      <c r="I179" s="1">
        <v>3827.64</v>
      </c>
      <c r="J179" s="1">
        <f t="shared" si="16"/>
        <v>58562.892</v>
      </c>
      <c r="K179" s="1">
        <f t="shared" si="17"/>
        <v>6506.9880000000003</v>
      </c>
      <c r="L179" s="1">
        <v>65069.88</v>
      </c>
      <c r="M179" s="1">
        <f t="shared" si="18"/>
        <v>11712.578399999999</v>
      </c>
      <c r="N179" s="1">
        <f t="shared" si="19"/>
        <v>76782.458400000003</v>
      </c>
      <c r="S179" t="str">
        <f t="shared" si="14"/>
        <v>Balochistan</v>
      </c>
      <c r="W179" t="str">
        <f t="shared" si="15"/>
        <v>West</v>
      </c>
      <c r="AB179" t="str">
        <f t="shared" si="20"/>
        <v>PK-BA</v>
      </c>
    </row>
    <row r="180" spans="1:28" x14ac:dyDescent="0.25">
      <c r="A180" s="2">
        <v>45173</v>
      </c>
      <c r="B180" t="s">
        <v>10</v>
      </c>
      <c r="C180" t="s">
        <v>60</v>
      </c>
      <c r="D180" t="s">
        <v>12</v>
      </c>
      <c r="E180" t="s">
        <v>18</v>
      </c>
      <c r="F180" t="s">
        <v>23</v>
      </c>
      <c r="G180" t="s">
        <v>24</v>
      </c>
      <c r="H180">
        <v>17</v>
      </c>
      <c r="I180" s="1">
        <v>3857.33</v>
      </c>
      <c r="J180" s="1">
        <f t="shared" si="16"/>
        <v>59017.149000000005</v>
      </c>
      <c r="K180" s="1">
        <f t="shared" si="17"/>
        <v>6557.4610000000002</v>
      </c>
      <c r="L180" s="1">
        <v>65574.61</v>
      </c>
      <c r="M180" s="1">
        <f t="shared" si="18"/>
        <v>11803.4298</v>
      </c>
      <c r="N180" s="1">
        <f t="shared" si="19"/>
        <v>77378.039799999999</v>
      </c>
      <c r="S180" t="str">
        <f t="shared" si="14"/>
        <v>Sindh</v>
      </c>
      <c r="W180" t="str">
        <f t="shared" si="15"/>
        <v>South</v>
      </c>
      <c r="AB180" t="str">
        <f t="shared" si="20"/>
        <v>PK-SD</v>
      </c>
    </row>
    <row r="181" spans="1:28" x14ac:dyDescent="0.25">
      <c r="A181" s="2">
        <v>45256</v>
      </c>
      <c r="B181" t="s">
        <v>21</v>
      </c>
      <c r="C181" t="s">
        <v>55</v>
      </c>
      <c r="D181" t="s">
        <v>66</v>
      </c>
      <c r="E181" t="s">
        <v>41</v>
      </c>
      <c r="F181" t="s">
        <v>23</v>
      </c>
      <c r="G181" t="s">
        <v>39</v>
      </c>
      <c r="H181">
        <v>8</v>
      </c>
      <c r="I181" s="1">
        <v>1421.21</v>
      </c>
      <c r="J181" s="1">
        <f t="shared" si="16"/>
        <v>10232.712000000001</v>
      </c>
      <c r="K181" s="1">
        <f t="shared" si="17"/>
        <v>1136.9680000000001</v>
      </c>
      <c r="L181" s="1">
        <v>11369.68</v>
      </c>
      <c r="M181" s="1">
        <f t="shared" si="18"/>
        <v>2046.5424</v>
      </c>
      <c r="N181" s="1">
        <f t="shared" si="19"/>
        <v>13416.222400000001</v>
      </c>
      <c r="S181" t="str">
        <f t="shared" si="14"/>
        <v>Khyber Pakhtunkhwa</v>
      </c>
      <c r="W181" t="str">
        <f t="shared" si="15"/>
        <v>North</v>
      </c>
      <c r="AB181" t="str">
        <f t="shared" si="20"/>
        <v>Khyber Pakhtunkhwa</v>
      </c>
    </row>
    <row r="182" spans="1:28" x14ac:dyDescent="0.25">
      <c r="A182" s="2">
        <v>45104</v>
      </c>
      <c r="B182" t="s">
        <v>16</v>
      </c>
      <c r="C182" t="s">
        <v>26</v>
      </c>
      <c r="D182" t="s">
        <v>12</v>
      </c>
      <c r="E182" t="s">
        <v>18</v>
      </c>
      <c r="F182" t="s">
        <v>27</v>
      </c>
      <c r="G182" t="s">
        <v>46</v>
      </c>
      <c r="H182">
        <v>1</v>
      </c>
      <c r="I182" s="1">
        <v>1544.87</v>
      </c>
      <c r="J182" s="1">
        <f t="shared" si="16"/>
        <v>1390.383</v>
      </c>
      <c r="K182" s="1">
        <f t="shared" si="17"/>
        <v>154.48699999999999</v>
      </c>
      <c r="L182" s="1">
        <v>1544.87</v>
      </c>
      <c r="M182" s="1">
        <f t="shared" si="18"/>
        <v>278.07659999999998</v>
      </c>
      <c r="N182" s="1">
        <f t="shared" si="19"/>
        <v>1822.9465999999998</v>
      </c>
      <c r="S182" t="str">
        <f t="shared" si="14"/>
        <v>Sindh</v>
      </c>
      <c r="W182" t="str">
        <f t="shared" si="15"/>
        <v>South</v>
      </c>
      <c r="AB182" t="str">
        <f t="shared" si="20"/>
        <v>PK-SD</v>
      </c>
    </row>
    <row r="183" spans="1:28" x14ac:dyDescent="0.25">
      <c r="A183" s="2">
        <v>45136</v>
      </c>
      <c r="B183" t="s">
        <v>21</v>
      </c>
      <c r="C183" t="s">
        <v>60</v>
      </c>
      <c r="D183" t="s">
        <v>12</v>
      </c>
      <c r="E183" t="s">
        <v>18</v>
      </c>
      <c r="F183" t="s">
        <v>27</v>
      </c>
      <c r="G183" t="s">
        <v>44</v>
      </c>
      <c r="H183">
        <v>14</v>
      </c>
      <c r="I183" s="1">
        <v>2764.71</v>
      </c>
      <c r="J183" s="1">
        <f t="shared" si="16"/>
        <v>34835.346000000005</v>
      </c>
      <c r="K183" s="1">
        <f t="shared" si="17"/>
        <v>3870.5940000000005</v>
      </c>
      <c r="L183" s="1">
        <v>38705.94</v>
      </c>
      <c r="M183" s="1">
        <f t="shared" si="18"/>
        <v>6967.0691999999999</v>
      </c>
      <c r="N183" s="1">
        <f t="shared" si="19"/>
        <v>45673.0092</v>
      </c>
      <c r="S183" t="str">
        <f t="shared" si="14"/>
        <v>Sindh</v>
      </c>
      <c r="W183" t="str">
        <f t="shared" si="15"/>
        <v>South</v>
      </c>
      <c r="AB183" t="str">
        <f t="shared" si="20"/>
        <v>PK-SD</v>
      </c>
    </row>
    <row r="184" spans="1:28" x14ac:dyDescent="0.25">
      <c r="A184" s="2">
        <v>45111</v>
      </c>
      <c r="B184" t="s">
        <v>31</v>
      </c>
      <c r="C184" t="s">
        <v>57</v>
      </c>
      <c r="D184" t="s">
        <v>22</v>
      </c>
      <c r="E184" t="s">
        <v>13</v>
      </c>
      <c r="F184" t="s">
        <v>23</v>
      </c>
      <c r="G184" t="s">
        <v>24</v>
      </c>
      <c r="H184">
        <v>9</v>
      </c>
      <c r="I184" s="1">
        <v>2210.8000000000002</v>
      </c>
      <c r="J184" s="1">
        <f t="shared" si="16"/>
        <v>17907.48</v>
      </c>
      <c r="K184" s="1">
        <f t="shared" si="17"/>
        <v>1989.7200000000003</v>
      </c>
      <c r="L184" s="1">
        <v>19897.2</v>
      </c>
      <c r="M184" s="1">
        <f t="shared" si="18"/>
        <v>3581.4960000000001</v>
      </c>
      <c r="N184" s="1">
        <f t="shared" si="19"/>
        <v>23478.696</v>
      </c>
      <c r="S184" t="str">
        <f t="shared" si="14"/>
        <v>Balochistan</v>
      </c>
      <c r="W184" t="str">
        <f t="shared" si="15"/>
        <v>West</v>
      </c>
      <c r="AB184" t="str">
        <f t="shared" si="20"/>
        <v>PK-BA</v>
      </c>
    </row>
    <row r="185" spans="1:28" x14ac:dyDescent="0.25">
      <c r="A185" s="2">
        <v>44928</v>
      </c>
      <c r="B185" t="s">
        <v>21</v>
      </c>
      <c r="C185" t="s">
        <v>56</v>
      </c>
      <c r="D185" t="s">
        <v>12</v>
      </c>
      <c r="E185" t="s">
        <v>18</v>
      </c>
      <c r="F185" t="s">
        <v>14</v>
      </c>
      <c r="G185" t="s">
        <v>53</v>
      </c>
      <c r="H185">
        <v>3</v>
      </c>
      <c r="I185" s="1">
        <v>4359.8999999999996</v>
      </c>
      <c r="J185" s="1">
        <f t="shared" si="16"/>
        <v>11771.730000000001</v>
      </c>
      <c r="K185" s="1">
        <f t="shared" si="17"/>
        <v>1307.9700000000003</v>
      </c>
      <c r="L185" s="1">
        <v>13079.7</v>
      </c>
      <c r="M185" s="1">
        <f t="shared" si="18"/>
        <v>2354.346</v>
      </c>
      <c r="N185" s="1">
        <f t="shared" si="19"/>
        <v>15434.046</v>
      </c>
      <c r="S185" t="str">
        <f t="shared" si="14"/>
        <v>Sindh</v>
      </c>
      <c r="W185" t="str">
        <f t="shared" si="15"/>
        <v>South</v>
      </c>
      <c r="AB185" t="str">
        <f t="shared" si="20"/>
        <v>PK-SD</v>
      </c>
    </row>
    <row r="186" spans="1:28" x14ac:dyDescent="0.25">
      <c r="A186" s="2">
        <v>45012</v>
      </c>
      <c r="B186" t="s">
        <v>38</v>
      </c>
      <c r="C186" t="s">
        <v>54</v>
      </c>
      <c r="D186" t="s">
        <v>12</v>
      </c>
      <c r="E186" t="s">
        <v>18</v>
      </c>
      <c r="F186" t="s">
        <v>14</v>
      </c>
      <c r="G186" t="s">
        <v>15</v>
      </c>
      <c r="H186">
        <v>7</v>
      </c>
      <c r="I186" s="1">
        <v>3836.77</v>
      </c>
      <c r="J186" s="1">
        <f t="shared" si="16"/>
        <v>24171.651000000002</v>
      </c>
      <c r="K186" s="1">
        <f t="shared" si="17"/>
        <v>2685.739</v>
      </c>
      <c r="L186" s="1">
        <v>26857.39</v>
      </c>
      <c r="M186" s="1">
        <f t="shared" si="18"/>
        <v>4834.3301999999994</v>
      </c>
      <c r="N186" s="1">
        <f t="shared" si="19"/>
        <v>31691.7202</v>
      </c>
      <c r="S186" t="str">
        <f t="shared" si="14"/>
        <v>Sindh</v>
      </c>
      <c r="W186" t="str">
        <f t="shared" si="15"/>
        <v>South</v>
      </c>
      <c r="AB186" t="str">
        <f t="shared" si="20"/>
        <v>PK-SD</v>
      </c>
    </row>
    <row r="187" spans="1:28" x14ac:dyDescent="0.25">
      <c r="A187" s="2">
        <v>45217</v>
      </c>
      <c r="B187" t="s">
        <v>34</v>
      </c>
      <c r="C187" t="s">
        <v>60</v>
      </c>
      <c r="D187" t="s">
        <v>12</v>
      </c>
      <c r="E187" t="s">
        <v>18</v>
      </c>
      <c r="F187" t="s">
        <v>19</v>
      </c>
      <c r="G187" t="s">
        <v>48</v>
      </c>
      <c r="H187">
        <v>7</v>
      </c>
      <c r="I187" s="1">
        <v>560.58000000000004</v>
      </c>
      <c r="J187" s="1">
        <f t="shared" si="16"/>
        <v>3531.654</v>
      </c>
      <c r="K187" s="1">
        <f t="shared" si="17"/>
        <v>392.40600000000001</v>
      </c>
      <c r="L187" s="1">
        <v>3924.06</v>
      </c>
      <c r="M187" s="1">
        <f t="shared" si="18"/>
        <v>706.33079999999995</v>
      </c>
      <c r="N187" s="1">
        <f t="shared" si="19"/>
        <v>4630.3908000000001</v>
      </c>
      <c r="S187" t="str">
        <f t="shared" si="14"/>
        <v>Sindh</v>
      </c>
      <c r="W187" t="str">
        <f t="shared" si="15"/>
        <v>South</v>
      </c>
      <c r="AB187" t="str">
        <f t="shared" si="20"/>
        <v>PK-SD</v>
      </c>
    </row>
    <row r="188" spans="1:28" x14ac:dyDescent="0.25">
      <c r="A188" s="2">
        <v>45089</v>
      </c>
      <c r="B188" t="s">
        <v>29</v>
      </c>
      <c r="C188" t="s">
        <v>58</v>
      </c>
      <c r="D188" t="s">
        <v>12</v>
      </c>
      <c r="E188" t="s">
        <v>18</v>
      </c>
      <c r="F188" t="s">
        <v>32</v>
      </c>
      <c r="G188" t="s">
        <v>33</v>
      </c>
      <c r="H188">
        <v>17</v>
      </c>
      <c r="I188" s="1">
        <v>1574.45</v>
      </c>
      <c r="J188" s="1">
        <f t="shared" si="16"/>
        <v>24089.085000000003</v>
      </c>
      <c r="K188" s="1">
        <f t="shared" si="17"/>
        <v>2676.5650000000005</v>
      </c>
      <c r="L188" s="1">
        <v>26765.65</v>
      </c>
      <c r="M188" s="1">
        <f t="shared" si="18"/>
        <v>4817.817</v>
      </c>
      <c r="N188" s="1">
        <f t="shared" si="19"/>
        <v>31583.467000000001</v>
      </c>
      <c r="S188" t="str">
        <f t="shared" si="14"/>
        <v>Sindh</v>
      </c>
      <c r="W188" t="str">
        <f t="shared" si="15"/>
        <v>South</v>
      </c>
      <c r="AB188" t="str">
        <f t="shared" si="20"/>
        <v>PK-SD</v>
      </c>
    </row>
    <row r="189" spans="1:28" x14ac:dyDescent="0.25">
      <c r="A189" s="2">
        <v>44987</v>
      </c>
      <c r="B189" t="s">
        <v>25</v>
      </c>
      <c r="C189" t="s">
        <v>58</v>
      </c>
      <c r="D189" t="s">
        <v>12</v>
      </c>
      <c r="E189" t="s">
        <v>18</v>
      </c>
      <c r="F189" t="s">
        <v>14</v>
      </c>
      <c r="G189" t="s">
        <v>15</v>
      </c>
      <c r="H189">
        <v>17</v>
      </c>
      <c r="I189" s="1">
        <v>578.66999999999996</v>
      </c>
      <c r="J189" s="1">
        <f t="shared" si="16"/>
        <v>8853.6509999999998</v>
      </c>
      <c r="K189" s="1">
        <f t="shared" si="17"/>
        <v>983.73900000000003</v>
      </c>
      <c r="L189" s="1">
        <v>9837.39</v>
      </c>
      <c r="M189" s="1">
        <f t="shared" si="18"/>
        <v>1770.7301999999997</v>
      </c>
      <c r="N189" s="1">
        <f t="shared" si="19"/>
        <v>11608.120199999999</v>
      </c>
      <c r="S189" t="str">
        <f t="shared" si="14"/>
        <v>Sindh</v>
      </c>
      <c r="W189" t="str">
        <f t="shared" si="15"/>
        <v>South</v>
      </c>
      <c r="AB189" t="str">
        <f t="shared" si="20"/>
        <v>PK-SD</v>
      </c>
    </row>
    <row r="190" spans="1:28" x14ac:dyDescent="0.25">
      <c r="A190" s="2">
        <v>45286</v>
      </c>
      <c r="B190" t="s">
        <v>34</v>
      </c>
      <c r="C190" t="s">
        <v>17</v>
      </c>
      <c r="D190" t="s">
        <v>65</v>
      </c>
      <c r="E190" t="s">
        <v>64</v>
      </c>
      <c r="F190" t="s">
        <v>27</v>
      </c>
      <c r="G190" t="s">
        <v>28</v>
      </c>
      <c r="H190">
        <v>19</v>
      </c>
      <c r="I190" s="1">
        <v>1441.02</v>
      </c>
      <c r="J190" s="1">
        <f t="shared" si="16"/>
        <v>24641.442000000003</v>
      </c>
      <c r="K190" s="1">
        <f t="shared" si="17"/>
        <v>2737.9380000000001</v>
      </c>
      <c r="L190" s="1">
        <v>27379.38</v>
      </c>
      <c r="M190" s="1">
        <f t="shared" si="18"/>
        <v>4928.2884000000004</v>
      </c>
      <c r="N190" s="1">
        <f t="shared" si="19"/>
        <v>32307.668400000002</v>
      </c>
      <c r="S190" t="str">
        <f t="shared" si="14"/>
        <v>Punjab</v>
      </c>
      <c r="W190" t="str">
        <f t="shared" si="15"/>
        <v>East</v>
      </c>
      <c r="AB190" t="str">
        <f t="shared" si="20"/>
        <v>PK-PB</v>
      </c>
    </row>
    <row r="191" spans="1:28" x14ac:dyDescent="0.25">
      <c r="A191" s="2">
        <v>45187</v>
      </c>
      <c r="B191" t="s">
        <v>10</v>
      </c>
      <c r="C191" t="s">
        <v>56</v>
      </c>
      <c r="D191" t="s">
        <v>12</v>
      </c>
      <c r="E191" t="s">
        <v>18</v>
      </c>
      <c r="F191" t="s">
        <v>14</v>
      </c>
      <c r="G191" t="s">
        <v>51</v>
      </c>
      <c r="H191">
        <v>19</v>
      </c>
      <c r="I191" s="1">
        <v>618.02</v>
      </c>
      <c r="J191" s="1">
        <f t="shared" si="16"/>
        <v>10568.142</v>
      </c>
      <c r="K191" s="1">
        <f t="shared" si="17"/>
        <v>1174.2380000000001</v>
      </c>
      <c r="L191" s="1">
        <v>11742.38</v>
      </c>
      <c r="M191" s="1">
        <f t="shared" si="18"/>
        <v>2113.6283999999996</v>
      </c>
      <c r="N191" s="1">
        <f t="shared" si="19"/>
        <v>13856.008399999999</v>
      </c>
      <c r="S191" t="str">
        <f t="shared" si="14"/>
        <v>Sindh</v>
      </c>
      <c r="W191" t="str">
        <f t="shared" si="15"/>
        <v>South</v>
      </c>
      <c r="AB191" t="str">
        <f t="shared" si="20"/>
        <v>PK-SD</v>
      </c>
    </row>
    <row r="192" spans="1:28" x14ac:dyDescent="0.25">
      <c r="A192" s="2">
        <v>44971</v>
      </c>
      <c r="B192" t="s">
        <v>38</v>
      </c>
      <c r="C192" t="s">
        <v>63</v>
      </c>
      <c r="D192" t="s">
        <v>65</v>
      </c>
      <c r="E192" t="s">
        <v>64</v>
      </c>
      <c r="F192" t="s">
        <v>19</v>
      </c>
      <c r="G192" t="s">
        <v>30</v>
      </c>
      <c r="H192">
        <v>15</v>
      </c>
      <c r="I192" s="1">
        <v>4093.93</v>
      </c>
      <c r="J192" s="1">
        <f t="shared" si="16"/>
        <v>55268.055</v>
      </c>
      <c r="K192" s="1">
        <f t="shared" si="17"/>
        <v>6140.8950000000004</v>
      </c>
      <c r="L192" s="1">
        <v>61408.95</v>
      </c>
      <c r="M192" s="1">
        <f t="shared" si="18"/>
        <v>11053.610999999999</v>
      </c>
      <c r="N192" s="1">
        <f t="shared" si="19"/>
        <v>72462.561000000002</v>
      </c>
      <c r="S192" t="str">
        <f t="shared" si="14"/>
        <v>Punjab</v>
      </c>
      <c r="W192" t="str">
        <f t="shared" si="15"/>
        <v>East</v>
      </c>
      <c r="AB192" t="str">
        <f t="shared" si="20"/>
        <v>PK-PB</v>
      </c>
    </row>
    <row r="193" spans="1:28" x14ac:dyDescent="0.25">
      <c r="A193" s="2">
        <v>44956</v>
      </c>
      <c r="B193" t="s">
        <v>16</v>
      </c>
      <c r="C193" t="s">
        <v>35</v>
      </c>
      <c r="D193" t="s">
        <v>65</v>
      </c>
      <c r="E193" t="s">
        <v>64</v>
      </c>
      <c r="F193" t="s">
        <v>14</v>
      </c>
      <c r="G193" t="s">
        <v>45</v>
      </c>
      <c r="H193">
        <v>16</v>
      </c>
      <c r="I193" s="1">
        <v>2714.37</v>
      </c>
      <c r="J193" s="1">
        <f t="shared" si="16"/>
        <v>39086.928</v>
      </c>
      <c r="K193" s="1">
        <f t="shared" si="17"/>
        <v>4342.9920000000002</v>
      </c>
      <c r="L193" s="1">
        <v>43429.919999999998</v>
      </c>
      <c r="M193" s="1">
        <f t="shared" si="18"/>
        <v>7817.3855999999996</v>
      </c>
      <c r="N193" s="1">
        <f t="shared" si="19"/>
        <v>51247.3056</v>
      </c>
      <c r="S193" t="str">
        <f t="shared" si="14"/>
        <v>Punjab</v>
      </c>
      <c r="W193" t="str">
        <f t="shared" si="15"/>
        <v>East</v>
      </c>
      <c r="AB193" t="str">
        <f t="shared" si="20"/>
        <v>PK-PB</v>
      </c>
    </row>
    <row r="194" spans="1:28" x14ac:dyDescent="0.25">
      <c r="A194" s="2">
        <v>45098</v>
      </c>
      <c r="B194" t="s">
        <v>31</v>
      </c>
      <c r="C194" t="s">
        <v>63</v>
      </c>
      <c r="D194" t="s">
        <v>65</v>
      </c>
      <c r="E194" t="s">
        <v>64</v>
      </c>
      <c r="F194" t="s">
        <v>23</v>
      </c>
      <c r="G194" t="s">
        <v>24</v>
      </c>
      <c r="H194">
        <v>8</v>
      </c>
      <c r="I194" s="1">
        <v>4658.57</v>
      </c>
      <c r="J194" s="1">
        <f t="shared" si="16"/>
        <v>33541.703999999998</v>
      </c>
      <c r="K194" s="1">
        <f t="shared" si="17"/>
        <v>3726.8559999999998</v>
      </c>
      <c r="L194" s="1">
        <v>37268.559999999998</v>
      </c>
      <c r="M194" s="1">
        <f t="shared" si="18"/>
        <v>6708.340799999999</v>
      </c>
      <c r="N194" s="1">
        <f t="shared" si="19"/>
        <v>43976.900799999996</v>
      </c>
      <c r="S194" t="str">
        <f t="shared" ref="S194:S257" si="21">VLOOKUP(C194,$Q$2:$R$15,2,FALSE)</f>
        <v>Punjab</v>
      </c>
      <c r="W194" t="str">
        <f t="shared" ref="W194:W257" si="22">VLOOKUP(D194,$U$2:$V$5,2,FALSE)</f>
        <v>East</v>
      </c>
      <c r="AB194" t="str">
        <f t="shared" si="20"/>
        <v>PK-PB</v>
      </c>
    </row>
    <row r="195" spans="1:28" x14ac:dyDescent="0.25">
      <c r="A195" s="2">
        <v>45150</v>
      </c>
      <c r="B195" t="s">
        <v>34</v>
      </c>
      <c r="C195" t="s">
        <v>11</v>
      </c>
      <c r="D195" t="s">
        <v>22</v>
      </c>
      <c r="E195" t="s">
        <v>13</v>
      </c>
      <c r="F195" t="s">
        <v>19</v>
      </c>
      <c r="G195" t="s">
        <v>52</v>
      </c>
      <c r="H195">
        <v>20</v>
      </c>
      <c r="I195" s="1">
        <v>3203.76</v>
      </c>
      <c r="J195" s="1">
        <f t="shared" ref="J195:J258" si="23">L195*90%</f>
        <v>57667.68</v>
      </c>
      <c r="K195" s="1">
        <f t="shared" ref="K195:K258" si="24">L195*10%</f>
        <v>6407.52</v>
      </c>
      <c r="L195" s="1">
        <v>64075.199999999997</v>
      </c>
      <c r="M195" s="1">
        <f t="shared" ref="M195:M258" si="25">L195*18%</f>
        <v>11533.535999999998</v>
      </c>
      <c r="N195" s="1">
        <f t="shared" ref="N195:N258" si="26">L195+M195</f>
        <v>75608.73599999999</v>
      </c>
      <c r="S195" t="str">
        <f t="shared" si="21"/>
        <v>Balochistan</v>
      </c>
      <c r="W195" t="str">
        <f t="shared" si="22"/>
        <v>West</v>
      </c>
      <c r="AB195" t="str">
        <f t="shared" ref="AB195:AB258" si="27">VLOOKUP(D195,$Z$2:$AA$5,2,FALSE)</f>
        <v>PK-BA</v>
      </c>
    </row>
    <row r="196" spans="1:28" x14ac:dyDescent="0.25">
      <c r="A196" s="2">
        <v>45258</v>
      </c>
      <c r="B196" t="s">
        <v>34</v>
      </c>
      <c r="C196" t="s">
        <v>61</v>
      </c>
      <c r="D196" t="s">
        <v>65</v>
      </c>
      <c r="E196" t="s">
        <v>64</v>
      </c>
      <c r="F196" t="s">
        <v>32</v>
      </c>
      <c r="G196" t="s">
        <v>49</v>
      </c>
      <c r="H196">
        <v>5</v>
      </c>
      <c r="I196" s="1">
        <v>3572.02</v>
      </c>
      <c r="J196" s="1">
        <f t="shared" si="23"/>
        <v>16074.089999999998</v>
      </c>
      <c r="K196" s="1">
        <f t="shared" si="24"/>
        <v>1786.01</v>
      </c>
      <c r="L196" s="1">
        <v>17860.099999999999</v>
      </c>
      <c r="M196" s="1">
        <f t="shared" si="25"/>
        <v>3214.8179999999998</v>
      </c>
      <c r="N196" s="1">
        <f t="shared" si="26"/>
        <v>21074.917999999998</v>
      </c>
      <c r="S196" t="str">
        <f t="shared" si="21"/>
        <v>Punjab</v>
      </c>
      <c r="W196" t="str">
        <f t="shared" si="22"/>
        <v>East</v>
      </c>
      <c r="AB196" t="str">
        <f t="shared" si="27"/>
        <v>PK-PB</v>
      </c>
    </row>
    <row r="197" spans="1:28" x14ac:dyDescent="0.25">
      <c r="A197" s="2">
        <v>44951</v>
      </c>
      <c r="B197" t="s">
        <v>10</v>
      </c>
      <c r="C197" t="s">
        <v>60</v>
      </c>
      <c r="D197" t="s">
        <v>12</v>
      </c>
      <c r="E197" t="s">
        <v>18</v>
      </c>
      <c r="F197" t="s">
        <v>27</v>
      </c>
      <c r="G197" t="s">
        <v>46</v>
      </c>
      <c r="H197">
        <v>4</v>
      </c>
      <c r="I197" s="1">
        <v>328.82</v>
      </c>
      <c r="J197" s="1">
        <f t="shared" si="23"/>
        <v>1183.752</v>
      </c>
      <c r="K197" s="1">
        <f t="shared" si="24"/>
        <v>131.52799999999999</v>
      </c>
      <c r="L197" s="1">
        <v>1315.28</v>
      </c>
      <c r="M197" s="1">
        <f t="shared" si="25"/>
        <v>236.75039999999998</v>
      </c>
      <c r="N197" s="1">
        <f t="shared" si="26"/>
        <v>1552.0303999999999</v>
      </c>
      <c r="S197" t="str">
        <f t="shared" si="21"/>
        <v>Sindh</v>
      </c>
      <c r="W197" t="str">
        <f t="shared" si="22"/>
        <v>South</v>
      </c>
      <c r="AB197" t="str">
        <f t="shared" si="27"/>
        <v>PK-SD</v>
      </c>
    </row>
    <row r="198" spans="1:28" x14ac:dyDescent="0.25">
      <c r="A198" s="2">
        <v>45083</v>
      </c>
      <c r="B198" t="s">
        <v>10</v>
      </c>
      <c r="C198" t="s">
        <v>26</v>
      </c>
      <c r="D198" t="s">
        <v>12</v>
      </c>
      <c r="E198" t="s">
        <v>18</v>
      </c>
      <c r="F198" t="s">
        <v>19</v>
      </c>
      <c r="G198" t="s">
        <v>30</v>
      </c>
      <c r="H198">
        <v>10</v>
      </c>
      <c r="I198" s="1">
        <v>4210.63</v>
      </c>
      <c r="J198" s="1">
        <f t="shared" si="23"/>
        <v>37895.670000000006</v>
      </c>
      <c r="K198" s="1">
        <f t="shared" si="24"/>
        <v>4210.63</v>
      </c>
      <c r="L198" s="1">
        <v>42106.3</v>
      </c>
      <c r="M198" s="1">
        <f t="shared" si="25"/>
        <v>7579.134</v>
      </c>
      <c r="N198" s="1">
        <f t="shared" si="26"/>
        <v>49685.434000000001</v>
      </c>
      <c r="S198" t="str">
        <f t="shared" si="21"/>
        <v>Sindh</v>
      </c>
      <c r="W198" t="str">
        <f t="shared" si="22"/>
        <v>South</v>
      </c>
      <c r="AB198" t="str">
        <f t="shared" si="27"/>
        <v>PK-SD</v>
      </c>
    </row>
    <row r="199" spans="1:28" x14ac:dyDescent="0.25">
      <c r="A199" s="2">
        <v>45007</v>
      </c>
      <c r="B199" t="s">
        <v>25</v>
      </c>
      <c r="C199" t="s">
        <v>54</v>
      </c>
      <c r="D199" t="s">
        <v>12</v>
      </c>
      <c r="E199" t="s">
        <v>18</v>
      </c>
      <c r="F199" t="s">
        <v>23</v>
      </c>
      <c r="G199" t="s">
        <v>24</v>
      </c>
      <c r="H199">
        <v>15</v>
      </c>
      <c r="I199" s="1">
        <v>211.9</v>
      </c>
      <c r="J199" s="1">
        <f t="shared" si="23"/>
        <v>2860.65</v>
      </c>
      <c r="K199" s="1">
        <f t="shared" si="24"/>
        <v>317.85000000000002</v>
      </c>
      <c r="L199" s="1">
        <v>3178.5</v>
      </c>
      <c r="M199" s="1">
        <f t="shared" si="25"/>
        <v>572.13</v>
      </c>
      <c r="N199" s="1">
        <f t="shared" si="26"/>
        <v>3750.63</v>
      </c>
      <c r="S199" t="str">
        <f t="shared" si="21"/>
        <v>Sindh</v>
      </c>
      <c r="W199" t="str">
        <f t="shared" si="22"/>
        <v>South</v>
      </c>
      <c r="AB199" t="str">
        <f t="shared" si="27"/>
        <v>PK-SD</v>
      </c>
    </row>
    <row r="200" spans="1:28" x14ac:dyDescent="0.25">
      <c r="A200" s="2">
        <v>44943</v>
      </c>
      <c r="B200" t="s">
        <v>43</v>
      </c>
      <c r="C200" t="s">
        <v>61</v>
      </c>
      <c r="D200" t="s">
        <v>65</v>
      </c>
      <c r="E200" t="s">
        <v>64</v>
      </c>
      <c r="F200" t="s">
        <v>14</v>
      </c>
      <c r="G200" t="s">
        <v>15</v>
      </c>
      <c r="H200">
        <v>6</v>
      </c>
      <c r="I200" s="1">
        <v>1847.42</v>
      </c>
      <c r="J200" s="1">
        <f t="shared" si="23"/>
        <v>9976.0680000000011</v>
      </c>
      <c r="K200" s="1">
        <f t="shared" si="24"/>
        <v>1108.452</v>
      </c>
      <c r="L200" s="1">
        <v>11084.52</v>
      </c>
      <c r="M200" s="1">
        <f t="shared" si="25"/>
        <v>1995.2136</v>
      </c>
      <c r="N200" s="1">
        <f t="shared" si="26"/>
        <v>13079.7336</v>
      </c>
      <c r="S200" t="str">
        <f t="shared" si="21"/>
        <v>Punjab</v>
      </c>
      <c r="W200" t="str">
        <f t="shared" si="22"/>
        <v>East</v>
      </c>
      <c r="AB200" t="str">
        <f t="shared" si="27"/>
        <v>PK-PB</v>
      </c>
    </row>
    <row r="201" spans="1:28" x14ac:dyDescent="0.25">
      <c r="A201" s="2">
        <v>45279</v>
      </c>
      <c r="B201" t="s">
        <v>16</v>
      </c>
      <c r="C201" t="s">
        <v>61</v>
      </c>
      <c r="D201" t="s">
        <v>65</v>
      </c>
      <c r="E201" t="s">
        <v>64</v>
      </c>
      <c r="F201" t="s">
        <v>27</v>
      </c>
      <c r="G201" t="s">
        <v>42</v>
      </c>
      <c r="H201">
        <v>15</v>
      </c>
      <c r="I201" s="1">
        <v>3875.6</v>
      </c>
      <c r="J201" s="1">
        <f t="shared" si="23"/>
        <v>52320.6</v>
      </c>
      <c r="K201" s="1">
        <f t="shared" si="24"/>
        <v>5813.4000000000005</v>
      </c>
      <c r="L201" s="1">
        <v>58134</v>
      </c>
      <c r="M201" s="1">
        <f t="shared" si="25"/>
        <v>10464.119999999999</v>
      </c>
      <c r="N201" s="1">
        <f t="shared" si="26"/>
        <v>68598.12</v>
      </c>
      <c r="S201" t="str">
        <f t="shared" si="21"/>
        <v>Punjab</v>
      </c>
      <c r="W201" t="str">
        <f t="shared" si="22"/>
        <v>East</v>
      </c>
      <c r="AB201" t="str">
        <f t="shared" si="27"/>
        <v>PK-PB</v>
      </c>
    </row>
    <row r="202" spans="1:28" x14ac:dyDescent="0.25">
      <c r="A202" s="2">
        <v>45124</v>
      </c>
      <c r="B202" t="s">
        <v>31</v>
      </c>
      <c r="C202" t="s">
        <v>61</v>
      </c>
      <c r="D202" t="s">
        <v>65</v>
      </c>
      <c r="E202" t="s">
        <v>64</v>
      </c>
      <c r="F202" t="s">
        <v>19</v>
      </c>
      <c r="G202" t="s">
        <v>30</v>
      </c>
      <c r="H202">
        <v>1</v>
      </c>
      <c r="I202" s="1">
        <v>1323.63</v>
      </c>
      <c r="J202" s="1">
        <f t="shared" si="23"/>
        <v>1191.2670000000001</v>
      </c>
      <c r="K202" s="1">
        <f t="shared" si="24"/>
        <v>132.36300000000003</v>
      </c>
      <c r="L202" s="1">
        <v>1323.63</v>
      </c>
      <c r="M202" s="1">
        <f t="shared" si="25"/>
        <v>238.2534</v>
      </c>
      <c r="N202" s="1">
        <f t="shared" si="26"/>
        <v>1561.8834000000002</v>
      </c>
      <c r="S202" t="str">
        <f t="shared" si="21"/>
        <v>Punjab</v>
      </c>
      <c r="W202" t="str">
        <f t="shared" si="22"/>
        <v>East</v>
      </c>
      <c r="AB202" t="str">
        <f t="shared" si="27"/>
        <v>PK-PB</v>
      </c>
    </row>
    <row r="203" spans="1:28" x14ac:dyDescent="0.25">
      <c r="A203" s="2">
        <v>44988</v>
      </c>
      <c r="B203" t="s">
        <v>40</v>
      </c>
      <c r="C203" t="s">
        <v>60</v>
      </c>
      <c r="D203" t="s">
        <v>12</v>
      </c>
      <c r="E203" t="s">
        <v>18</v>
      </c>
      <c r="F203" t="s">
        <v>32</v>
      </c>
      <c r="G203" t="s">
        <v>49</v>
      </c>
      <c r="H203">
        <v>18</v>
      </c>
      <c r="I203" s="1">
        <v>3916.11</v>
      </c>
      <c r="J203" s="1">
        <f t="shared" si="23"/>
        <v>63440.981999999996</v>
      </c>
      <c r="K203" s="1">
        <f t="shared" si="24"/>
        <v>7048.9979999999996</v>
      </c>
      <c r="L203" s="1">
        <v>70489.98</v>
      </c>
      <c r="M203" s="1">
        <f t="shared" si="25"/>
        <v>12688.196399999999</v>
      </c>
      <c r="N203" s="1">
        <f t="shared" si="26"/>
        <v>83178.176399999997</v>
      </c>
      <c r="S203" t="str">
        <f t="shared" si="21"/>
        <v>Sindh</v>
      </c>
      <c r="W203" t="str">
        <f t="shared" si="22"/>
        <v>South</v>
      </c>
      <c r="AB203" t="str">
        <f t="shared" si="27"/>
        <v>PK-SD</v>
      </c>
    </row>
    <row r="204" spans="1:28" x14ac:dyDescent="0.25">
      <c r="A204" s="2">
        <v>45002</v>
      </c>
      <c r="B204" t="s">
        <v>21</v>
      </c>
      <c r="C204" t="s">
        <v>35</v>
      </c>
      <c r="D204" t="s">
        <v>65</v>
      </c>
      <c r="E204" t="s">
        <v>64</v>
      </c>
      <c r="F204" t="s">
        <v>14</v>
      </c>
      <c r="G204" t="s">
        <v>51</v>
      </c>
      <c r="H204">
        <v>16</v>
      </c>
      <c r="I204" s="1">
        <v>4624.91</v>
      </c>
      <c r="J204" s="1">
        <f t="shared" si="23"/>
        <v>66598.703999999998</v>
      </c>
      <c r="K204" s="1">
        <f t="shared" si="24"/>
        <v>7399.8559999999998</v>
      </c>
      <c r="L204" s="1">
        <v>73998.559999999998</v>
      </c>
      <c r="M204" s="1">
        <f t="shared" si="25"/>
        <v>13319.7408</v>
      </c>
      <c r="N204" s="1">
        <f t="shared" si="26"/>
        <v>87318.300799999997</v>
      </c>
      <c r="S204" t="str">
        <f t="shared" si="21"/>
        <v>Punjab</v>
      </c>
      <c r="W204" t="str">
        <f t="shared" si="22"/>
        <v>East</v>
      </c>
      <c r="AB204" t="str">
        <f t="shared" si="27"/>
        <v>PK-PB</v>
      </c>
    </row>
    <row r="205" spans="1:28" x14ac:dyDescent="0.25">
      <c r="A205" s="2">
        <v>45037</v>
      </c>
      <c r="B205" t="s">
        <v>21</v>
      </c>
      <c r="C205" t="s">
        <v>11</v>
      </c>
      <c r="D205" t="s">
        <v>22</v>
      </c>
      <c r="E205" t="s">
        <v>13</v>
      </c>
      <c r="F205" t="s">
        <v>19</v>
      </c>
      <c r="G205" t="s">
        <v>52</v>
      </c>
      <c r="H205">
        <v>8</v>
      </c>
      <c r="I205" s="1">
        <v>4091.1</v>
      </c>
      <c r="J205" s="1">
        <f t="shared" si="23"/>
        <v>29455.919999999998</v>
      </c>
      <c r="K205" s="1">
        <f t="shared" si="24"/>
        <v>3272.88</v>
      </c>
      <c r="L205" s="1">
        <v>32728.799999999999</v>
      </c>
      <c r="M205" s="1">
        <f t="shared" si="25"/>
        <v>5891.1839999999993</v>
      </c>
      <c r="N205" s="1">
        <f t="shared" si="26"/>
        <v>38619.983999999997</v>
      </c>
      <c r="S205" t="str">
        <f t="shared" si="21"/>
        <v>Balochistan</v>
      </c>
      <c r="W205" t="str">
        <f t="shared" si="22"/>
        <v>West</v>
      </c>
      <c r="AB205" t="str">
        <f t="shared" si="27"/>
        <v>PK-BA</v>
      </c>
    </row>
    <row r="206" spans="1:28" x14ac:dyDescent="0.25">
      <c r="A206" s="2">
        <v>45157</v>
      </c>
      <c r="B206" t="s">
        <v>10</v>
      </c>
      <c r="C206" t="s">
        <v>11</v>
      </c>
      <c r="D206" t="s">
        <v>22</v>
      </c>
      <c r="E206" t="s">
        <v>13</v>
      </c>
      <c r="F206" t="s">
        <v>14</v>
      </c>
      <c r="G206" t="s">
        <v>51</v>
      </c>
      <c r="H206">
        <v>16</v>
      </c>
      <c r="I206" s="1">
        <v>3369.55</v>
      </c>
      <c r="J206" s="1">
        <f t="shared" si="23"/>
        <v>48521.520000000004</v>
      </c>
      <c r="K206" s="1">
        <f t="shared" si="24"/>
        <v>5391.2800000000007</v>
      </c>
      <c r="L206" s="1">
        <v>53912.800000000003</v>
      </c>
      <c r="M206" s="1">
        <f t="shared" si="25"/>
        <v>9704.3040000000001</v>
      </c>
      <c r="N206" s="1">
        <f t="shared" si="26"/>
        <v>63617.104000000007</v>
      </c>
      <c r="S206" t="str">
        <f t="shared" si="21"/>
        <v>Balochistan</v>
      </c>
      <c r="W206" t="str">
        <f t="shared" si="22"/>
        <v>West</v>
      </c>
      <c r="AB206" t="str">
        <f t="shared" si="27"/>
        <v>PK-BA</v>
      </c>
    </row>
    <row r="207" spans="1:28" x14ac:dyDescent="0.25">
      <c r="A207" s="2">
        <v>45209</v>
      </c>
      <c r="B207" t="s">
        <v>29</v>
      </c>
      <c r="C207" t="s">
        <v>62</v>
      </c>
      <c r="D207" t="s">
        <v>65</v>
      </c>
      <c r="E207" t="s">
        <v>64</v>
      </c>
      <c r="F207" t="s">
        <v>14</v>
      </c>
      <c r="G207" t="s">
        <v>45</v>
      </c>
      <c r="H207">
        <v>3</v>
      </c>
      <c r="I207" s="1">
        <v>3591.92</v>
      </c>
      <c r="J207" s="1">
        <f t="shared" si="23"/>
        <v>9698.1840000000011</v>
      </c>
      <c r="K207" s="1">
        <f t="shared" si="24"/>
        <v>1077.576</v>
      </c>
      <c r="L207" s="1">
        <v>10775.76</v>
      </c>
      <c r="M207" s="1">
        <f t="shared" si="25"/>
        <v>1939.6368</v>
      </c>
      <c r="N207" s="1">
        <f t="shared" si="26"/>
        <v>12715.3968</v>
      </c>
      <c r="S207" t="str">
        <f t="shared" si="21"/>
        <v>Punjab</v>
      </c>
      <c r="W207" t="str">
        <f t="shared" si="22"/>
        <v>East</v>
      </c>
      <c r="AB207" t="str">
        <f t="shared" si="27"/>
        <v>PK-PB</v>
      </c>
    </row>
    <row r="208" spans="1:28" x14ac:dyDescent="0.25">
      <c r="A208" s="2">
        <v>45154</v>
      </c>
      <c r="B208" t="s">
        <v>38</v>
      </c>
      <c r="C208" t="s">
        <v>26</v>
      </c>
      <c r="D208" t="s">
        <v>12</v>
      </c>
      <c r="E208" t="s">
        <v>18</v>
      </c>
      <c r="F208" t="s">
        <v>23</v>
      </c>
      <c r="G208" t="s">
        <v>24</v>
      </c>
      <c r="H208">
        <v>4</v>
      </c>
      <c r="I208" s="1">
        <v>4298.3500000000004</v>
      </c>
      <c r="J208" s="1">
        <f t="shared" si="23"/>
        <v>15474.060000000001</v>
      </c>
      <c r="K208" s="1">
        <f t="shared" si="24"/>
        <v>1719.3400000000001</v>
      </c>
      <c r="L208" s="1">
        <v>17193.400000000001</v>
      </c>
      <c r="M208" s="1">
        <f t="shared" si="25"/>
        <v>3094.8120000000004</v>
      </c>
      <c r="N208" s="1">
        <f t="shared" si="26"/>
        <v>20288.212000000003</v>
      </c>
      <c r="S208" t="str">
        <f t="shared" si="21"/>
        <v>Sindh</v>
      </c>
      <c r="W208" t="str">
        <f t="shared" si="22"/>
        <v>South</v>
      </c>
      <c r="AB208" t="str">
        <f t="shared" si="27"/>
        <v>PK-SD</v>
      </c>
    </row>
    <row r="209" spans="1:28" x14ac:dyDescent="0.25">
      <c r="A209" s="2">
        <v>45145</v>
      </c>
      <c r="B209" t="s">
        <v>10</v>
      </c>
      <c r="C209" t="s">
        <v>60</v>
      </c>
      <c r="D209" t="s">
        <v>12</v>
      </c>
      <c r="E209" t="s">
        <v>18</v>
      </c>
      <c r="F209" t="s">
        <v>19</v>
      </c>
      <c r="G209" t="s">
        <v>48</v>
      </c>
      <c r="H209">
        <v>11</v>
      </c>
      <c r="I209" s="1">
        <v>3687.73</v>
      </c>
      <c r="J209" s="1">
        <f t="shared" si="23"/>
        <v>36508.527000000002</v>
      </c>
      <c r="K209" s="1">
        <f t="shared" si="24"/>
        <v>4056.5030000000002</v>
      </c>
      <c r="L209" s="1">
        <v>40565.03</v>
      </c>
      <c r="M209" s="1">
        <f t="shared" si="25"/>
        <v>7301.7053999999998</v>
      </c>
      <c r="N209" s="1">
        <f t="shared" si="26"/>
        <v>47866.735399999998</v>
      </c>
      <c r="S209" t="str">
        <f t="shared" si="21"/>
        <v>Sindh</v>
      </c>
      <c r="W209" t="str">
        <f t="shared" si="22"/>
        <v>South</v>
      </c>
      <c r="AB209" t="str">
        <f t="shared" si="27"/>
        <v>PK-SD</v>
      </c>
    </row>
    <row r="210" spans="1:28" x14ac:dyDescent="0.25">
      <c r="A210" s="2">
        <v>45218</v>
      </c>
      <c r="B210" t="s">
        <v>16</v>
      </c>
      <c r="C210" t="s">
        <v>35</v>
      </c>
      <c r="D210" t="s">
        <v>65</v>
      </c>
      <c r="E210" t="s">
        <v>64</v>
      </c>
      <c r="F210" t="s">
        <v>27</v>
      </c>
      <c r="G210" t="s">
        <v>46</v>
      </c>
      <c r="H210">
        <v>12</v>
      </c>
      <c r="I210" s="1">
        <v>548.36</v>
      </c>
      <c r="J210" s="1">
        <f t="shared" si="23"/>
        <v>5922.2879999999996</v>
      </c>
      <c r="K210" s="1">
        <f t="shared" si="24"/>
        <v>658.03200000000004</v>
      </c>
      <c r="L210" s="1">
        <v>6580.32</v>
      </c>
      <c r="M210" s="1">
        <f t="shared" si="25"/>
        <v>1184.4576</v>
      </c>
      <c r="N210" s="1">
        <f t="shared" si="26"/>
        <v>7764.7775999999994</v>
      </c>
      <c r="S210" t="str">
        <f t="shared" si="21"/>
        <v>Punjab</v>
      </c>
      <c r="W210" t="str">
        <f t="shared" si="22"/>
        <v>East</v>
      </c>
      <c r="AB210" t="str">
        <f t="shared" si="27"/>
        <v>PK-PB</v>
      </c>
    </row>
    <row r="211" spans="1:28" x14ac:dyDescent="0.25">
      <c r="A211" s="2">
        <v>45086</v>
      </c>
      <c r="B211" t="s">
        <v>34</v>
      </c>
      <c r="C211" t="s">
        <v>54</v>
      </c>
      <c r="D211" t="s">
        <v>12</v>
      </c>
      <c r="E211" t="s">
        <v>18</v>
      </c>
      <c r="F211" t="s">
        <v>23</v>
      </c>
      <c r="G211" t="s">
        <v>24</v>
      </c>
      <c r="H211">
        <v>6</v>
      </c>
      <c r="I211" s="1">
        <v>3931.61</v>
      </c>
      <c r="J211" s="1">
        <f t="shared" si="23"/>
        <v>21230.694</v>
      </c>
      <c r="K211" s="1">
        <f t="shared" si="24"/>
        <v>2358.9659999999999</v>
      </c>
      <c r="L211" s="1">
        <v>23589.66</v>
      </c>
      <c r="M211" s="1">
        <f t="shared" si="25"/>
        <v>4246.1387999999997</v>
      </c>
      <c r="N211" s="1">
        <f t="shared" si="26"/>
        <v>27835.7988</v>
      </c>
      <c r="S211" t="str">
        <f t="shared" si="21"/>
        <v>Sindh</v>
      </c>
      <c r="W211" t="str">
        <f t="shared" si="22"/>
        <v>South</v>
      </c>
      <c r="AB211" t="str">
        <f t="shared" si="27"/>
        <v>PK-SD</v>
      </c>
    </row>
    <row r="212" spans="1:28" x14ac:dyDescent="0.25">
      <c r="A212" s="2">
        <v>45118</v>
      </c>
      <c r="B212" t="s">
        <v>10</v>
      </c>
      <c r="C212" t="s">
        <v>11</v>
      </c>
      <c r="D212" t="s">
        <v>22</v>
      </c>
      <c r="E212" t="s">
        <v>13</v>
      </c>
      <c r="F212" t="s">
        <v>23</v>
      </c>
      <c r="G212" t="s">
        <v>37</v>
      </c>
      <c r="H212">
        <v>18</v>
      </c>
      <c r="I212" s="1">
        <v>1120.0999999999999</v>
      </c>
      <c r="J212" s="1">
        <f t="shared" si="23"/>
        <v>18145.62</v>
      </c>
      <c r="K212" s="1">
        <f t="shared" si="24"/>
        <v>2016.18</v>
      </c>
      <c r="L212" s="1">
        <v>20161.8</v>
      </c>
      <c r="M212" s="1">
        <f t="shared" si="25"/>
        <v>3629.1239999999998</v>
      </c>
      <c r="N212" s="1">
        <f t="shared" si="26"/>
        <v>23790.923999999999</v>
      </c>
      <c r="S212" t="str">
        <f t="shared" si="21"/>
        <v>Balochistan</v>
      </c>
      <c r="W212" t="str">
        <f t="shared" si="22"/>
        <v>West</v>
      </c>
      <c r="AB212" t="str">
        <f t="shared" si="27"/>
        <v>PK-BA</v>
      </c>
    </row>
    <row r="213" spans="1:28" x14ac:dyDescent="0.25">
      <c r="A213" s="2">
        <v>44970</v>
      </c>
      <c r="B213" t="s">
        <v>40</v>
      </c>
      <c r="C213" t="s">
        <v>57</v>
      </c>
      <c r="D213" t="s">
        <v>22</v>
      </c>
      <c r="E213" t="s">
        <v>13</v>
      </c>
      <c r="F213" t="s">
        <v>19</v>
      </c>
      <c r="G213" t="s">
        <v>52</v>
      </c>
      <c r="H213">
        <v>11</v>
      </c>
      <c r="I213" s="1">
        <v>1473.35</v>
      </c>
      <c r="J213" s="1">
        <f t="shared" si="23"/>
        <v>14586.165000000001</v>
      </c>
      <c r="K213" s="1">
        <f t="shared" si="24"/>
        <v>1620.6850000000002</v>
      </c>
      <c r="L213" s="1">
        <v>16206.85</v>
      </c>
      <c r="M213" s="1">
        <f t="shared" si="25"/>
        <v>2917.2330000000002</v>
      </c>
      <c r="N213" s="1">
        <f t="shared" si="26"/>
        <v>19124.082999999999</v>
      </c>
      <c r="S213" t="str">
        <f t="shared" si="21"/>
        <v>Balochistan</v>
      </c>
      <c r="W213" t="str">
        <f t="shared" si="22"/>
        <v>West</v>
      </c>
      <c r="AB213" t="str">
        <f t="shared" si="27"/>
        <v>PK-BA</v>
      </c>
    </row>
    <row r="214" spans="1:28" x14ac:dyDescent="0.25">
      <c r="A214" s="2">
        <v>45185</v>
      </c>
      <c r="B214" t="s">
        <v>25</v>
      </c>
      <c r="C214" t="s">
        <v>60</v>
      </c>
      <c r="D214" t="s">
        <v>12</v>
      </c>
      <c r="E214" t="s">
        <v>18</v>
      </c>
      <c r="F214" t="s">
        <v>32</v>
      </c>
      <c r="G214" t="s">
        <v>36</v>
      </c>
      <c r="H214">
        <v>6</v>
      </c>
      <c r="I214" s="1">
        <v>297.27</v>
      </c>
      <c r="J214" s="1">
        <f t="shared" si="23"/>
        <v>1605.258</v>
      </c>
      <c r="K214" s="1">
        <f t="shared" si="24"/>
        <v>178.36199999999999</v>
      </c>
      <c r="L214" s="1">
        <v>1783.62</v>
      </c>
      <c r="M214" s="1">
        <f t="shared" si="25"/>
        <v>321.05159999999995</v>
      </c>
      <c r="N214" s="1">
        <f t="shared" si="26"/>
        <v>2104.6715999999997</v>
      </c>
      <c r="S214" t="str">
        <f t="shared" si="21"/>
        <v>Sindh</v>
      </c>
      <c r="W214" t="str">
        <f t="shared" si="22"/>
        <v>South</v>
      </c>
      <c r="AB214" t="str">
        <f t="shared" si="27"/>
        <v>PK-SD</v>
      </c>
    </row>
    <row r="215" spans="1:28" x14ac:dyDescent="0.25">
      <c r="A215" s="2">
        <v>45285</v>
      </c>
      <c r="B215" t="s">
        <v>10</v>
      </c>
      <c r="C215" t="s">
        <v>26</v>
      </c>
      <c r="D215" t="s">
        <v>12</v>
      </c>
      <c r="E215" t="s">
        <v>18</v>
      </c>
      <c r="F215" t="s">
        <v>27</v>
      </c>
      <c r="G215" t="s">
        <v>42</v>
      </c>
      <c r="H215">
        <v>5</v>
      </c>
      <c r="I215" s="1">
        <v>4872.8900000000003</v>
      </c>
      <c r="J215" s="1">
        <f t="shared" si="23"/>
        <v>21928.005000000001</v>
      </c>
      <c r="K215" s="1">
        <f t="shared" si="24"/>
        <v>2436.4450000000002</v>
      </c>
      <c r="L215" s="1">
        <v>24364.45</v>
      </c>
      <c r="M215" s="1">
        <f t="shared" si="25"/>
        <v>4385.6009999999997</v>
      </c>
      <c r="N215" s="1">
        <f t="shared" si="26"/>
        <v>28750.050999999999</v>
      </c>
      <c r="S215" t="str">
        <f t="shared" si="21"/>
        <v>Sindh</v>
      </c>
      <c r="W215" t="str">
        <f t="shared" si="22"/>
        <v>South</v>
      </c>
      <c r="AB215" t="str">
        <f t="shared" si="27"/>
        <v>PK-SD</v>
      </c>
    </row>
    <row r="216" spans="1:28" x14ac:dyDescent="0.25">
      <c r="A216" s="2">
        <v>45122</v>
      </c>
      <c r="B216" t="s">
        <v>31</v>
      </c>
      <c r="C216" t="s">
        <v>58</v>
      </c>
      <c r="D216" t="s">
        <v>12</v>
      </c>
      <c r="E216" t="s">
        <v>18</v>
      </c>
      <c r="F216" t="s">
        <v>27</v>
      </c>
      <c r="G216" t="s">
        <v>44</v>
      </c>
      <c r="H216">
        <v>20</v>
      </c>
      <c r="I216" s="1">
        <v>4711.51</v>
      </c>
      <c r="J216" s="1">
        <f t="shared" si="23"/>
        <v>84807.18</v>
      </c>
      <c r="K216" s="1">
        <f t="shared" si="24"/>
        <v>9423.02</v>
      </c>
      <c r="L216" s="1">
        <v>94230.2</v>
      </c>
      <c r="M216" s="1">
        <f t="shared" si="25"/>
        <v>16961.435999999998</v>
      </c>
      <c r="N216" s="1">
        <f t="shared" si="26"/>
        <v>111191.636</v>
      </c>
      <c r="S216" t="str">
        <f t="shared" si="21"/>
        <v>Sindh</v>
      </c>
      <c r="W216" t="str">
        <f t="shared" si="22"/>
        <v>South</v>
      </c>
      <c r="AB216" t="str">
        <f t="shared" si="27"/>
        <v>PK-SD</v>
      </c>
    </row>
    <row r="217" spans="1:28" x14ac:dyDescent="0.25">
      <c r="A217" s="2">
        <v>45244</v>
      </c>
      <c r="B217" t="s">
        <v>43</v>
      </c>
      <c r="C217" t="s">
        <v>60</v>
      </c>
      <c r="D217" t="s">
        <v>12</v>
      </c>
      <c r="E217" t="s">
        <v>18</v>
      </c>
      <c r="F217" t="s">
        <v>32</v>
      </c>
      <c r="G217" t="s">
        <v>36</v>
      </c>
      <c r="H217">
        <v>5</v>
      </c>
      <c r="I217" s="1">
        <v>4096.54</v>
      </c>
      <c r="J217" s="1">
        <f t="shared" si="23"/>
        <v>18434.43</v>
      </c>
      <c r="K217" s="1">
        <f t="shared" si="24"/>
        <v>2048.27</v>
      </c>
      <c r="L217" s="1">
        <v>20482.7</v>
      </c>
      <c r="M217" s="1">
        <f t="shared" si="25"/>
        <v>3686.886</v>
      </c>
      <c r="N217" s="1">
        <f t="shared" si="26"/>
        <v>24169.585999999999</v>
      </c>
      <c r="S217" t="str">
        <f t="shared" si="21"/>
        <v>Sindh</v>
      </c>
      <c r="W217" t="str">
        <f t="shared" si="22"/>
        <v>South</v>
      </c>
      <c r="AB217" t="str">
        <f t="shared" si="27"/>
        <v>PK-SD</v>
      </c>
    </row>
    <row r="218" spans="1:28" x14ac:dyDescent="0.25">
      <c r="A218" s="2">
        <v>45214</v>
      </c>
      <c r="B218" t="s">
        <v>34</v>
      </c>
      <c r="C218" t="s">
        <v>58</v>
      </c>
      <c r="D218" t="s">
        <v>12</v>
      </c>
      <c r="E218" t="s">
        <v>18</v>
      </c>
      <c r="F218" t="s">
        <v>27</v>
      </c>
      <c r="G218" t="s">
        <v>44</v>
      </c>
      <c r="H218">
        <v>6</v>
      </c>
      <c r="I218" s="1">
        <v>830.82</v>
      </c>
      <c r="J218" s="1">
        <f t="shared" si="23"/>
        <v>4486.4279999999999</v>
      </c>
      <c r="K218" s="1">
        <f t="shared" si="24"/>
        <v>498.49200000000002</v>
      </c>
      <c r="L218" s="1">
        <v>4984.92</v>
      </c>
      <c r="M218" s="1">
        <f t="shared" si="25"/>
        <v>897.28559999999993</v>
      </c>
      <c r="N218" s="1">
        <f t="shared" si="26"/>
        <v>5882.2056000000002</v>
      </c>
      <c r="S218" t="str">
        <f t="shared" si="21"/>
        <v>Sindh</v>
      </c>
      <c r="W218" t="str">
        <f t="shared" si="22"/>
        <v>South</v>
      </c>
      <c r="AB218" t="str">
        <f t="shared" si="27"/>
        <v>PK-SD</v>
      </c>
    </row>
    <row r="219" spans="1:28" x14ac:dyDescent="0.25">
      <c r="A219" s="2">
        <v>45110</v>
      </c>
      <c r="B219" t="s">
        <v>38</v>
      </c>
      <c r="C219" t="s">
        <v>61</v>
      </c>
      <c r="D219" t="s">
        <v>65</v>
      </c>
      <c r="E219" t="s">
        <v>64</v>
      </c>
      <c r="F219" t="s">
        <v>27</v>
      </c>
      <c r="G219" t="s">
        <v>28</v>
      </c>
      <c r="H219">
        <v>3</v>
      </c>
      <c r="I219" s="1">
        <v>4637.38</v>
      </c>
      <c r="J219" s="1">
        <f t="shared" si="23"/>
        <v>12520.925999999999</v>
      </c>
      <c r="K219" s="1">
        <f t="shared" si="24"/>
        <v>1391.2139999999999</v>
      </c>
      <c r="L219" s="1">
        <v>13912.14</v>
      </c>
      <c r="M219" s="1">
        <f t="shared" si="25"/>
        <v>2504.1851999999999</v>
      </c>
      <c r="N219" s="1">
        <f t="shared" si="26"/>
        <v>16416.325199999999</v>
      </c>
      <c r="S219" t="str">
        <f t="shared" si="21"/>
        <v>Punjab</v>
      </c>
      <c r="W219" t="str">
        <f t="shared" si="22"/>
        <v>East</v>
      </c>
      <c r="AB219" t="str">
        <f t="shared" si="27"/>
        <v>PK-PB</v>
      </c>
    </row>
    <row r="220" spans="1:28" x14ac:dyDescent="0.25">
      <c r="A220" s="2">
        <v>44959</v>
      </c>
      <c r="B220" t="s">
        <v>40</v>
      </c>
      <c r="C220" t="s">
        <v>54</v>
      </c>
      <c r="D220" t="s">
        <v>12</v>
      </c>
      <c r="E220" t="s">
        <v>18</v>
      </c>
      <c r="F220" t="s">
        <v>19</v>
      </c>
      <c r="G220" t="s">
        <v>20</v>
      </c>
      <c r="H220">
        <v>5</v>
      </c>
      <c r="I220" s="1">
        <v>3770.1</v>
      </c>
      <c r="J220" s="1">
        <f t="shared" si="23"/>
        <v>16965.45</v>
      </c>
      <c r="K220" s="1">
        <f t="shared" si="24"/>
        <v>1885.0500000000002</v>
      </c>
      <c r="L220" s="1">
        <v>18850.5</v>
      </c>
      <c r="M220" s="1">
        <f t="shared" si="25"/>
        <v>3393.0899999999997</v>
      </c>
      <c r="N220" s="1">
        <f t="shared" si="26"/>
        <v>22243.59</v>
      </c>
      <c r="S220" t="str">
        <f t="shared" si="21"/>
        <v>Sindh</v>
      </c>
      <c r="W220" t="str">
        <f t="shared" si="22"/>
        <v>South</v>
      </c>
      <c r="AB220" t="str">
        <f t="shared" si="27"/>
        <v>PK-SD</v>
      </c>
    </row>
    <row r="221" spans="1:28" x14ac:dyDescent="0.25">
      <c r="A221" s="2">
        <v>45260</v>
      </c>
      <c r="B221" t="s">
        <v>29</v>
      </c>
      <c r="C221" t="s">
        <v>62</v>
      </c>
      <c r="D221" t="s">
        <v>65</v>
      </c>
      <c r="E221" t="s">
        <v>64</v>
      </c>
      <c r="F221" t="s">
        <v>27</v>
      </c>
      <c r="G221" t="s">
        <v>42</v>
      </c>
      <c r="H221">
        <v>20</v>
      </c>
      <c r="I221" s="1">
        <v>285.95999999999998</v>
      </c>
      <c r="J221" s="1">
        <f t="shared" si="23"/>
        <v>5147.28</v>
      </c>
      <c r="K221" s="1">
        <f t="shared" si="24"/>
        <v>571.91999999999996</v>
      </c>
      <c r="L221" s="1">
        <v>5719.2</v>
      </c>
      <c r="M221" s="1">
        <f t="shared" si="25"/>
        <v>1029.4559999999999</v>
      </c>
      <c r="N221" s="1">
        <f t="shared" si="26"/>
        <v>6748.6559999999999</v>
      </c>
      <c r="S221" t="str">
        <f t="shared" si="21"/>
        <v>Punjab</v>
      </c>
      <c r="W221" t="str">
        <f t="shared" si="22"/>
        <v>East</v>
      </c>
      <c r="AB221" t="str">
        <f t="shared" si="27"/>
        <v>PK-PB</v>
      </c>
    </row>
    <row r="222" spans="1:28" x14ac:dyDescent="0.25">
      <c r="A222" s="2">
        <v>45024</v>
      </c>
      <c r="B222" t="s">
        <v>31</v>
      </c>
      <c r="C222" t="s">
        <v>61</v>
      </c>
      <c r="D222" t="s">
        <v>65</v>
      </c>
      <c r="E222" t="s">
        <v>64</v>
      </c>
      <c r="F222" t="s">
        <v>14</v>
      </c>
      <c r="G222" t="s">
        <v>53</v>
      </c>
      <c r="H222">
        <v>6</v>
      </c>
      <c r="I222" s="1">
        <v>1912.36</v>
      </c>
      <c r="J222" s="1">
        <f t="shared" si="23"/>
        <v>10326.744000000001</v>
      </c>
      <c r="K222" s="1">
        <f t="shared" si="24"/>
        <v>1147.4159999999999</v>
      </c>
      <c r="L222" s="1">
        <v>11474.16</v>
      </c>
      <c r="M222" s="1">
        <f t="shared" si="25"/>
        <v>2065.3487999999998</v>
      </c>
      <c r="N222" s="1">
        <f t="shared" si="26"/>
        <v>13539.5088</v>
      </c>
      <c r="S222" t="str">
        <f t="shared" si="21"/>
        <v>Punjab</v>
      </c>
      <c r="W222" t="str">
        <f t="shared" si="22"/>
        <v>East</v>
      </c>
      <c r="AB222" t="str">
        <f t="shared" si="27"/>
        <v>PK-PB</v>
      </c>
    </row>
    <row r="223" spans="1:28" x14ac:dyDescent="0.25">
      <c r="A223" s="2">
        <v>45099</v>
      </c>
      <c r="B223" t="s">
        <v>16</v>
      </c>
      <c r="C223" t="s">
        <v>63</v>
      </c>
      <c r="D223" t="s">
        <v>65</v>
      </c>
      <c r="E223" t="s">
        <v>64</v>
      </c>
      <c r="F223" t="s">
        <v>23</v>
      </c>
      <c r="G223" t="s">
        <v>24</v>
      </c>
      <c r="H223">
        <v>19</v>
      </c>
      <c r="I223" s="1">
        <v>3648.27</v>
      </c>
      <c r="J223" s="1">
        <f t="shared" si="23"/>
        <v>62385.417000000009</v>
      </c>
      <c r="K223" s="1">
        <f t="shared" si="24"/>
        <v>6931.7130000000006</v>
      </c>
      <c r="L223" s="1">
        <v>69317.13</v>
      </c>
      <c r="M223" s="1">
        <f t="shared" si="25"/>
        <v>12477.0834</v>
      </c>
      <c r="N223" s="1">
        <f t="shared" si="26"/>
        <v>81794.213400000008</v>
      </c>
      <c r="S223" t="str">
        <f t="shared" si="21"/>
        <v>Punjab</v>
      </c>
      <c r="W223" t="str">
        <f t="shared" si="22"/>
        <v>East</v>
      </c>
      <c r="AB223" t="str">
        <f t="shared" si="27"/>
        <v>PK-PB</v>
      </c>
    </row>
    <row r="224" spans="1:28" x14ac:dyDescent="0.25">
      <c r="A224" s="2">
        <v>45081</v>
      </c>
      <c r="B224" t="s">
        <v>21</v>
      </c>
      <c r="C224" t="s">
        <v>54</v>
      </c>
      <c r="D224" t="s">
        <v>12</v>
      </c>
      <c r="E224" t="s">
        <v>18</v>
      </c>
      <c r="F224" t="s">
        <v>14</v>
      </c>
      <c r="G224" t="s">
        <v>51</v>
      </c>
      <c r="H224">
        <v>20</v>
      </c>
      <c r="I224" s="1">
        <v>473.23</v>
      </c>
      <c r="J224" s="1">
        <f t="shared" si="23"/>
        <v>8518.1400000000012</v>
      </c>
      <c r="K224" s="1">
        <f t="shared" si="24"/>
        <v>946.46</v>
      </c>
      <c r="L224" s="1">
        <v>9464.6</v>
      </c>
      <c r="M224" s="1">
        <f t="shared" si="25"/>
        <v>1703.6279999999999</v>
      </c>
      <c r="N224" s="1">
        <f t="shared" si="26"/>
        <v>11168.228000000001</v>
      </c>
      <c r="S224" t="str">
        <f t="shared" si="21"/>
        <v>Sindh</v>
      </c>
      <c r="W224" t="str">
        <f t="shared" si="22"/>
        <v>South</v>
      </c>
      <c r="AB224" t="str">
        <f t="shared" si="27"/>
        <v>PK-SD</v>
      </c>
    </row>
    <row r="225" spans="1:28" x14ac:dyDescent="0.25">
      <c r="A225" s="2">
        <v>45254</v>
      </c>
      <c r="B225" t="s">
        <v>10</v>
      </c>
      <c r="C225" t="s">
        <v>55</v>
      </c>
      <c r="D225" t="s">
        <v>66</v>
      </c>
      <c r="E225" t="s">
        <v>41</v>
      </c>
      <c r="F225" t="s">
        <v>32</v>
      </c>
      <c r="G225" t="s">
        <v>33</v>
      </c>
      <c r="H225">
        <v>16</v>
      </c>
      <c r="I225" s="1">
        <v>1870.47</v>
      </c>
      <c r="J225" s="1">
        <f t="shared" si="23"/>
        <v>26934.768</v>
      </c>
      <c r="K225" s="1">
        <f t="shared" si="24"/>
        <v>2992.7520000000004</v>
      </c>
      <c r="L225" s="1">
        <v>29927.52</v>
      </c>
      <c r="M225" s="1">
        <f t="shared" si="25"/>
        <v>5386.9535999999998</v>
      </c>
      <c r="N225" s="1">
        <f t="shared" si="26"/>
        <v>35314.473599999998</v>
      </c>
      <c r="S225" t="str">
        <f t="shared" si="21"/>
        <v>Khyber Pakhtunkhwa</v>
      </c>
      <c r="W225" t="str">
        <f t="shared" si="22"/>
        <v>North</v>
      </c>
      <c r="AB225" t="str">
        <f t="shared" si="27"/>
        <v>Khyber Pakhtunkhwa</v>
      </c>
    </row>
    <row r="226" spans="1:28" x14ac:dyDescent="0.25">
      <c r="A226" s="2">
        <v>45015</v>
      </c>
      <c r="B226" t="s">
        <v>34</v>
      </c>
      <c r="C226" t="s">
        <v>26</v>
      </c>
      <c r="D226" t="s">
        <v>12</v>
      </c>
      <c r="E226" t="s">
        <v>18</v>
      </c>
      <c r="F226" t="s">
        <v>27</v>
      </c>
      <c r="G226" t="s">
        <v>44</v>
      </c>
      <c r="H226">
        <v>18</v>
      </c>
      <c r="I226" s="1">
        <v>835.8</v>
      </c>
      <c r="J226" s="1">
        <f t="shared" si="23"/>
        <v>13539.96</v>
      </c>
      <c r="K226" s="1">
        <f t="shared" si="24"/>
        <v>1504.44</v>
      </c>
      <c r="L226" s="1">
        <v>15044.4</v>
      </c>
      <c r="M226" s="1">
        <f t="shared" si="25"/>
        <v>2707.9919999999997</v>
      </c>
      <c r="N226" s="1">
        <f t="shared" si="26"/>
        <v>17752.392</v>
      </c>
      <c r="S226" t="str">
        <f t="shared" si="21"/>
        <v>Sindh</v>
      </c>
      <c r="W226" t="str">
        <f t="shared" si="22"/>
        <v>South</v>
      </c>
      <c r="AB226" t="str">
        <f t="shared" si="27"/>
        <v>PK-SD</v>
      </c>
    </row>
    <row r="227" spans="1:28" x14ac:dyDescent="0.25">
      <c r="A227" s="2">
        <v>45110</v>
      </c>
      <c r="B227" t="s">
        <v>43</v>
      </c>
      <c r="C227" t="s">
        <v>11</v>
      </c>
      <c r="D227" t="s">
        <v>22</v>
      </c>
      <c r="E227" t="s">
        <v>13</v>
      </c>
      <c r="F227" t="s">
        <v>19</v>
      </c>
      <c r="G227" t="s">
        <v>48</v>
      </c>
      <c r="H227">
        <v>18</v>
      </c>
      <c r="I227" s="1">
        <v>4850.91</v>
      </c>
      <c r="J227" s="1">
        <f t="shared" si="23"/>
        <v>78584.742000000013</v>
      </c>
      <c r="K227" s="1">
        <f t="shared" si="24"/>
        <v>8731.6380000000008</v>
      </c>
      <c r="L227" s="1">
        <v>87316.38</v>
      </c>
      <c r="M227" s="1">
        <f t="shared" si="25"/>
        <v>15716.948400000001</v>
      </c>
      <c r="N227" s="1">
        <f t="shared" si="26"/>
        <v>103033.3284</v>
      </c>
      <c r="S227" t="str">
        <f t="shared" si="21"/>
        <v>Balochistan</v>
      </c>
      <c r="W227" t="str">
        <f t="shared" si="22"/>
        <v>West</v>
      </c>
      <c r="AB227" t="str">
        <f t="shared" si="27"/>
        <v>PK-BA</v>
      </c>
    </row>
    <row r="228" spans="1:28" x14ac:dyDescent="0.25">
      <c r="A228" s="2">
        <v>45037</v>
      </c>
      <c r="B228" t="s">
        <v>21</v>
      </c>
      <c r="C228" t="s">
        <v>59</v>
      </c>
      <c r="D228" t="s">
        <v>66</v>
      </c>
      <c r="E228" t="s">
        <v>41</v>
      </c>
      <c r="F228" t="s">
        <v>14</v>
      </c>
      <c r="G228" t="s">
        <v>15</v>
      </c>
      <c r="H228">
        <v>10</v>
      </c>
      <c r="I228" s="1">
        <v>2200.91</v>
      </c>
      <c r="J228" s="1">
        <f t="shared" si="23"/>
        <v>19808.189999999999</v>
      </c>
      <c r="K228" s="1">
        <f t="shared" si="24"/>
        <v>2200.91</v>
      </c>
      <c r="L228" s="1">
        <v>22009.1</v>
      </c>
      <c r="M228" s="1">
        <f t="shared" si="25"/>
        <v>3961.6379999999995</v>
      </c>
      <c r="N228" s="1">
        <f t="shared" si="26"/>
        <v>25970.737999999998</v>
      </c>
      <c r="S228" t="str">
        <f t="shared" si="21"/>
        <v>Khyber Pakhtunkhwa</v>
      </c>
      <c r="W228" t="str">
        <f t="shared" si="22"/>
        <v>North</v>
      </c>
      <c r="AB228" t="str">
        <f t="shared" si="27"/>
        <v>Khyber Pakhtunkhwa</v>
      </c>
    </row>
    <row r="229" spans="1:28" x14ac:dyDescent="0.25">
      <c r="A229" s="2">
        <v>45270</v>
      </c>
      <c r="B229" t="s">
        <v>40</v>
      </c>
      <c r="C229" t="s">
        <v>57</v>
      </c>
      <c r="D229" t="s">
        <v>22</v>
      </c>
      <c r="E229" t="s">
        <v>13</v>
      </c>
      <c r="F229" t="s">
        <v>32</v>
      </c>
      <c r="G229" t="s">
        <v>33</v>
      </c>
      <c r="H229">
        <v>9</v>
      </c>
      <c r="I229" s="1">
        <v>1694.83</v>
      </c>
      <c r="J229" s="1">
        <f t="shared" si="23"/>
        <v>13728.123</v>
      </c>
      <c r="K229" s="1">
        <f t="shared" si="24"/>
        <v>1525.347</v>
      </c>
      <c r="L229" s="1">
        <v>15253.47</v>
      </c>
      <c r="M229" s="1">
        <f t="shared" si="25"/>
        <v>2745.6245999999996</v>
      </c>
      <c r="N229" s="1">
        <f t="shared" si="26"/>
        <v>17999.0946</v>
      </c>
      <c r="S229" t="str">
        <f t="shared" si="21"/>
        <v>Balochistan</v>
      </c>
      <c r="W229" t="str">
        <f t="shared" si="22"/>
        <v>West</v>
      </c>
      <c r="AB229" t="str">
        <f t="shared" si="27"/>
        <v>PK-BA</v>
      </c>
    </row>
    <row r="230" spans="1:28" x14ac:dyDescent="0.25">
      <c r="A230" s="2">
        <v>44963</v>
      </c>
      <c r="B230" t="s">
        <v>43</v>
      </c>
      <c r="C230" t="s">
        <v>17</v>
      </c>
      <c r="D230" t="s">
        <v>65</v>
      </c>
      <c r="E230" t="s">
        <v>64</v>
      </c>
      <c r="F230" t="s">
        <v>14</v>
      </c>
      <c r="G230" t="s">
        <v>51</v>
      </c>
      <c r="H230">
        <v>10</v>
      </c>
      <c r="I230" s="1">
        <v>1229.56</v>
      </c>
      <c r="J230" s="1">
        <f t="shared" si="23"/>
        <v>11066.04</v>
      </c>
      <c r="K230" s="1">
        <f t="shared" si="24"/>
        <v>1229.5600000000002</v>
      </c>
      <c r="L230" s="1">
        <v>12295.6</v>
      </c>
      <c r="M230" s="1">
        <f t="shared" si="25"/>
        <v>2213.2080000000001</v>
      </c>
      <c r="N230" s="1">
        <f t="shared" si="26"/>
        <v>14508.808000000001</v>
      </c>
      <c r="S230" t="str">
        <f t="shared" si="21"/>
        <v>Punjab</v>
      </c>
      <c r="W230" t="str">
        <f t="shared" si="22"/>
        <v>East</v>
      </c>
      <c r="AB230" t="str">
        <f t="shared" si="27"/>
        <v>PK-PB</v>
      </c>
    </row>
    <row r="231" spans="1:28" x14ac:dyDescent="0.25">
      <c r="A231" s="2">
        <v>44952</v>
      </c>
      <c r="B231" t="s">
        <v>43</v>
      </c>
      <c r="C231" t="s">
        <v>60</v>
      </c>
      <c r="D231" t="s">
        <v>12</v>
      </c>
      <c r="E231" t="s">
        <v>18</v>
      </c>
      <c r="F231" t="s">
        <v>27</v>
      </c>
      <c r="G231" t="s">
        <v>28</v>
      </c>
      <c r="H231">
        <v>14</v>
      </c>
      <c r="I231" s="1">
        <v>705.15</v>
      </c>
      <c r="J231" s="1">
        <f t="shared" si="23"/>
        <v>8884.8900000000012</v>
      </c>
      <c r="K231" s="1">
        <f t="shared" si="24"/>
        <v>987.21</v>
      </c>
      <c r="L231" s="1">
        <v>9872.1</v>
      </c>
      <c r="M231" s="1">
        <f t="shared" si="25"/>
        <v>1776.9780000000001</v>
      </c>
      <c r="N231" s="1">
        <f t="shared" si="26"/>
        <v>11649.078000000001</v>
      </c>
      <c r="S231" t="str">
        <f t="shared" si="21"/>
        <v>Sindh</v>
      </c>
      <c r="W231" t="str">
        <f t="shared" si="22"/>
        <v>South</v>
      </c>
      <c r="AB231" t="str">
        <f t="shared" si="27"/>
        <v>PK-SD</v>
      </c>
    </row>
    <row r="232" spans="1:28" x14ac:dyDescent="0.25">
      <c r="A232" s="2">
        <v>45068</v>
      </c>
      <c r="B232" t="s">
        <v>38</v>
      </c>
      <c r="C232" t="s">
        <v>61</v>
      </c>
      <c r="D232" t="s">
        <v>65</v>
      </c>
      <c r="E232" t="s">
        <v>64</v>
      </c>
      <c r="F232" t="s">
        <v>23</v>
      </c>
      <c r="G232" t="s">
        <v>37</v>
      </c>
      <c r="H232">
        <v>19</v>
      </c>
      <c r="I232" s="1">
        <v>3485.85</v>
      </c>
      <c r="J232" s="1">
        <f t="shared" si="23"/>
        <v>59608.034999999996</v>
      </c>
      <c r="K232" s="1">
        <f t="shared" si="24"/>
        <v>6623.1149999999998</v>
      </c>
      <c r="L232" s="1">
        <v>66231.149999999994</v>
      </c>
      <c r="M232" s="1">
        <f t="shared" si="25"/>
        <v>11921.606999999998</v>
      </c>
      <c r="N232" s="1">
        <f t="shared" si="26"/>
        <v>78152.756999999998</v>
      </c>
      <c r="S232" t="str">
        <f t="shared" si="21"/>
        <v>Punjab</v>
      </c>
      <c r="W232" t="str">
        <f t="shared" si="22"/>
        <v>East</v>
      </c>
      <c r="AB232" t="str">
        <f t="shared" si="27"/>
        <v>PK-PB</v>
      </c>
    </row>
    <row r="233" spans="1:28" x14ac:dyDescent="0.25">
      <c r="A233" s="2">
        <v>44977</v>
      </c>
      <c r="B233" t="s">
        <v>16</v>
      </c>
      <c r="C233" t="s">
        <v>58</v>
      </c>
      <c r="D233" t="s">
        <v>12</v>
      </c>
      <c r="E233" t="s">
        <v>18</v>
      </c>
      <c r="F233" t="s">
        <v>32</v>
      </c>
      <c r="G233" t="s">
        <v>33</v>
      </c>
      <c r="H233">
        <v>10</v>
      </c>
      <c r="I233" s="1">
        <v>3633.26</v>
      </c>
      <c r="J233" s="1">
        <f t="shared" si="23"/>
        <v>32699.34</v>
      </c>
      <c r="K233" s="1">
        <f t="shared" si="24"/>
        <v>3633.26</v>
      </c>
      <c r="L233" s="1">
        <v>36332.6</v>
      </c>
      <c r="M233" s="1">
        <f t="shared" si="25"/>
        <v>6539.8679999999995</v>
      </c>
      <c r="N233" s="1">
        <f t="shared" si="26"/>
        <v>42872.468000000001</v>
      </c>
      <c r="S233" t="str">
        <f t="shared" si="21"/>
        <v>Sindh</v>
      </c>
      <c r="W233" t="str">
        <f t="shared" si="22"/>
        <v>South</v>
      </c>
      <c r="AB233" t="str">
        <f t="shared" si="27"/>
        <v>PK-SD</v>
      </c>
    </row>
    <row r="234" spans="1:28" x14ac:dyDescent="0.25">
      <c r="A234" s="2">
        <v>45179</v>
      </c>
      <c r="B234" t="s">
        <v>38</v>
      </c>
      <c r="C234" t="s">
        <v>11</v>
      </c>
      <c r="D234" t="s">
        <v>22</v>
      </c>
      <c r="E234" t="s">
        <v>13</v>
      </c>
      <c r="F234" t="s">
        <v>27</v>
      </c>
      <c r="G234" t="s">
        <v>46</v>
      </c>
      <c r="H234">
        <v>14</v>
      </c>
      <c r="I234" s="1">
        <v>1245.9000000000001</v>
      </c>
      <c r="J234" s="1">
        <f t="shared" si="23"/>
        <v>15698.339999999998</v>
      </c>
      <c r="K234" s="1">
        <f t="shared" si="24"/>
        <v>1744.26</v>
      </c>
      <c r="L234" s="1">
        <v>17442.599999999999</v>
      </c>
      <c r="M234" s="1">
        <f t="shared" si="25"/>
        <v>3139.6679999999997</v>
      </c>
      <c r="N234" s="1">
        <f t="shared" si="26"/>
        <v>20582.267999999996</v>
      </c>
      <c r="S234" t="str">
        <f t="shared" si="21"/>
        <v>Balochistan</v>
      </c>
      <c r="W234" t="str">
        <f t="shared" si="22"/>
        <v>West</v>
      </c>
      <c r="AB234" t="str">
        <f t="shared" si="27"/>
        <v>PK-BA</v>
      </c>
    </row>
    <row r="235" spans="1:28" x14ac:dyDescent="0.25">
      <c r="A235" s="2">
        <v>45257</v>
      </c>
      <c r="B235" t="s">
        <v>25</v>
      </c>
      <c r="C235" t="s">
        <v>58</v>
      </c>
      <c r="D235" t="s">
        <v>12</v>
      </c>
      <c r="E235" t="s">
        <v>18</v>
      </c>
      <c r="F235" t="s">
        <v>14</v>
      </c>
      <c r="G235" t="s">
        <v>15</v>
      </c>
      <c r="H235">
        <v>4</v>
      </c>
      <c r="I235" s="1">
        <v>4553.5200000000004</v>
      </c>
      <c r="J235" s="1">
        <f t="shared" si="23"/>
        <v>16392.672000000002</v>
      </c>
      <c r="K235" s="1">
        <f t="shared" si="24"/>
        <v>1821.4080000000004</v>
      </c>
      <c r="L235" s="1">
        <v>18214.080000000002</v>
      </c>
      <c r="M235" s="1">
        <f t="shared" si="25"/>
        <v>3278.5344</v>
      </c>
      <c r="N235" s="1">
        <f t="shared" si="26"/>
        <v>21492.614400000002</v>
      </c>
      <c r="S235" t="str">
        <f t="shared" si="21"/>
        <v>Sindh</v>
      </c>
      <c r="W235" t="str">
        <f t="shared" si="22"/>
        <v>South</v>
      </c>
      <c r="AB235" t="str">
        <f t="shared" si="27"/>
        <v>PK-SD</v>
      </c>
    </row>
    <row r="236" spans="1:28" x14ac:dyDescent="0.25">
      <c r="A236" s="2">
        <v>45146</v>
      </c>
      <c r="B236" t="s">
        <v>16</v>
      </c>
      <c r="C236" t="s">
        <v>59</v>
      </c>
      <c r="D236" t="s">
        <v>66</v>
      </c>
      <c r="E236" t="s">
        <v>41</v>
      </c>
      <c r="F236" t="s">
        <v>14</v>
      </c>
      <c r="G236" t="s">
        <v>45</v>
      </c>
      <c r="H236">
        <v>3</v>
      </c>
      <c r="I236" s="1">
        <v>1417.18</v>
      </c>
      <c r="J236" s="1">
        <f t="shared" si="23"/>
        <v>3826.386</v>
      </c>
      <c r="K236" s="1">
        <f t="shared" si="24"/>
        <v>425.154</v>
      </c>
      <c r="L236" s="1">
        <v>4251.54</v>
      </c>
      <c r="M236" s="1">
        <f t="shared" si="25"/>
        <v>765.27719999999999</v>
      </c>
      <c r="N236" s="1">
        <f t="shared" si="26"/>
        <v>5016.8171999999995</v>
      </c>
      <c r="S236" t="str">
        <f t="shared" si="21"/>
        <v>Khyber Pakhtunkhwa</v>
      </c>
      <c r="W236" t="str">
        <f t="shared" si="22"/>
        <v>North</v>
      </c>
      <c r="AB236" t="str">
        <f t="shared" si="27"/>
        <v>Khyber Pakhtunkhwa</v>
      </c>
    </row>
    <row r="237" spans="1:28" x14ac:dyDescent="0.25">
      <c r="A237" s="2">
        <v>45069</v>
      </c>
      <c r="B237" t="s">
        <v>31</v>
      </c>
      <c r="C237" t="s">
        <v>11</v>
      </c>
      <c r="D237" t="s">
        <v>22</v>
      </c>
      <c r="E237" t="s">
        <v>13</v>
      </c>
      <c r="F237" t="s">
        <v>32</v>
      </c>
      <c r="G237" t="s">
        <v>50</v>
      </c>
      <c r="H237">
        <v>7</v>
      </c>
      <c r="I237" s="1">
        <v>1249.3599999999999</v>
      </c>
      <c r="J237" s="1">
        <f t="shared" si="23"/>
        <v>7870.9680000000008</v>
      </c>
      <c r="K237" s="1">
        <f t="shared" si="24"/>
        <v>874.55200000000013</v>
      </c>
      <c r="L237" s="1">
        <v>8745.52</v>
      </c>
      <c r="M237" s="1">
        <f t="shared" si="25"/>
        <v>1574.1936000000001</v>
      </c>
      <c r="N237" s="1">
        <f t="shared" si="26"/>
        <v>10319.713600000001</v>
      </c>
      <c r="S237" t="str">
        <f t="shared" si="21"/>
        <v>Balochistan</v>
      </c>
      <c r="W237" t="str">
        <f t="shared" si="22"/>
        <v>West</v>
      </c>
      <c r="AB237" t="str">
        <f t="shared" si="27"/>
        <v>PK-BA</v>
      </c>
    </row>
    <row r="238" spans="1:28" x14ac:dyDescent="0.25">
      <c r="A238" s="2">
        <v>45098</v>
      </c>
      <c r="B238" t="s">
        <v>29</v>
      </c>
      <c r="C238" t="s">
        <v>17</v>
      </c>
      <c r="D238" t="s">
        <v>65</v>
      </c>
      <c r="E238" t="s">
        <v>64</v>
      </c>
      <c r="F238" t="s">
        <v>23</v>
      </c>
      <c r="G238" t="s">
        <v>47</v>
      </c>
      <c r="H238">
        <v>7</v>
      </c>
      <c r="I238" s="1">
        <v>3911.96</v>
      </c>
      <c r="J238" s="1">
        <f t="shared" si="23"/>
        <v>24645.348000000002</v>
      </c>
      <c r="K238" s="1">
        <f t="shared" si="24"/>
        <v>2738.3720000000003</v>
      </c>
      <c r="L238" s="1">
        <v>27383.72</v>
      </c>
      <c r="M238" s="1">
        <f t="shared" si="25"/>
        <v>4929.0695999999998</v>
      </c>
      <c r="N238" s="1">
        <f t="shared" si="26"/>
        <v>32312.7896</v>
      </c>
      <c r="S238" t="str">
        <f t="shared" si="21"/>
        <v>Punjab</v>
      </c>
      <c r="W238" t="str">
        <f t="shared" si="22"/>
        <v>East</v>
      </c>
      <c r="AB238" t="str">
        <f t="shared" si="27"/>
        <v>PK-PB</v>
      </c>
    </row>
    <row r="239" spans="1:28" x14ac:dyDescent="0.25">
      <c r="A239" s="2">
        <v>45043</v>
      </c>
      <c r="B239" t="s">
        <v>25</v>
      </c>
      <c r="C239" t="s">
        <v>57</v>
      </c>
      <c r="D239" t="s">
        <v>22</v>
      </c>
      <c r="E239" t="s">
        <v>13</v>
      </c>
      <c r="F239" t="s">
        <v>23</v>
      </c>
      <c r="G239" t="s">
        <v>37</v>
      </c>
      <c r="H239">
        <v>4</v>
      </c>
      <c r="I239" s="1">
        <v>3087.87</v>
      </c>
      <c r="J239" s="1">
        <f t="shared" si="23"/>
        <v>11116.332</v>
      </c>
      <c r="K239" s="1">
        <f t="shared" si="24"/>
        <v>1235.1480000000001</v>
      </c>
      <c r="L239" s="1">
        <v>12351.48</v>
      </c>
      <c r="M239" s="1">
        <f t="shared" si="25"/>
        <v>2223.2664</v>
      </c>
      <c r="N239" s="1">
        <f t="shared" si="26"/>
        <v>14574.7464</v>
      </c>
      <c r="S239" t="str">
        <f t="shared" si="21"/>
        <v>Balochistan</v>
      </c>
      <c r="W239" t="str">
        <f t="shared" si="22"/>
        <v>West</v>
      </c>
      <c r="AB239" t="str">
        <f t="shared" si="27"/>
        <v>PK-BA</v>
      </c>
    </row>
    <row r="240" spans="1:28" x14ac:dyDescent="0.25">
      <c r="A240" s="2">
        <v>45241</v>
      </c>
      <c r="B240" t="s">
        <v>25</v>
      </c>
      <c r="C240" t="s">
        <v>11</v>
      </c>
      <c r="D240" t="s">
        <v>22</v>
      </c>
      <c r="E240" t="s">
        <v>13</v>
      </c>
      <c r="F240" t="s">
        <v>32</v>
      </c>
      <c r="G240" t="s">
        <v>50</v>
      </c>
      <c r="H240">
        <v>16</v>
      </c>
      <c r="I240" s="1">
        <v>628.15</v>
      </c>
      <c r="J240" s="1">
        <f t="shared" si="23"/>
        <v>9045.36</v>
      </c>
      <c r="K240" s="1">
        <f t="shared" si="24"/>
        <v>1005.04</v>
      </c>
      <c r="L240" s="1">
        <v>10050.4</v>
      </c>
      <c r="M240" s="1">
        <f t="shared" si="25"/>
        <v>1809.0719999999999</v>
      </c>
      <c r="N240" s="1">
        <f t="shared" si="26"/>
        <v>11859.472</v>
      </c>
      <c r="S240" t="str">
        <f t="shared" si="21"/>
        <v>Balochistan</v>
      </c>
      <c r="W240" t="str">
        <f t="shared" si="22"/>
        <v>West</v>
      </c>
      <c r="AB240" t="str">
        <f t="shared" si="27"/>
        <v>PK-BA</v>
      </c>
    </row>
    <row r="241" spans="1:28" x14ac:dyDescent="0.25">
      <c r="A241" s="2">
        <v>45137</v>
      </c>
      <c r="B241" t="s">
        <v>31</v>
      </c>
      <c r="C241" t="s">
        <v>54</v>
      </c>
      <c r="D241" t="s">
        <v>12</v>
      </c>
      <c r="E241" t="s">
        <v>18</v>
      </c>
      <c r="F241" t="s">
        <v>27</v>
      </c>
      <c r="G241" t="s">
        <v>46</v>
      </c>
      <c r="H241">
        <v>15</v>
      </c>
      <c r="I241" s="1">
        <v>3100.61</v>
      </c>
      <c r="J241" s="1">
        <f t="shared" si="23"/>
        <v>41858.235000000001</v>
      </c>
      <c r="K241" s="1">
        <f t="shared" si="24"/>
        <v>4650.915</v>
      </c>
      <c r="L241" s="1">
        <v>46509.15</v>
      </c>
      <c r="M241" s="1">
        <f t="shared" si="25"/>
        <v>8371.6470000000008</v>
      </c>
      <c r="N241" s="1">
        <f t="shared" si="26"/>
        <v>54880.797000000006</v>
      </c>
      <c r="S241" t="str">
        <f t="shared" si="21"/>
        <v>Sindh</v>
      </c>
      <c r="W241" t="str">
        <f t="shared" si="22"/>
        <v>South</v>
      </c>
      <c r="AB241" t="str">
        <f t="shared" si="27"/>
        <v>PK-SD</v>
      </c>
    </row>
    <row r="242" spans="1:28" x14ac:dyDescent="0.25">
      <c r="A242" s="2">
        <v>45064</v>
      </c>
      <c r="B242" t="s">
        <v>16</v>
      </c>
      <c r="C242" t="s">
        <v>57</v>
      </c>
      <c r="D242" t="s">
        <v>22</v>
      </c>
      <c r="E242" t="s">
        <v>13</v>
      </c>
      <c r="F242" t="s">
        <v>23</v>
      </c>
      <c r="G242" t="s">
        <v>37</v>
      </c>
      <c r="H242">
        <v>10</v>
      </c>
      <c r="I242" s="1">
        <v>4017.66</v>
      </c>
      <c r="J242" s="1">
        <f t="shared" si="23"/>
        <v>36158.94</v>
      </c>
      <c r="K242" s="1">
        <f t="shared" si="24"/>
        <v>4017.66</v>
      </c>
      <c r="L242" s="1">
        <v>40176.6</v>
      </c>
      <c r="M242" s="1">
        <f t="shared" si="25"/>
        <v>7231.7879999999996</v>
      </c>
      <c r="N242" s="1">
        <f t="shared" si="26"/>
        <v>47408.387999999999</v>
      </c>
      <c r="S242" t="str">
        <f t="shared" si="21"/>
        <v>Balochistan</v>
      </c>
      <c r="W242" t="str">
        <f t="shared" si="22"/>
        <v>West</v>
      </c>
      <c r="AB242" t="str">
        <f t="shared" si="27"/>
        <v>PK-BA</v>
      </c>
    </row>
    <row r="243" spans="1:28" x14ac:dyDescent="0.25">
      <c r="A243" s="2">
        <v>45152</v>
      </c>
      <c r="B243" t="s">
        <v>16</v>
      </c>
      <c r="C243" t="s">
        <v>62</v>
      </c>
      <c r="D243" t="s">
        <v>65</v>
      </c>
      <c r="E243" t="s">
        <v>64</v>
      </c>
      <c r="F243" t="s">
        <v>14</v>
      </c>
      <c r="G243" t="s">
        <v>45</v>
      </c>
      <c r="H243">
        <v>3</v>
      </c>
      <c r="I243" s="1">
        <v>3389.2</v>
      </c>
      <c r="J243" s="1">
        <f t="shared" si="23"/>
        <v>9150.84</v>
      </c>
      <c r="K243" s="1">
        <f t="shared" si="24"/>
        <v>1016.7600000000001</v>
      </c>
      <c r="L243" s="1">
        <v>10167.6</v>
      </c>
      <c r="M243" s="1">
        <f t="shared" si="25"/>
        <v>1830.1679999999999</v>
      </c>
      <c r="N243" s="1">
        <f t="shared" si="26"/>
        <v>11997.768</v>
      </c>
      <c r="S243" t="str">
        <f t="shared" si="21"/>
        <v>Punjab</v>
      </c>
      <c r="W243" t="str">
        <f t="shared" si="22"/>
        <v>East</v>
      </c>
      <c r="AB243" t="str">
        <f t="shared" si="27"/>
        <v>PK-PB</v>
      </c>
    </row>
    <row r="244" spans="1:28" x14ac:dyDescent="0.25">
      <c r="A244" s="2">
        <v>45072</v>
      </c>
      <c r="B244" t="s">
        <v>21</v>
      </c>
      <c r="C244" t="s">
        <v>11</v>
      </c>
      <c r="D244" t="s">
        <v>22</v>
      </c>
      <c r="E244" t="s">
        <v>13</v>
      </c>
      <c r="F244" t="s">
        <v>27</v>
      </c>
      <c r="G244" t="s">
        <v>28</v>
      </c>
      <c r="H244">
        <v>20</v>
      </c>
      <c r="I244" s="1">
        <v>2441.83</v>
      </c>
      <c r="J244" s="1">
        <f t="shared" si="23"/>
        <v>43952.94</v>
      </c>
      <c r="K244" s="1">
        <f t="shared" si="24"/>
        <v>4883.66</v>
      </c>
      <c r="L244" s="1">
        <v>48836.6</v>
      </c>
      <c r="M244" s="1">
        <f t="shared" si="25"/>
        <v>8790.5879999999997</v>
      </c>
      <c r="N244" s="1">
        <f t="shared" si="26"/>
        <v>57627.187999999995</v>
      </c>
      <c r="S244" t="str">
        <f t="shared" si="21"/>
        <v>Balochistan</v>
      </c>
      <c r="W244" t="str">
        <f t="shared" si="22"/>
        <v>West</v>
      </c>
      <c r="AB244" t="str">
        <f t="shared" si="27"/>
        <v>PK-BA</v>
      </c>
    </row>
    <row r="245" spans="1:28" x14ac:dyDescent="0.25">
      <c r="A245" s="2">
        <v>45269</v>
      </c>
      <c r="B245" t="s">
        <v>16</v>
      </c>
      <c r="C245" t="s">
        <v>26</v>
      </c>
      <c r="D245" t="s">
        <v>12</v>
      </c>
      <c r="E245" t="s">
        <v>18</v>
      </c>
      <c r="F245" t="s">
        <v>14</v>
      </c>
      <c r="G245" t="s">
        <v>51</v>
      </c>
      <c r="H245">
        <v>17</v>
      </c>
      <c r="I245" s="1">
        <v>2655.98</v>
      </c>
      <c r="J245" s="1">
        <f t="shared" si="23"/>
        <v>40636.494000000006</v>
      </c>
      <c r="K245" s="1">
        <f t="shared" si="24"/>
        <v>4515.1660000000002</v>
      </c>
      <c r="L245" s="1">
        <v>45151.66</v>
      </c>
      <c r="M245" s="1">
        <f t="shared" si="25"/>
        <v>8127.2988000000005</v>
      </c>
      <c r="N245" s="1">
        <f t="shared" si="26"/>
        <v>53278.958800000008</v>
      </c>
      <c r="S245" t="str">
        <f t="shared" si="21"/>
        <v>Sindh</v>
      </c>
      <c r="W245" t="str">
        <f t="shared" si="22"/>
        <v>South</v>
      </c>
      <c r="AB245" t="str">
        <f t="shared" si="27"/>
        <v>PK-SD</v>
      </c>
    </row>
    <row r="246" spans="1:28" x14ac:dyDescent="0.25">
      <c r="A246" s="2">
        <v>44929</v>
      </c>
      <c r="B246" t="s">
        <v>16</v>
      </c>
      <c r="C246" t="s">
        <v>57</v>
      </c>
      <c r="D246" t="s">
        <v>22</v>
      </c>
      <c r="E246" t="s">
        <v>13</v>
      </c>
      <c r="F246" t="s">
        <v>32</v>
      </c>
      <c r="G246" t="s">
        <v>50</v>
      </c>
      <c r="H246">
        <v>3</v>
      </c>
      <c r="I246" s="1">
        <v>4908.74</v>
      </c>
      <c r="J246" s="1">
        <f t="shared" si="23"/>
        <v>13253.598</v>
      </c>
      <c r="K246" s="1">
        <f t="shared" si="24"/>
        <v>1472.6220000000001</v>
      </c>
      <c r="L246" s="1">
        <v>14726.22</v>
      </c>
      <c r="M246" s="1">
        <f t="shared" si="25"/>
        <v>2650.7195999999999</v>
      </c>
      <c r="N246" s="1">
        <f t="shared" si="26"/>
        <v>17376.939599999998</v>
      </c>
      <c r="S246" t="str">
        <f t="shared" si="21"/>
        <v>Balochistan</v>
      </c>
      <c r="W246" t="str">
        <f t="shared" si="22"/>
        <v>West</v>
      </c>
      <c r="AB246" t="str">
        <f t="shared" si="27"/>
        <v>PK-BA</v>
      </c>
    </row>
    <row r="247" spans="1:28" x14ac:dyDescent="0.25">
      <c r="A247" s="2">
        <v>45192</v>
      </c>
      <c r="B247" t="s">
        <v>38</v>
      </c>
      <c r="C247" t="s">
        <v>61</v>
      </c>
      <c r="D247" t="s">
        <v>65</v>
      </c>
      <c r="E247" t="s">
        <v>64</v>
      </c>
      <c r="F247" t="s">
        <v>32</v>
      </c>
      <c r="G247" t="s">
        <v>50</v>
      </c>
      <c r="H247">
        <v>13</v>
      </c>
      <c r="I247" s="1">
        <v>4121.8</v>
      </c>
      <c r="J247" s="1">
        <f t="shared" si="23"/>
        <v>48225.060000000005</v>
      </c>
      <c r="K247" s="1">
        <f t="shared" si="24"/>
        <v>5358.34</v>
      </c>
      <c r="L247" s="1">
        <v>53583.4</v>
      </c>
      <c r="M247" s="1">
        <f t="shared" si="25"/>
        <v>9645.0120000000006</v>
      </c>
      <c r="N247" s="1">
        <f t="shared" si="26"/>
        <v>63228.412000000004</v>
      </c>
      <c r="S247" t="str">
        <f t="shared" si="21"/>
        <v>Punjab</v>
      </c>
      <c r="W247" t="str">
        <f t="shared" si="22"/>
        <v>East</v>
      </c>
      <c r="AB247" t="str">
        <f t="shared" si="27"/>
        <v>PK-PB</v>
      </c>
    </row>
    <row r="248" spans="1:28" x14ac:dyDescent="0.25">
      <c r="A248" s="2">
        <v>44991</v>
      </c>
      <c r="B248" t="s">
        <v>43</v>
      </c>
      <c r="C248" t="s">
        <v>11</v>
      </c>
      <c r="D248" t="s">
        <v>22</v>
      </c>
      <c r="E248" t="s">
        <v>13</v>
      </c>
      <c r="F248" t="s">
        <v>32</v>
      </c>
      <c r="G248" t="s">
        <v>50</v>
      </c>
      <c r="H248">
        <v>7</v>
      </c>
      <c r="I248" s="1">
        <v>2083.7800000000002</v>
      </c>
      <c r="J248" s="1">
        <f t="shared" si="23"/>
        <v>13127.814</v>
      </c>
      <c r="K248" s="1">
        <f t="shared" si="24"/>
        <v>1458.646</v>
      </c>
      <c r="L248" s="1">
        <v>14586.46</v>
      </c>
      <c r="M248" s="1">
        <f t="shared" si="25"/>
        <v>2625.5627999999997</v>
      </c>
      <c r="N248" s="1">
        <f t="shared" si="26"/>
        <v>17212.022799999999</v>
      </c>
      <c r="S248" t="str">
        <f t="shared" si="21"/>
        <v>Balochistan</v>
      </c>
      <c r="W248" t="str">
        <f t="shared" si="22"/>
        <v>West</v>
      </c>
      <c r="AB248" t="str">
        <f t="shared" si="27"/>
        <v>PK-BA</v>
      </c>
    </row>
    <row r="249" spans="1:28" x14ac:dyDescent="0.25">
      <c r="A249" s="2">
        <v>44967</v>
      </c>
      <c r="B249" t="s">
        <v>31</v>
      </c>
      <c r="C249" t="s">
        <v>59</v>
      </c>
      <c r="D249" t="s">
        <v>66</v>
      </c>
      <c r="E249" t="s">
        <v>41</v>
      </c>
      <c r="F249" t="s">
        <v>23</v>
      </c>
      <c r="G249" t="s">
        <v>47</v>
      </c>
      <c r="H249">
        <v>4</v>
      </c>
      <c r="I249" s="1">
        <v>697.88</v>
      </c>
      <c r="J249" s="1">
        <f t="shared" si="23"/>
        <v>2512.3679999999999</v>
      </c>
      <c r="K249" s="1">
        <f t="shared" si="24"/>
        <v>279.15199999999999</v>
      </c>
      <c r="L249" s="1">
        <v>2791.52</v>
      </c>
      <c r="M249" s="1">
        <f t="shared" si="25"/>
        <v>502.47359999999998</v>
      </c>
      <c r="N249" s="1">
        <f t="shared" si="26"/>
        <v>3293.9935999999998</v>
      </c>
      <c r="S249" t="str">
        <f t="shared" si="21"/>
        <v>Khyber Pakhtunkhwa</v>
      </c>
      <c r="W249" t="str">
        <f t="shared" si="22"/>
        <v>North</v>
      </c>
      <c r="AB249" t="str">
        <f t="shared" si="27"/>
        <v>Khyber Pakhtunkhwa</v>
      </c>
    </row>
    <row r="250" spans="1:28" x14ac:dyDescent="0.25">
      <c r="A250" s="2">
        <v>45017</v>
      </c>
      <c r="B250" t="s">
        <v>43</v>
      </c>
      <c r="C250" t="s">
        <v>58</v>
      </c>
      <c r="D250" t="s">
        <v>12</v>
      </c>
      <c r="E250" t="s">
        <v>18</v>
      </c>
      <c r="F250" t="s">
        <v>32</v>
      </c>
      <c r="G250" t="s">
        <v>49</v>
      </c>
      <c r="H250">
        <v>3</v>
      </c>
      <c r="I250" s="1">
        <v>3754.7</v>
      </c>
      <c r="J250" s="1">
        <f t="shared" si="23"/>
        <v>10137.69</v>
      </c>
      <c r="K250" s="1">
        <f t="shared" si="24"/>
        <v>1126.4100000000001</v>
      </c>
      <c r="L250" s="1">
        <v>11264.1</v>
      </c>
      <c r="M250" s="1">
        <f t="shared" si="25"/>
        <v>2027.538</v>
      </c>
      <c r="N250" s="1">
        <f t="shared" si="26"/>
        <v>13291.638000000001</v>
      </c>
      <c r="S250" t="str">
        <f t="shared" si="21"/>
        <v>Sindh</v>
      </c>
      <c r="W250" t="str">
        <f t="shared" si="22"/>
        <v>South</v>
      </c>
      <c r="AB250" t="str">
        <f t="shared" si="27"/>
        <v>PK-SD</v>
      </c>
    </row>
    <row r="251" spans="1:28" x14ac:dyDescent="0.25">
      <c r="A251" s="2">
        <v>45212</v>
      </c>
      <c r="B251" t="s">
        <v>21</v>
      </c>
      <c r="C251" t="s">
        <v>17</v>
      </c>
      <c r="D251" t="s">
        <v>65</v>
      </c>
      <c r="E251" t="s">
        <v>64</v>
      </c>
      <c r="F251" t="s">
        <v>14</v>
      </c>
      <c r="G251" t="s">
        <v>53</v>
      </c>
      <c r="H251">
        <v>20</v>
      </c>
      <c r="I251" s="1">
        <v>2449.44</v>
      </c>
      <c r="J251" s="1">
        <f t="shared" si="23"/>
        <v>44089.920000000006</v>
      </c>
      <c r="K251" s="1">
        <f t="shared" si="24"/>
        <v>4898.88</v>
      </c>
      <c r="L251" s="1">
        <v>48988.800000000003</v>
      </c>
      <c r="M251" s="1">
        <f t="shared" si="25"/>
        <v>8817.9840000000004</v>
      </c>
      <c r="N251" s="1">
        <f t="shared" si="26"/>
        <v>57806.784</v>
      </c>
      <c r="S251" t="str">
        <f t="shared" si="21"/>
        <v>Punjab</v>
      </c>
      <c r="W251" t="str">
        <f t="shared" si="22"/>
        <v>East</v>
      </c>
      <c r="AB251" t="str">
        <f t="shared" si="27"/>
        <v>PK-PB</v>
      </c>
    </row>
    <row r="252" spans="1:28" x14ac:dyDescent="0.25">
      <c r="A252" s="2">
        <v>45109</v>
      </c>
      <c r="B252" t="s">
        <v>25</v>
      </c>
      <c r="C252" t="s">
        <v>56</v>
      </c>
      <c r="D252" t="s">
        <v>12</v>
      </c>
      <c r="E252" t="s">
        <v>18</v>
      </c>
      <c r="F252" t="s">
        <v>32</v>
      </c>
      <c r="G252" t="s">
        <v>36</v>
      </c>
      <c r="H252">
        <v>6</v>
      </c>
      <c r="I252" s="1">
        <v>2862.86</v>
      </c>
      <c r="J252" s="1">
        <f t="shared" si="23"/>
        <v>15459.444</v>
      </c>
      <c r="K252" s="1">
        <f t="shared" si="24"/>
        <v>1717.7160000000001</v>
      </c>
      <c r="L252" s="1">
        <v>17177.16</v>
      </c>
      <c r="M252" s="1">
        <f t="shared" si="25"/>
        <v>3091.8887999999997</v>
      </c>
      <c r="N252" s="1">
        <f t="shared" si="26"/>
        <v>20269.0488</v>
      </c>
      <c r="S252" t="str">
        <f t="shared" si="21"/>
        <v>Sindh</v>
      </c>
      <c r="W252" t="str">
        <f t="shared" si="22"/>
        <v>South</v>
      </c>
      <c r="AB252" t="str">
        <f t="shared" si="27"/>
        <v>PK-SD</v>
      </c>
    </row>
    <row r="253" spans="1:28" x14ac:dyDescent="0.25">
      <c r="A253" s="2">
        <v>45092</v>
      </c>
      <c r="B253" t="s">
        <v>34</v>
      </c>
      <c r="C253" t="s">
        <v>56</v>
      </c>
      <c r="D253" t="s">
        <v>12</v>
      </c>
      <c r="E253" t="s">
        <v>18</v>
      </c>
      <c r="F253" t="s">
        <v>19</v>
      </c>
      <c r="G253" t="s">
        <v>20</v>
      </c>
      <c r="H253">
        <v>4</v>
      </c>
      <c r="I253" s="1">
        <v>4795.3999999999996</v>
      </c>
      <c r="J253" s="1">
        <f t="shared" si="23"/>
        <v>17263.439999999999</v>
      </c>
      <c r="K253" s="1">
        <f t="shared" si="24"/>
        <v>1918.1599999999999</v>
      </c>
      <c r="L253" s="1">
        <v>19181.599999999999</v>
      </c>
      <c r="M253" s="1">
        <f t="shared" si="25"/>
        <v>3452.6879999999996</v>
      </c>
      <c r="N253" s="1">
        <f t="shared" si="26"/>
        <v>22634.287999999997</v>
      </c>
      <c r="S253" t="str">
        <f t="shared" si="21"/>
        <v>Sindh</v>
      </c>
      <c r="W253" t="str">
        <f t="shared" si="22"/>
        <v>South</v>
      </c>
      <c r="AB253" t="str">
        <f t="shared" si="27"/>
        <v>PK-SD</v>
      </c>
    </row>
    <row r="254" spans="1:28" x14ac:dyDescent="0.25">
      <c r="A254" s="2">
        <v>45242</v>
      </c>
      <c r="B254" t="s">
        <v>34</v>
      </c>
      <c r="C254" t="s">
        <v>58</v>
      </c>
      <c r="D254" t="s">
        <v>12</v>
      </c>
      <c r="E254" t="s">
        <v>18</v>
      </c>
      <c r="F254" t="s">
        <v>14</v>
      </c>
      <c r="G254" t="s">
        <v>51</v>
      </c>
      <c r="H254">
        <v>3</v>
      </c>
      <c r="I254" s="1">
        <v>672.84</v>
      </c>
      <c r="J254" s="1">
        <f t="shared" si="23"/>
        <v>1816.6680000000001</v>
      </c>
      <c r="K254" s="1">
        <f t="shared" si="24"/>
        <v>201.852</v>
      </c>
      <c r="L254" s="1">
        <v>2018.52</v>
      </c>
      <c r="M254" s="1">
        <f t="shared" si="25"/>
        <v>363.33359999999999</v>
      </c>
      <c r="N254" s="1">
        <f t="shared" si="26"/>
        <v>2381.8535999999999</v>
      </c>
      <c r="S254" t="str">
        <f t="shared" si="21"/>
        <v>Sindh</v>
      </c>
      <c r="W254" t="str">
        <f t="shared" si="22"/>
        <v>South</v>
      </c>
      <c r="AB254" t="str">
        <f t="shared" si="27"/>
        <v>PK-SD</v>
      </c>
    </row>
    <row r="255" spans="1:28" x14ac:dyDescent="0.25">
      <c r="A255" s="2">
        <v>45175</v>
      </c>
      <c r="B255" t="s">
        <v>43</v>
      </c>
      <c r="C255" t="s">
        <v>62</v>
      </c>
      <c r="D255" t="s">
        <v>65</v>
      </c>
      <c r="E255" t="s">
        <v>64</v>
      </c>
      <c r="F255" t="s">
        <v>14</v>
      </c>
      <c r="G255" t="s">
        <v>53</v>
      </c>
      <c r="H255">
        <v>5</v>
      </c>
      <c r="I255" s="1">
        <v>4423.53</v>
      </c>
      <c r="J255" s="1">
        <f t="shared" si="23"/>
        <v>19905.885000000002</v>
      </c>
      <c r="K255" s="1">
        <f t="shared" si="24"/>
        <v>2211.7650000000003</v>
      </c>
      <c r="L255" s="1">
        <v>22117.65</v>
      </c>
      <c r="M255" s="1">
        <f t="shared" si="25"/>
        <v>3981.1770000000001</v>
      </c>
      <c r="N255" s="1">
        <f t="shared" si="26"/>
        <v>26098.827000000001</v>
      </c>
      <c r="S255" t="str">
        <f t="shared" si="21"/>
        <v>Punjab</v>
      </c>
      <c r="W255" t="str">
        <f t="shared" si="22"/>
        <v>East</v>
      </c>
      <c r="AB255" t="str">
        <f t="shared" si="27"/>
        <v>PK-PB</v>
      </c>
    </row>
    <row r="256" spans="1:28" x14ac:dyDescent="0.25">
      <c r="A256" s="2">
        <v>45049</v>
      </c>
      <c r="B256" t="s">
        <v>34</v>
      </c>
      <c r="C256" t="s">
        <v>56</v>
      </c>
      <c r="D256" t="s">
        <v>12</v>
      </c>
      <c r="E256" t="s">
        <v>18</v>
      </c>
      <c r="F256" t="s">
        <v>14</v>
      </c>
      <c r="G256" t="s">
        <v>53</v>
      </c>
      <c r="H256">
        <v>13</v>
      </c>
      <c r="I256" s="1">
        <v>1330.85</v>
      </c>
      <c r="J256" s="1">
        <f t="shared" si="23"/>
        <v>15570.945</v>
      </c>
      <c r="K256" s="1">
        <f t="shared" si="24"/>
        <v>1730.105</v>
      </c>
      <c r="L256" s="1">
        <v>17301.05</v>
      </c>
      <c r="M256" s="1">
        <f t="shared" si="25"/>
        <v>3114.1889999999999</v>
      </c>
      <c r="N256" s="1">
        <f t="shared" si="26"/>
        <v>20415.238999999998</v>
      </c>
      <c r="S256" t="str">
        <f t="shared" si="21"/>
        <v>Sindh</v>
      </c>
      <c r="W256" t="str">
        <f t="shared" si="22"/>
        <v>South</v>
      </c>
      <c r="AB256" t="str">
        <f t="shared" si="27"/>
        <v>PK-SD</v>
      </c>
    </row>
    <row r="257" spans="1:28" x14ac:dyDescent="0.25">
      <c r="A257" s="2">
        <v>45168</v>
      </c>
      <c r="B257" t="s">
        <v>43</v>
      </c>
      <c r="C257" t="s">
        <v>11</v>
      </c>
      <c r="D257" t="s">
        <v>22</v>
      </c>
      <c r="E257" t="s">
        <v>13</v>
      </c>
      <c r="F257" t="s">
        <v>19</v>
      </c>
      <c r="G257" t="s">
        <v>48</v>
      </c>
      <c r="H257">
        <v>2</v>
      </c>
      <c r="I257" s="1">
        <v>1785.76</v>
      </c>
      <c r="J257" s="1">
        <f t="shared" si="23"/>
        <v>3214.3679999999999</v>
      </c>
      <c r="K257" s="1">
        <f t="shared" si="24"/>
        <v>357.15200000000004</v>
      </c>
      <c r="L257" s="1">
        <v>3571.52</v>
      </c>
      <c r="M257" s="1">
        <f t="shared" si="25"/>
        <v>642.87360000000001</v>
      </c>
      <c r="N257" s="1">
        <f t="shared" si="26"/>
        <v>4214.3936000000003</v>
      </c>
      <c r="S257" t="str">
        <f t="shared" si="21"/>
        <v>Balochistan</v>
      </c>
      <c r="W257" t="str">
        <f t="shared" si="22"/>
        <v>West</v>
      </c>
      <c r="AB257" t="str">
        <f t="shared" si="27"/>
        <v>PK-BA</v>
      </c>
    </row>
    <row r="258" spans="1:28" x14ac:dyDescent="0.25">
      <c r="A258" s="2">
        <v>44948</v>
      </c>
      <c r="B258" t="s">
        <v>21</v>
      </c>
      <c r="C258" t="s">
        <v>58</v>
      </c>
      <c r="D258" t="s">
        <v>12</v>
      </c>
      <c r="E258" t="s">
        <v>18</v>
      </c>
      <c r="F258" t="s">
        <v>14</v>
      </c>
      <c r="G258" t="s">
        <v>51</v>
      </c>
      <c r="H258">
        <v>10</v>
      </c>
      <c r="I258" s="1">
        <v>505.39</v>
      </c>
      <c r="J258" s="1">
        <f t="shared" si="23"/>
        <v>4548.51</v>
      </c>
      <c r="K258" s="1">
        <f t="shared" si="24"/>
        <v>505.39</v>
      </c>
      <c r="L258" s="1">
        <v>5053.8999999999996</v>
      </c>
      <c r="M258" s="1">
        <f t="shared" si="25"/>
        <v>909.70199999999988</v>
      </c>
      <c r="N258" s="1">
        <f t="shared" si="26"/>
        <v>5963.6019999999999</v>
      </c>
      <c r="S258" t="str">
        <f t="shared" ref="S258:S321" si="28">VLOOKUP(C258,$Q$2:$R$15,2,FALSE)</f>
        <v>Sindh</v>
      </c>
      <c r="W258" t="str">
        <f t="shared" ref="W258:W321" si="29">VLOOKUP(D258,$U$2:$V$5,2,FALSE)</f>
        <v>South</v>
      </c>
      <c r="AB258" t="str">
        <f t="shared" si="27"/>
        <v>PK-SD</v>
      </c>
    </row>
    <row r="259" spans="1:28" x14ac:dyDescent="0.25">
      <c r="A259" s="2">
        <v>45255</v>
      </c>
      <c r="B259" t="s">
        <v>29</v>
      </c>
      <c r="C259" t="s">
        <v>54</v>
      </c>
      <c r="D259" t="s">
        <v>12</v>
      </c>
      <c r="E259" t="s">
        <v>18</v>
      </c>
      <c r="F259" t="s">
        <v>32</v>
      </c>
      <c r="G259" t="s">
        <v>49</v>
      </c>
      <c r="H259">
        <v>1</v>
      </c>
      <c r="I259" s="1">
        <v>4966.8599999999997</v>
      </c>
      <c r="J259" s="1">
        <f t="shared" ref="J259:J322" si="30">L259*90%</f>
        <v>4470.174</v>
      </c>
      <c r="K259" s="1">
        <f t="shared" ref="K259:K322" si="31">L259*10%</f>
        <v>496.68599999999998</v>
      </c>
      <c r="L259" s="1">
        <v>4966.8599999999997</v>
      </c>
      <c r="M259" s="1">
        <f t="shared" ref="M259:M322" si="32">L259*18%</f>
        <v>894.0347999999999</v>
      </c>
      <c r="N259" s="1">
        <f t="shared" ref="N259:N322" si="33">L259+M259</f>
        <v>5860.8948</v>
      </c>
      <c r="S259" t="str">
        <f t="shared" si="28"/>
        <v>Sindh</v>
      </c>
      <c r="W259" t="str">
        <f t="shared" si="29"/>
        <v>South</v>
      </c>
      <c r="AB259" t="str">
        <f t="shared" ref="AB259:AB322" si="34">VLOOKUP(D259,$Z$2:$AA$5,2,FALSE)</f>
        <v>PK-SD</v>
      </c>
    </row>
    <row r="260" spans="1:28" x14ac:dyDescent="0.25">
      <c r="A260" s="2">
        <v>45182</v>
      </c>
      <c r="B260" t="s">
        <v>21</v>
      </c>
      <c r="C260" t="s">
        <v>63</v>
      </c>
      <c r="D260" t="s">
        <v>65</v>
      </c>
      <c r="E260" t="s">
        <v>64</v>
      </c>
      <c r="F260" t="s">
        <v>14</v>
      </c>
      <c r="G260" t="s">
        <v>45</v>
      </c>
      <c r="H260">
        <v>5</v>
      </c>
      <c r="I260" s="1">
        <v>4988.76</v>
      </c>
      <c r="J260" s="1">
        <f t="shared" si="30"/>
        <v>22449.42</v>
      </c>
      <c r="K260" s="1">
        <f t="shared" si="31"/>
        <v>2494.38</v>
      </c>
      <c r="L260" s="1">
        <v>24943.8</v>
      </c>
      <c r="M260" s="1">
        <f t="shared" si="32"/>
        <v>4489.884</v>
      </c>
      <c r="N260" s="1">
        <f t="shared" si="33"/>
        <v>29433.684000000001</v>
      </c>
      <c r="S260" t="str">
        <f t="shared" si="28"/>
        <v>Punjab</v>
      </c>
      <c r="W260" t="str">
        <f t="shared" si="29"/>
        <v>East</v>
      </c>
      <c r="AB260" t="str">
        <f t="shared" si="34"/>
        <v>PK-PB</v>
      </c>
    </row>
    <row r="261" spans="1:28" x14ac:dyDescent="0.25">
      <c r="A261" s="2">
        <v>45067</v>
      </c>
      <c r="B261" t="s">
        <v>31</v>
      </c>
      <c r="C261" t="s">
        <v>57</v>
      </c>
      <c r="D261" t="s">
        <v>22</v>
      </c>
      <c r="E261" t="s">
        <v>13</v>
      </c>
      <c r="F261" t="s">
        <v>32</v>
      </c>
      <c r="G261" t="s">
        <v>49</v>
      </c>
      <c r="H261">
        <v>18</v>
      </c>
      <c r="I261" s="1">
        <v>1745.63</v>
      </c>
      <c r="J261" s="1">
        <f t="shared" si="30"/>
        <v>28279.206000000002</v>
      </c>
      <c r="K261" s="1">
        <f t="shared" si="31"/>
        <v>3142.134</v>
      </c>
      <c r="L261" s="1">
        <v>31421.34</v>
      </c>
      <c r="M261" s="1">
        <f t="shared" si="32"/>
        <v>5655.8411999999998</v>
      </c>
      <c r="N261" s="1">
        <f t="shared" si="33"/>
        <v>37077.181199999999</v>
      </c>
      <c r="S261" t="str">
        <f t="shared" si="28"/>
        <v>Balochistan</v>
      </c>
      <c r="W261" t="str">
        <f t="shared" si="29"/>
        <v>West</v>
      </c>
      <c r="AB261" t="str">
        <f t="shared" si="34"/>
        <v>PK-BA</v>
      </c>
    </row>
    <row r="262" spans="1:28" x14ac:dyDescent="0.25">
      <c r="A262" s="2">
        <v>45274</v>
      </c>
      <c r="B262" t="s">
        <v>21</v>
      </c>
      <c r="C262" t="s">
        <v>26</v>
      </c>
      <c r="D262" t="s">
        <v>12</v>
      </c>
      <c r="E262" t="s">
        <v>18</v>
      </c>
      <c r="F262" t="s">
        <v>23</v>
      </c>
      <c r="G262" t="s">
        <v>47</v>
      </c>
      <c r="H262">
        <v>2</v>
      </c>
      <c r="I262" s="1">
        <v>3024.56</v>
      </c>
      <c r="J262" s="1">
        <f t="shared" si="30"/>
        <v>5444.2079999999996</v>
      </c>
      <c r="K262" s="1">
        <f t="shared" si="31"/>
        <v>604.91200000000003</v>
      </c>
      <c r="L262" s="1">
        <v>6049.12</v>
      </c>
      <c r="M262" s="1">
        <f t="shared" si="32"/>
        <v>1088.8416</v>
      </c>
      <c r="N262" s="1">
        <f t="shared" si="33"/>
        <v>7137.9615999999996</v>
      </c>
      <c r="S262" t="str">
        <f t="shared" si="28"/>
        <v>Sindh</v>
      </c>
      <c r="W262" t="str">
        <f t="shared" si="29"/>
        <v>South</v>
      </c>
      <c r="AB262" t="str">
        <f t="shared" si="34"/>
        <v>PK-SD</v>
      </c>
    </row>
    <row r="263" spans="1:28" x14ac:dyDescent="0.25">
      <c r="A263" s="2">
        <v>45083</v>
      </c>
      <c r="B263" t="s">
        <v>38</v>
      </c>
      <c r="C263" t="s">
        <v>17</v>
      </c>
      <c r="D263" t="s">
        <v>65</v>
      </c>
      <c r="E263" t="s">
        <v>64</v>
      </c>
      <c r="F263" t="s">
        <v>19</v>
      </c>
      <c r="G263" t="s">
        <v>30</v>
      </c>
      <c r="H263">
        <v>15</v>
      </c>
      <c r="I263" s="1">
        <v>4599.74</v>
      </c>
      <c r="J263" s="1">
        <f t="shared" si="30"/>
        <v>62096.490000000005</v>
      </c>
      <c r="K263" s="1">
        <f t="shared" si="31"/>
        <v>6899.6100000000006</v>
      </c>
      <c r="L263" s="1">
        <v>68996.100000000006</v>
      </c>
      <c r="M263" s="1">
        <f t="shared" si="32"/>
        <v>12419.298000000001</v>
      </c>
      <c r="N263" s="1">
        <f t="shared" si="33"/>
        <v>81415.398000000001</v>
      </c>
      <c r="S263" t="str">
        <f t="shared" si="28"/>
        <v>Punjab</v>
      </c>
      <c r="W263" t="str">
        <f t="shared" si="29"/>
        <v>East</v>
      </c>
      <c r="AB263" t="str">
        <f t="shared" si="34"/>
        <v>PK-PB</v>
      </c>
    </row>
    <row r="264" spans="1:28" x14ac:dyDescent="0.25">
      <c r="A264" s="2">
        <v>45286</v>
      </c>
      <c r="B264" t="s">
        <v>21</v>
      </c>
      <c r="C264" t="s">
        <v>58</v>
      </c>
      <c r="D264" t="s">
        <v>12</v>
      </c>
      <c r="E264" t="s">
        <v>18</v>
      </c>
      <c r="F264" t="s">
        <v>27</v>
      </c>
      <c r="G264" t="s">
        <v>46</v>
      </c>
      <c r="H264">
        <v>18</v>
      </c>
      <c r="I264" s="1">
        <v>330.49</v>
      </c>
      <c r="J264" s="1">
        <f t="shared" si="30"/>
        <v>5353.9380000000001</v>
      </c>
      <c r="K264" s="1">
        <f t="shared" si="31"/>
        <v>594.88199999999995</v>
      </c>
      <c r="L264" s="1">
        <v>5948.82</v>
      </c>
      <c r="M264" s="1">
        <f t="shared" si="32"/>
        <v>1070.7875999999999</v>
      </c>
      <c r="N264" s="1">
        <f t="shared" si="33"/>
        <v>7019.6075999999994</v>
      </c>
      <c r="S264" t="str">
        <f t="shared" si="28"/>
        <v>Sindh</v>
      </c>
      <c r="W264" t="str">
        <f t="shared" si="29"/>
        <v>South</v>
      </c>
      <c r="AB264" t="str">
        <f t="shared" si="34"/>
        <v>PK-SD</v>
      </c>
    </row>
    <row r="265" spans="1:28" x14ac:dyDescent="0.25">
      <c r="A265" s="2">
        <v>45284</v>
      </c>
      <c r="B265" t="s">
        <v>25</v>
      </c>
      <c r="C265" t="s">
        <v>62</v>
      </c>
      <c r="D265" t="s">
        <v>65</v>
      </c>
      <c r="E265" t="s">
        <v>64</v>
      </c>
      <c r="F265" t="s">
        <v>23</v>
      </c>
      <c r="G265" t="s">
        <v>24</v>
      </c>
      <c r="H265">
        <v>8</v>
      </c>
      <c r="I265" s="1">
        <v>4775.74</v>
      </c>
      <c r="J265" s="1">
        <f t="shared" si="30"/>
        <v>34385.328000000001</v>
      </c>
      <c r="K265" s="1">
        <f t="shared" si="31"/>
        <v>3820.5920000000001</v>
      </c>
      <c r="L265" s="1">
        <v>38205.919999999998</v>
      </c>
      <c r="M265" s="1">
        <f t="shared" si="32"/>
        <v>6877.065599999999</v>
      </c>
      <c r="N265" s="1">
        <f t="shared" si="33"/>
        <v>45082.9856</v>
      </c>
      <c r="S265" t="str">
        <f t="shared" si="28"/>
        <v>Punjab</v>
      </c>
      <c r="W265" t="str">
        <f t="shared" si="29"/>
        <v>East</v>
      </c>
      <c r="AB265" t="str">
        <f t="shared" si="34"/>
        <v>PK-PB</v>
      </c>
    </row>
    <row r="266" spans="1:28" x14ac:dyDescent="0.25">
      <c r="A266" s="2">
        <v>45225</v>
      </c>
      <c r="B266" t="s">
        <v>43</v>
      </c>
      <c r="C266" t="s">
        <v>63</v>
      </c>
      <c r="D266" t="s">
        <v>65</v>
      </c>
      <c r="E266" t="s">
        <v>64</v>
      </c>
      <c r="F266" t="s">
        <v>19</v>
      </c>
      <c r="G266" t="s">
        <v>30</v>
      </c>
      <c r="H266">
        <v>16</v>
      </c>
      <c r="I266" s="1">
        <v>2329.86</v>
      </c>
      <c r="J266" s="1">
        <f t="shared" si="30"/>
        <v>33549.984000000004</v>
      </c>
      <c r="K266" s="1">
        <f t="shared" si="31"/>
        <v>3727.7760000000003</v>
      </c>
      <c r="L266" s="1">
        <v>37277.760000000002</v>
      </c>
      <c r="M266" s="1">
        <f t="shared" si="32"/>
        <v>6709.9967999999999</v>
      </c>
      <c r="N266" s="1">
        <f t="shared" si="33"/>
        <v>43987.756800000003</v>
      </c>
      <c r="S266" t="str">
        <f t="shared" si="28"/>
        <v>Punjab</v>
      </c>
      <c r="W266" t="str">
        <f t="shared" si="29"/>
        <v>East</v>
      </c>
      <c r="AB266" t="str">
        <f t="shared" si="34"/>
        <v>PK-PB</v>
      </c>
    </row>
    <row r="267" spans="1:28" x14ac:dyDescent="0.25">
      <c r="A267" s="2">
        <v>45098</v>
      </c>
      <c r="B267" t="s">
        <v>16</v>
      </c>
      <c r="C267" t="s">
        <v>35</v>
      </c>
      <c r="D267" t="s">
        <v>65</v>
      </c>
      <c r="E267" t="s">
        <v>64</v>
      </c>
      <c r="F267" t="s">
        <v>32</v>
      </c>
      <c r="G267" t="s">
        <v>33</v>
      </c>
      <c r="H267">
        <v>16</v>
      </c>
      <c r="I267" s="1">
        <v>1426.64</v>
      </c>
      <c r="J267" s="1">
        <f t="shared" si="30"/>
        <v>20543.616000000002</v>
      </c>
      <c r="K267" s="1">
        <f t="shared" si="31"/>
        <v>2282.6240000000003</v>
      </c>
      <c r="L267" s="1">
        <v>22826.240000000002</v>
      </c>
      <c r="M267" s="1">
        <f t="shared" si="32"/>
        <v>4108.7232000000004</v>
      </c>
      <c r="N267" s="1">
        <f t="shared" si="33"/>
        <v>26934.963200000002</v>
      </c>
      <c r="S267" t="str">
        <f t="shared" si="28"/>
        <v>Punjab</v>
      </c>
      <c r="W267" t="str">
        <f t="shared" si="29"/>
        <v>East</v>
      </c>
      <c r="AB267" t="str">
        <f t="shared" si="34"/>
        <v>PK-PB</v>
      </c>
    </row>
    <row r="268" spans="1:28" x14ac:dyDescent="0.25">
      <c r="A268" s="2">
        <v>45070</v>
      </c>
      <c r="B268" t="s">
        <v>29</v>
      </c>
      <c r="C268" t="s">
        <v>63</v>
      </c>
      <c r="D268" t="s">
        <v>65</v>
      </c>
      <c r="E268" t="s">
        <v>64</v>
      </c>
      <c r="F268" t="s">
        <v>23</v>
      </c>
      <c r="G268" t="s">
        <v>39</v>
      </c>
      <c r="H268">
        <v>8</v>
      </c>
      <c r="I268" s="1">
        <v>2663.16</v>
      </c>
      <c r="J268" s="1">
        <f t="shared" si="30"/>
        <v>19174.752</v>
      </c>
      <c r="K268" s="1">
        <f t="shared" si="31"/>
        <v>2130.5279999999998</v>
      </c>
      <c r="L268" s="1">
        <v>21305.279999999999</v>
      </c>
      <c r="M268" s="1">
        <f t="shared" si="32"/>
        <v>3834.9503999999997</v>
      </c>
      <c r="N268" s="1">
        <f t="shared" si="33"/>
        <v>25140.2304</v>
      </c>
      <c r="S268" t="str">
        <f t="shared" si="28"/>
        <v>Punjab</v>
      </c>
      <c r="W268" t="str">
        <f t="shared" si="29"/>
        <v>East</v>
      </c>
      <c r="AB268" t="str">
        <f t="shared" si="34"/>
        <v>PK-PB</v>
      </c>
    </row>
    <row r="269" spans="1:28" x14ac:dyDescent="0.25">
      <c r="A269" s="2">
        <v>44996</v>
      </c>
      <c r="B269" t="s">
        <v>40</v>
      </c>
      <c r="C269" t="s">
        <v>35</v>
      </c>
      <c r="D269" t="s">
        <v>65</v>
      </c>
      <c r="E269" t="s">
        <v>64</v>
      </c>
      <c r="F269" t="s">
        <v>23</v>
      </c>
      <c r="G269" t="s">
        <v>24</v>
      </c>
      <c r="H269">
        <v>20</v>
      </c>
      <c r="I269" s="1">
        <v>1690.56</v>
      </c>
      <c r="J269" s="1">
        <f t="shared" si="30"/>
        <v>30430.079999999998</v>
      </c>
      <c r="K269" s="1">
        <f t="shared" si="31"/>
        <v>3381.12</v>
      </c>
      <c r="L269" s="1">
        <v>33811.199999999997</v>
      </c>
      <c r="M269" s="1">
        <f t="shared" si="32"/>
        <v>6086.0159999999996</v>
      </c>
      <c r="N269" s="1">
        <f t="shared" si="33"/>
        <v>39897.216</v>
      </c>
      <c r="S269" t="str">
        <f t="shared" si="28"/>
        <v>Punjab</v>
      </c>
      <c r="W269" t="str">
        <f t="shared" si="29"/>
        <v>East</v>
      </c>
      <c r="AB269" t="str">
        <f t="shared" si="34"/>
        <v>PK-PB</v>
      </c>
    </row>
    <row r="270" spans="1:28" x14ac:dyDescent="0.25">
      <c r="A270" s="2">
        <v>44947</v>
      </c>
      <c r="B270" t="s">
        <v>40</v>
      </c>
      <c r="C270" t="s">
        <v>59</v>
      </c>
      <c r="D270" t="s">
        <v>66</v>
      </c>
      <c r="E270" t="s">
        <v>41</v>
      </c>
      <c r="F270" t="s">
        <v>23</v>
      </c>
      <c r="G270" t="s">
        <v>24</v>
      </c>
      <c r="H270">
        <v>1</v>
      </c>
      <c r="I270" s="1">
        <v>776.08</v>
      </c>
      <c r="J270" s="1">
        <f t="shared" si="30"/>
        <v>698.47200000000009</v>
      </c>
      <c r="K270" s="1">
        <f t="shared" si="31"/>
        <v>77.608000000000004</v>
      </c>
      <c r="L270" s="1">
        <v>776.08</v>
      </c>
      <c r="M270" s="1">
        <f t="shared" si="32"/>
        <v>139.6944</v>
      </c>
      <c r="N270" s="1">
        <f t="shared" si="33"/>
        <v>915.77440000000001</v>
      </c>
      <c r="S270" t="str">
        <f t="shared" si="28"/>
        <v>Khyber Pakhtunkhwa</v>
      </c>
      <c r="W270" t="str">
        <f t="shared" si="29"/>
        <v>North</v>
      </c>
      <c r="AB270" t="str">
        <f t="shared" si="34"/>
        <v>Khyber Pakhtunkhwa</v>
      </c>
    </row>
    <row r="271" spans="1:28" x14ac:dyDescent="0.25">
      <c r="A271" s="2">
        <v>45018</v>
      </c>
      <c r="B271" t="s">
        <v>16</v>
      </c>
      <c r="C271" t="s">
        <v>54</v>
      </c>
      <c r="D271" t="s">
        <v>12</v>
      </c>
      <c r="E271" t="s">
        <v>18</v>
      </c>
      <c r="F271" t="s">
        <v>27</v>
      </c>
      <c r="G271" t="s">
        <v>44</v>
      </c>
      <c r="H271">
        <v>3</v>
      </c>
      <c r="I271" s="1">
        <v>1435.01</v>
      </c>
      <c r="J271" s="1">
        <f t="shared" si="30"/>
        <v>3874.527</v>
      </c>
      <c r="K271" s="1">
        <f t="shared" si="31"/>
        <v>430.50299999999999</v>
      </c>
      <c r="L271" s="1">
        <v>4305.03</v>
      </c>
      <c r="M271" s="1">
        <f t="shared" si="32"/>
        <v>774.90539999999987</v>
      </c>
      <c r="N271" s="1">
        <f t="shared" si="33"/>
        <v>5079.9353999999994</v>
      </c>
      <c r="S271" t="str">
        <f t="shared" si="28"/>
        <v>Sindh</v>
      </c>
      <c r="W271" t="str">
        <f t="shared" si="29"/>
        <v>South</v>
      </c>
      <c r="AB271" t="str">
        <f t="shared" si="34"/>
        <v>PK-SD</v>
      </c>
    </row>
    <row r="272" spans="1:28" x14ac:dyDescent="0.25">
      <c r="A272" s="2">
        <v>45176</v>
      </c>
      <c r="B272" t="s">
        <v>25</v>
      </c>
      <c r="C272" t="s">
        <v>60</v>
      </c>
      <c r="D272" t="s">
        <v>12</v>
      </c>
      <c r="E272" t="s">
        <v>18</v>
      </c>
      <c r="F272" t="s">
        <v>19</v>
      </c>
      <c r="G272" t="s">
        <v>48</v>
      </c>
      <c r="H272">
        <v>16</v>
      </c>
      <c r="I272" s="1">
        <v>1473.98</v>
      </c>
      <c r="J272" s="1">
        <f t="shared" si="30"/>
        <v>21225.312000000002</v>
      </c>
      <c r="K272" s="1">
        <f t="shared" si="31"/>
        <v>2358.3679999999999</v>
      </c>
      <c r="L272" s="1">
        <v>23583.68</v>
      </c>
      <c r="M272" s="1">
        <f t="shared" si="32"/>
        <v>4245.0623999999998</v>
      </c>
      <c r="N272" s="1">
        <f t="shared" si="33"/>
        <v>27828.742399999999</v>
      </c>
      <c r="S272" t="str">
        <f t="shared" si="28"/>
        <v>Sindh</v>
      </c>
      <c r="W272" t="str">
        <f t="shared" si="29"/>
        <v>South</v>
      </c>
      <c r="AB272" t="str">
        <f t="shared" si="34"/>
        <v>PK-SD</v>
      </c>
    </row>
    <row r="273" spans="1:28" x14ac:dyDescent="0.25">
      <c r="A273" s="2">
        <v>45235</v>
      </c>
      <c r="B273" t="s">
        <v>40</v>
      </c>
      <c r="C273" t="s">
        <v>26</v>
      </c>
      <c r="D273" t="s">
        <v>12</v>
      </c>
      <c r="E273" t="s">
        <v>18</v>
      </c>
      <c r="F273" t="s">
        <v>14</v>
      </c>
      <c r="G273" t="s">
        <v>45</v>
      </c>
      <c r="H273">
        <v>6</v>
      </c>
      <c r="I273" s="1">
        <v>1822.86</v>
      </c>
      <c r="J273" s="1">
        <f t="shared" si="30"/>
        <v>9843.4439999999995</v>
      </c>
      <c r="K273" s="1">
        <f t="shared" si="31"/>
        <v>1093.7160000000001</v>
      </c>
      <c r="L273" s="1">
        <v>10937.16</v>
      </c>
      <c r="M273" s="1">
        <f t="shared" si="32"/>
        <v>1968.6887999999999</v>
      </c>
      <c r="N273" s="1">
        <f t="shared" si="33"/>
        <v>12905.8488</v>
      </c>
      <c r="S273" t="str">
        <f t="shared" si="28"/>
        <v>Sindh</v>
      </c>
      <c r="W273" t="str">
        <f t="shared" si="29"/>
        <v>South</v>
      </c>
      <c r="AB273" t="str">
        <f t="shared" si="34"/>
        <v>PK-SD</v>
      </c>
    </row>
    <row r="274" spans="1:28" x14ac:dyDescent="0.25">
      <c r="A274" s="2">
        <v>44963</v>
      </c>
      <c r="B274" t="s">
        <v>40</v>
      </c>
      <c r="C274" t="s">
        <v>55</v>
      </c>
      <c r="D274" t="s">
        <v>66</v>
      </c>
      <c r="E274" t="s">
        <v>41</v>
      </c>
      <c r="F274" t="s">
        <v>23</v>
      </c>
      <c r="G274" t="s">
        <v>37</v>
      </c>
      <c r="H274">
        <v>13</v>
      </c>
      <c r="I274" s="1">
        <v>739.6</v>
      </c>
      <c r="J274" s="1">
        <f t="shared" si="30"/>
        <v>8653.32</v>
      </c>
      <c r="K274" s="1">
        <f t="shared" si="31"/>
        <v>961.48</v>
      </c>
      <c r="L274" s="1">
        <v>9614.7999999999993</v>
      </c>
      <c r="M274" s="1">
        <f t="shared" si="32"/>
        <v>1730.6639999999998</v>
      </c>
      <c r="N274" s="1">
        <f t="shared" si="33"/>
        <v>11345.464</v>
      </c>
      <c r="S274" t="str">
        <f t="shared" si="28"/>
        <v>Khyber Pakhtunkhwa</v>
      </c>
      <c r="W274" t="str">
        <f t="shared" si="29"/>
        <v>North</v>
      </c>
      <c r="AB274" t="str">
        <f t="shared" si="34"/>
        <v>Khyber Pakhtunkhwa</v>
      </c>
    </row>
    <row r="275" spans="1:28" x14ac:dyDescent="0.25">
      <c r="A275" s="2">
        <v>44994</v>
      </c>
      <c r="B275" t="s">
        <v>31</v>
      </c>
      <c r="C275" t="s">
        <v>35</v>
      </c>
      <c r="D275" t="s">
        <v>65</v>
      </c>
      <c r="E275" t="s">
        <v>64</v>
      </c>
      <c r="F275" t="s">
        <v>27</v>
      </c>
      <c r="G275" t="s">
        <v>46</v>
      </c>
      <c r="H275">
        <v>11</v>
      </c>
      <c r="I275" s="1">
        <v>4209.66</v>
      </c>
      <c r="J275" s="1">
        <f t="shared" si="30"/>
        <v>41675.634000000005</v>
      </c>
      <c r="K275" s="1">
        <f t="shared" si="31"/>
        <v>4630.6260000000002</v>
      </c>
      <c r="L275" s="1">
        <v>46306.26</v>
      </c>
      <c r="M275" s="1">
        <f t="shared" si="32"/>
        <v>8335.1268</v>
      </c>
      <c r="N275" s="1">
        <f t="shared" si="33"/>
        <v>54641.3868</v>
      </c>
      <c r="S275" t="str">
        <f t="shared" si="28"/>
        <v>Punjab</v>
      </c>
      <c r="W275" t="str">
        <f t="shared" si="29"/>
        <v>East</v>
      </c>
      <c r="AB275" t="str">
        <f t="shared" si="34"/>
        <v>PK-PB</v>
      </c>
    </row>
    <row r="276" spans="1:28" x14ac:dyDescent="0.25">
      <c r="A276" s="2">
        <v>44986</v>
      </c>
      <c r="B276" t="s">
        <v>16</v>
      </c>
      <c r="C276" t="s">
        <v>62</v>
      </c>
      <c r="D276" t="s">
        <v>65</v>
      </c>
      <c r="E276" t="s">
        <v>64</v>
      </c>
      <c r="F276" t="s">
        <v>32</v>
      </c>
      <c r="G276" t="s">
        <v>36</v>
      </c>
      <c r="H276">
        <v>8</v>
      </c>
      <c r="I276" s="1">
        <v>4105.17</v>
      </c>
      <c r="J276" s="1">
        <f t="shared" si="30"/>
        <v>29557.224000000002</v>
      </c>
      <c r="K276" s="1">
        <f t="shared" si="31"/>
        <v>3284.1360000000004</v>
      </c>
      <c r="L276" s="1">
        <v>32841.360000000001</v>
      </c>
      <c r="M276" s="1">
        <f t="shared" si="32"/>
        <v>5911.4448000000002</v>
      </c>
      <c r="N276" s="1">
        <f t="shared" si="33"/>
        <v>38752.804799999998</v>
      </c>
      <c r="S276" t="str">
        <f t="shared" si="28"/>
        <v>Punjab</v>
      </c>
      <c r="W276" t="str">
        <f t="shared" si="29"/>
        <v>East</v>
      </c>
      <c r="AB276" t="str">
        <f t="shared" si="34"/>
        <v>PK-PB</v>
      </c>
    </row>
    <row r="277" spans="1:28" x14ac:dyDescent="0.25">
      <c r="A277" s="2">
        <v>45072</v>
      </c>
      <c r="B277" t="s">
        <v>31</v>
      </c>
      <c r="C277" t="s">
        <v>58</v>
      </c>
      <c r="D277" t="s">
        <v>12</v>
      </c>
      <c r="E277" t="s">
        <v>18</v>
      </c>
      <c r="F277" t="s">
        <v>14</v>
      </c>
      <c r="G277" t="s">
        <v>15</v>
      </c>
      <c r="H277">
        <v>2</v>
      </c>
      <c r="I277" s="1">
        <v>4100.3999999999996</v>
      </c>
      <c r="J277" s="1">
        <f t="shared" si="30"/>
        <v>7380.7199999999993</v>
      </c>
      <c r="K277" s="1">
        <f t="shared" si="31"/>
        <v>820.07999999999993</v>
      </c>
      <c r="L277" s="1">
        <v>8200.7999999999993</v>
      </c>
      <c r="M277" s="1">
        <f t="shared" si="32"/>
        <v>1476.1439999999998</v>
      </c>
      <c r="N277" s="1">
        <f t="shared" si="33"/>
        <v>9676.9439999999995</v>
      </c>
      <c r="S277" t="str">
        <f t="shared" si="28"/>
        <v>Sindh</v>
      </c>
      <c r="W277" t="str">
        <f t="shared" si="29"/>
        <v>South</v>
      </c>
      <c r="AB277" t="str">
        <f t="shared" si="34"/>
        <v>PK-SD</v>
      </c>
    </row>
    <row r="278" spans="1:28" x14ac:dyDescent="0.25">
      <c r="A278" s="2">
        <v>45221</v>
      </c>
      <c r="B278" t="s">
        <v>16</v>
      </c>
      <c r="C278" t="s">
        <v>17</v>
      </c>
      <c r="D278" t="s">
        <v>65</v>
      </c>
      <c r="E278" t="s">
        <v>64</v>
      </c>
      <c r="F278" t="s">
        <v>27</v>
      </c>
      <c r="G278" t="s">
        <v>28</v>
      </c>
      <c r="H278">
        <v>20</v>
      </c>
      <c r="I278" s="1">
        <v>2295.08</v>
      </c>
      <c r="J278" s="1">
        <f t="shared" si="30"/>
        <v>41311.440000000002</v>
      </c>
      <c r="K278" s="1">
        <f t="shared" si="31"/>
        <v>4590.16</v>
      </c>
      <c r="L278" s="1">
        <v>45901.599999999999</v>
      </c>
      <c r="M278" s="1">
        <f t="shared" si="32"/>
        <v>8262.2879999999986</v>
      </c>
      <c r="N278" s="1">
        <f t="shared" si="33"/>
        <v>54163.887999999999</v>
      </c>
      <c r="S278" t="str">
        <f t="shared" si="28"/>
        <v>Punjab</v>
      </c>
      <c r="W278" t="str">
        <f t="shared" si="29"/>
        <v>East</v>
      </c>
      <c r="AB278" t="str">
        <f t="shared" si="34"/>
        <v>PK-PB</v>
      </c>
    </row>
    <row r="279" spans="1:28" x14ac:dyDescent="0.25">
      <c r="A279" s="2">
        <v>45241</v>
      </c>
      <c r="B279" t="s">
        <v>40</v>
      </c>
      <c r="C279" t="s">
        <v>26</v>
      </c>
      <c r="D279" t="s">
        <v>12</v>
      </c>
      <c r="E279" t="s">
        <v>18</v>
      </c>
      <c r="F279" t="s">
        <v>27</v>
      </c>
      <c r="G279" t="s">
        <v>42</v>
      </c>
      <c r="H279">
        <v>20</v>
      </c>
      <c r="I279" s="1">
        <v>4970.33</v>
      </c>
      <c r="J279" s="1">
        <f t="shared" si="30"/>
        <v>89465.94</v>
      </c>
      <c r="K279" s="1">
        <f t="shared" si="31"/>
        <v>9940.6600000000017</v>
      </c>
      <c r="L279" s="1">
        <v>99406.6</v>
      </c>
      <c r="M279" s="1">
        <f t="shared" si="32"/>
        <v>17893.188000000002</v>
      </c>
      <c r="N279" s="1">
        <f t="shared" si="33"/>
        <v>117299.788</v>
      </c>
      <c r="S279" t="str">
        <f t="shared" si="28"/>
        <v>Sindh</v>
      </c>
      <c r="W279" t="str">
        <f t="shared" si="29"/>
        <v>South</v>
      </c>
      <c r="AB279" t="str">
        <f t="shared" si="34"/>
        <v>PK-SD</v>
      </c>
    </row>
    <row r="280" spans="1:28" x14ac:dyDescent="0.25">
      <c r="A280" s="2">
        <v>45272</v>
      </c>
      <c r="B280" t="s">
        <v>31</v>
      </c>
      <c r="C280" t="s">
        <v>63</v>
      </c>
      <c r="D280" t="s">
        <v>65</v>
      </c>
      <c r="E280" t="s">
        <v>64</v>
      </c>
      <c r="F280" t="s">
        <v>14</v>
      </c>
      <c r="G280" t="s">
        <v>45</v>
      </c>
      <c r="H280">
        <v>12</v>
      </c>
      <c r="I280" s="1">
        <v>3939.5</v>
      </c>
      <c r="J280" s="1">
        <f t="shared" si="30"/>
        <v>42546.6</v>
      </c>
      <c r="K280" s="1">
        <f t="shared" si="31"/>
        <v>4727.4000000000005</v>
      </c>
      <c r="L280" s="1">
        <v>47274</v>
      </c>
      <c r="M280" s="1">
        <f t="shared" si="32"/>
        <v>8509.32</v>
      </c>
      <c r="N280" s="1">
        <f t="shared" si="33"/>
        <v>55783.32</v>
      </c>
      <c r="S280" t="str">
        <f t="shared" si="28"/>
        <v>Punjab</v>
      </c>
      <c r="W280" t="str">
        <f t="shared" si="29"/>
        <v>East</v>
      </c>
      <c r="AB280" t="str">
        <f t="shared" si="34"/>
        <v>PK-PB</v>
      </c>
    </row>
    <row r="281" spans="1:28" x14ac:dyDescent="0.25">
      <c r="A281" s="2">
        <v>45224</v>
      </c>
      <c r="B281" t="s">
        <v>34</v>
      </c>
      <c r="C281" t="s">
        <v>57</v>
      </c>
      <c r="D281" t="s">
        <v>22</v>
      </c>
      <c r="E281" t="s">
        <v>13</v>
      </c>
      <c r="F281" t="s">
        <v>32</v>
      </c>
      <c r="G281" t="s">
        <v>49</v>
      </c>
      <c r="H281">
        <v>15</v>
      </c>
      <c r="I281" s="1">
        <v>1450.75</v>
      </c>
      <c r="J281" s="1">
        <f t="shared" si="30"/>
        <v>19585.125</v>
      </c>
      <c r="K281" s="1">
        <f t="shared" si="31"/>
        <v>2176.125</v>
      </c>
      <c r="L281" s="1">
        <v>21761.25</v>
      </c>
      <c r="M281" s="1">
        <f t="shared" si="32"/>
        <v>3917.0249999999996</v>
      </c>
      <c r="N281" s="1">
        <f t="shared" si="33"/>
        <v>25678.275000000001</v>
      </c>
      <c r="S281" t="str">
        <f t="shared" si="28"/>
        <v>Balochistan</v>
      </c>
      <c r="W281" t="str">
        <f t="shared" si="29"/>
        <v>West</v>
      </c>
      <c r="AB281" t="str">
        <f t="shared" si="34"/>
        <v>PK-BA</v>
      </c>
    </row>
    <row r="282" spans="1:28" x14ac:dyDescent="0.25">
      <c r="A282" s="2">
        <v>45235</v>
      </c>
      <c r="B282" t="s">
        <v>34</v>
      </c>
      <c r="C282" t="s">
        <v>55</v>
      </c>
      <c r="D282" t="s">
        <v>66</v>
      </c>
      <c r="E282" t="s">
        <v>41</v>
      </c>
      <c r="F282" t="s">
        <v>14</v>
      </c>
      <c r="G282" t="s">
        <v>15</v>
      </c>
      <c r="H282">
        <v>8</v>
      </c>
      <c r="I282" s="1">
        <v>3279.33</v>
      </c>
      <c r="J282" s="1">
        <f t="shared" si="30"/>
        <v>23611.175999999999</v>
      </c>
      <c r="K282" s="1">
        <f t="shared" si="31"/>
        <v>2623.4639999999999</v>
      </c>
      <c r="L282" s="1">
        <v>26234.639999999999</v>
      </c>
      <c r="M282" s="1">
        <f t="shared" si="32"/>
        <v>4722.2352000000001</v>
      </c>
      <c r="N282" s="1">
        <f t="shared" si="33"/>
        <v>30956.875199999999</v>
      </c>
      <c r="S282" t="str">
        <f t="shared" si="28"/>
        <v>Khyber Pakhtunkhwa</v>
      </c>
      <c r="W282" t="str">
        <f t="shared" si="29"/>
        <v>North</v>
      </c>
      <c r="AB282" t="str">
        <f t="shared" si="34"/>
        <v>Khyber Pakhtunkhwa</v>
      </c>
    </row>
    <row r="283" spans="1:28" x14ac:dyDescent="0.25">
      <c r="A283" s="2">
        <v>44953</v>
      </c>
      <c r="B283" t="s">
        <v>40</v>
      </c>
      <c r="C283" t="s">
        <v>59</v>
      </c>
      <c r="D283" t="s">
        <v>66</v>
      </c>
      <c r="E283" t="s">
        <v>41</v>
      </c>
      <c r="F283" t="s">
        <v>23</v>
      </c>
      <c r="G283" t="s">
        <v>39</v>
      </c>
      <c r="H283">
        <v>7</v>
      </c>
      <c r="I283" s="1">
        <v>579.91999999999996</v>
      </c>
      <c r="J283" s="1">
        <f t="shared" si="30"/>
        <v>3653.4960000000001</v>
      </c>
      <c r="K283" s="1">
        <f t="shared" si="31"/>
        <v>405.94400000000002</v>
      </c>
      <c r="L283" s="1">
        <v>4059.44</v>
      </c>
      <c r="M283" s="1">
        <f t="shared" si="32"/>
        <v>730.69920000000002</v>
      </c>
      <c r="N283" s="1">
        <f t="shared" si="33"/>
        <v>4790.1391999999996</v>
      </c>
      <c r="S283" t="str">
        <f t="shared" si="28"/>
        <v>Khyber Pakhtunkhwa</v>
      </c>
      <c r="W283" t="str">
        <f t="shared" si="29"/>
        <v>North</v>
      </c>
      <c r="AB283" t="str">
        <f t="shared" si="34"/>
        <v>Khyber Pakhtunkhwa</v>
      </c>
    </row>
    <row r="284" spans="1:28" x14ac:dyDescent="0.25">
      <c r="A284" s="2">
        <v>44962</v>
      </c>
      <c r="B284" t="s">
        <v>34</v>
      </c>
      <c r="C284" t="s">
        <v>55</v>
      </c>
      <c r="D284" t="s">
        <v>66</v>
      </c>
      <c r="E284" t="s">
        <v>41</v>
      </c>
      <c r="F284" t="s">
        <v>32</v>
      </c>
      <c r="G284" t="s">
        <v>33</v>
      </c>
      <c r="H284">
        <v>10</v>
      </c>
      <c r="I284" s="1">
        <v>2515.54</v>
      </c>
      <c r="J284" s="1">
        <f t="shared" si="30"/>
        <v>22639.86</v>
      </c>
      <c r="K284" s="1">
        <f t="shared" si="31"/>
        <v>2515.5400000000004</v>
      </c>
      <c r="L284" s="1">
        <v>25155.4</v>
      </c>
      <c r="M284" s="1">
        <f t="shared" si="32"/>
        <v>4527.9719999999998</v>
      </c>
      <c r="N284" s="1">
        <f t="shared" si="33"/>
        <v>29683.372000000003</v>
      </c>
      <c r="S284" t="str">
        <f t="shared" si="28"/>
        <v>Khyber Pakhtunkhwa</v>
      </c>
      <c r="W284" t="str">
        <f t="shared" si="29"/>
        <v>North</v>
      </c>
      <c r="AB284" t="str">
        <f t="shared" si="34"/>
        <v>Khyber Pakhtunkhwa</v>
      </c>
    </row>
    <row r="285" spans="1:28" x14ac:dyDescent="0.25">
      <c r="A285" s="2">
        <v>45005</v>
      </c>
      <c r="B285" t="s">
        <v>25</v>
      </c>
      <c r="C285" t="s">
        <v>59</v>
      </c>
      <c r="D285" t="s">
        <v>66</v>
      </c>
      <c r="E285" t="s">
        <v>41</v>
      </c>
      <c r="F285" t="s">
        <v>27</v>
      </c>
      <c r="G285" t="s">
        <v>42</v>
      </c>
      <c r="H285">
        <v>10</v>
      </c>
      <c r="I285" s="1">
        <v>2976.69</v>
      </c>
      <c r="J285" s="1">
        <f t="shared" si="30"/>
        <v>26790.210000000003</v>
      </c>
      <c r="K285" s="1">
        <f t="shared" si="31"/>
        <v>2976.6900000000005</v>
      </c>
      <c r="L285" s="1">
        <v>29766.9</v>
      </c>
      <c r="M285" s="1">
        <f t="shared" si="32"/>
        <v>5358.0420000000004</v>
      </c>
      <c r="N285" s="1">
        <f t="shared" si="33"/>
        <v>35124.942000000003</v>
      </c>
      <c r="S285" t="str">
        <f t="shared" si="28"/>
        <v>Khyber Pakhtunkhwa</v>
      </c>
      <c r="W285" t="str">
        <f t="shared" si="29"/>
        <v>North</v>
      </c>
      <c r="AB285" t="str">
        <f t="shared" si="34"/>
        <v>Khyber Pakhtunkhwa</v>
      </c>
    </row>
    <row r="286" spans="1:28" x14ac:dyDescent="0.25">
      <c r="A286" s="2">
        <v>45044</v>
      </c>
      <c r="B286" t="s">
        <v>25</v>
      </c>
      <c r="C286" t="s">
        <v>17</v>
      </c>
      <c r="D286" t="s">
        <v>65</v>
      </c>
      <c r="E286" t="s">
        <v>64</v>
      </c>
      <c r="F286" t="s">
        <v>27</v>
      </c>
      <c r="G286" t="s">
        <v>46</v>
      </c>
      <c r="H286">
        <v>16</v>
      </c>
      <c r="I286" s="1">
        <v>4047.21</v>
      </c>
      <c r="J286" s="1">
        <f t="shared" si="30"/>
        <v>58279.824000000001</v>
      </c>
      <c r="K286" s="1">
        <f t="shared" si="31"/>
        <v>6475.5360000000001</v>
      </c>
      <c r="L286" s="1">
        <v>64755.360000000001</v>
      </c>
      <c r="M286" s="1">
        <f t="shared" si="32"/>
        <v>11655.9648</v>
      </c>
      <c r="N286" s="1">
        <f t="shared" si="33"/>
        <v>76411.324800000002</v>
      </c>
      <c r="S286" t="str">
        <f t="shared" si="28"/>
        <v>Punjab</v>
      </c>
      <c r="W286" t="str">
        <f t="shared" si="29"/>
        <v>East</v>
      </c>
      <c r="AB286" t="str">
        <f t="shared" si="34"/>
        <v>PK-PB</v>
      </c>
    </row>
    <row r="287" spans="1:28" x14ac:dyDescent="0.25">
      <c r="A287" s="2">
        <v>45026</v>
      </c>
      <c r="B287" t="s">
        <v>29</v>
      </c>
      <c r="C287" t="s">
        <v>60</v>
      </c>
      <c r="D287" t="s">
        <v>12</v>
      </c>
      <c r="E287" t="s">
        <v>18</v>
      </c>
      <c r="F287" t="s">
        <v>27</v>
      </c>
      <c r="G287" t="s">
        <v>44</v>
      </c>
      <c r="H287">
        <v>18</v>
      </c>
      <c r="I287" s="1">
        <v>2825.07</v>
      </c>
      <c r="J287" s="1">
        <f t="shared" si="30"/>
        <v>45766.134000000005</v>
      </c>
      <c r="K287" s="1">
        <f t="shared" si="31"/>
        <v>5085.1260000000002</v>
      </c>
      <c r="L287" s="1">
        <v>50851.26</v>
      </c>
      <c r="M287" s="1">
        <f t="shared" si="32"/>
        <v>9153.2268000000004</v>
      </c>
      <c r="N287" s="1">
        <f t="shared" si="33"/>
        <v>60004.486799999999</v>
      </c>
      <c r="S287" t="str">
        <f t="shared" si="28"/>
        <v>Sindh</v>
      </c>
      <c r="W287" t="str">
        <f t="shared" si="29"/>
        <v>South</v>
      </c>
      <c r="AB287" t="str">
        <f t="shared" si="34"/>
        <v>PK-SD</v>
      </c>
    </row>
    <row r="288" spans="1:28" x14ac:dyDescent="0.25">
      <c r="A288" s="2">
        <v>45067</v>
      </c>
      <c r="B288" t="s">
        <v>31</v>
      </c>
      <c r="C288" t="s">
        <v>56</v>
      </c>
      <c r="D288" t="s">
        <v>12</v>
      </c>
      <c r="E288" t="s">
        <v>18</v>
      </c>
      <c r="F288" t="s">
        <v>23</v>
      </c>
      <c r="G288" t="s">
        <v>47</v>
      </c>
      <c r="H288">
        <v>13</v>
      </c>
      <c r="I288" s="1">
        <v>1406.82</v>
      </c>
      <c r="J288" s="1">
        <f t="shared" si="30"/>
        <v>16459.794000000002</v>
      </c>
      <c r="K288" s="1">
        <f t="shared" si="31"/>
        <v>1828.866</v>
      </c>
      <c r="L288" s="1">
        <v>18288.66</v>
      </c>
      <c r="M288" s="1">
        <f t="shared" si="32"/>
        <v>3291.9587999999999</v>
      </c>
      <c r="N288" s="1">
        <f t="shared" si="33"/>
        <v>21580.6188</v>
      </c>
      <c r="S288" t="str">
        <f t="shared" si="28"/>
        <v>Sindh</v>
      </c>
      <c r="W288" t="str">
        <f t="shared" si="29"/>
        <v>South</v>
      </c>
      <c r="AB288" t="str">
        <f t="shared" si="34"/>
        <v>PK-SD</v>
      </c>
    </row>
    <row r="289" spans="1:28" x14ac:dyDescent="0.25">
      <c r="A289" s="2">
        <v>45038</v>
      </c>
      <c r="B289" t="s">
        <v>43</v>
      </c>
      <c r="C289" t="s">
        <v>11</v>
      </c>
      <c r="D289" t="s">
        <v>22</v>
      </c>
      <c r="E289" t="s">
        <v>13</v>
      </c>
      <c r="F289" t="s">
        <v>19</v>
      </c>
      <c r="G289" t="s">
        <v>52</v>
      </c>
      <c r="H289">
        <v>16</v>
      </c>
      <c r="I289" s="1">
        <v>1090.18</v>
      </c>
      <c r="J289" s="1">
        <f t="shared" si="30"/>
        <v>15698.592000000001</v>
      </c>
      <c r="K289" s="1">
        <f t="shared" si="31"/>
        <v>1744.2880000000002</v>
      </c>
      <c r="L289" s="1">
        <v>17442.88</v>
      </c>
      <c r="M289" s="1">
        <f t="shared" si="32"/>
        <v>3139.7184000000002</v>
      </c>
      <c r="N289" s="1">
        <f t="shared" si="33"/>
        <v>20582.598400000003</v>
      </c>
      <c r="S289" t="str">
        <f t="shared" si="28"/>
        <v>Balochistan</v>
      </c>
      <c r="W289" t="str">
        <f t="shared" si="29"/>
        <v>West</v>
      </c>
      <c r="AB289" t="str">
        <f t="shared" si="34"/>
        <v>PK-BA</v>
      </c>
    </row>
    <row r="290" spans="1:28" x14ac:dyDescent="0.25">
      <c r="A290" s="2">
        <v>44960</v>
      </c>
      <c r="B290" t="s">
        <v>38</v>
      </c>
      <c r="C290" t="s">
        <v>26</v>
      </c>
      <c r="D290" t="s">
        <v>12</v>
      </c>
      <c r="E290" t="s">
        <v>18</v>
      </c>
      <c r="F290" t="s">
        <v>32</v>
      </c>
      <c r="G290" t="s">
        <v>49</v>
      </c>
      <c r="H290">
        <v>12</v>
      </c>
      <c r="I290" s="1">
        <v>3696.43</v>
      </c>
      <c r="J290" s="1">
        <f t="shared" si="30"/>
        <v>39921.444000000003</v>
      </c>
      <c r="K290" s="1">
        <f t="shared" si="31"/>
        <v>4435.7160000000003</v>
      </c>
      <c r="L290" s="1">
        <v>44357.16</v>
      </c>
      <c r="M290" s="1">
        <f t="shared" si="32"/>
        <v>7984.2888000000003</v>
      </c>
      <c r="N290" s="1">
        <f t="shared" si="33"/>
        <v>52341.448800000006</v>
      </c>
      <c r="S290" t="str">
        <f t="shared" si="28"/>
        <v>Sindh</v>
      </c>
      <c r="W290" t="str">
        <f t="shared" si="29"/>
        <v>South</v>
      </c>
      <c r="AB290" t="str">
        <f t="shared" si="34"/>
        <v>PK-SD</v>
      </c>
    </row>
    <row r="291" spans="1:28" x14ac:dyDescent="0.25">
      <c r="A291" s="2">
        <v>45239</v>
      </c>
      <c r="B291" t="s">
        <v>25</v>
      </c>
      <c r="C291" t="s">
        <v>62</v>
      </c>
      <c r="D291" t="s">
        <v>65</v>
      </c>
      <c r="E291" t="s">
        <v>64</v>
      </c>
      <c r="F291" t="s">
        <v>32</v>
      </c>
      <c r="G291" t="s">
        <v>49</v>
      </c>
      <c r="H291">
        <v>7</v>
      </c>
      <c r="I291" s="1">
        <v>4535.1400000000003</v>
      </c>
      <c r="J291" s="1">
        <f t="shared" si="30"/>
        <v>28571.382000000001</v>
      </c>
      <c r="K291" s="1">
        <f t="shared" si="31"/>
        <v>3174.598</v>
      </c>
      <c r="L291" s="1">
        <v>31745.98</v>
      </c>
      <c r="M291" s="1">
        <f t="shared" si="32"/>
        <v>5714.2763999999997</v>
      </c>
      <c r="N291" s="1">
        <f t="shared" si="33"/>
        <v>37460.256399999998</v>
      </c>
      <c r="S291" t="str">
        <f t="shared" si="28"/>
        <v>Punjab</v>
      </c>
      <c r="W291" t="str">
        <f t="shared" si="29"/>
        <v>East</v>
      </c>
      <c r="AB291" t="str">
        <f t="shared" si="34"/>
        <v>PK-PB</v>
      </c>
    </row>
    <row r="292" spans="1:28" x14ac:dyDescent="0.25">
      <c r="A292" s="2">
        <v>45232</v>
      </c>
      <c r="B292" t="s">
        <v>29</v>
      </c>
      <c r="C292" t="s">
        <v>17</v>
      </c>
      <c r="D292" t="s">
        <v>65</v>
      </c>
      <c r="E292" t="s">
        <v>64</v>
      </c>
      <c r="F292" t="s">
        <v>27</v>
      </c>
      <c r="G292" t="s">
        <v>46</v>
      </c>
      <c r="H292">
        <v>3</v>
      </c>
      <c r="I292" s="1">
        <v>4931.6899999999996</v>
      </c>
      <c r="J292" s="1">
        <f t="shared" si="30"/>
        <v>13315.563</v>
      </c>
      <c r="K292" s="1">
        <f t="shared" si="31"/>
        <v>1479.5070000000001</v>
      </c>
      <c r="L292" s="1">
        <v>14795.07</v>
      </c>
      <c r="M292" s="1">
        <f t="shared" si="32"/>
        <v>2663.1125999999999</v>
      </c>
      <c r="N292" s="1">
        <f t="shared" si="33"/>
        <v>17458.1826</v>
      </c>
      <c r="S292" t="str">
        <f t="shared" si="28"/>
        <v>Punjab</v>
      </c>
      <c r="W292" t="str">
        <f t="shared" si="29"/>
        <v>East</v>
      </c>
      <c r="AB292" t="str">
        <f t="shared" si="34"/>
        <v>PK-PB</v>
      </c>
    </row>
    <row r="293" spans="1:28" x14ac:dyDescent="0.25">
      <c r="A293" s="2">
        <v>45037</v>
      </c>
      <c r="B293" t="s">
        <v>43</v>
      </c>
      <c r="C293" t="s">
        <v>61</v>
      </c>
      <c r="D293" t="s">
        <v>65</v>
      </c>
      <c r="E293" t="s">
        <v>64</v>
      </c>
      <c r="F293" t="s">
        <v>27</v>
      </c>
      <c r="G293" t="s">
        <v>28</v>
      </c>
      <c r="H293">
        <v>16</v>
      </c>
      <c r="I293" s="1">
        <v>3263.65</v>
      </c>
      <c r="J293" s="1">
        <f t="shared" si="30"/>
        <v>46996.560000000005</v>
      </c>
      <c r="K293" s="1">
        <f t="shared" si="31"/>
        <v>5221.84</v>
      </c>
      <c r="L293" s="1">
        <v>52218.400000000001</v>
      </c>
      <c r="M293" s="1">
        <f t="shared" si="32"/>
        <v>9399.3119999999999</v>
      </c>
      <c r="N293" s="1">
        <f t="shared" si="33"/>
        <v>61617.712</v>
      </c>
      <c r="S293" t="str">
        <f t="shared" si="28"/>
        <v>Punjab</v>
      </c>
      <c r="W293" t="str">
        <f t="shared" si="29"/>
        <v>East</v>
      </c>
      <c r="AB293" t="str">
        <f t="shared" si="34"/>
        <v>PK-PB</v>
      </c>
    </row>
    <row r="294" spans="1:28" x14ac:dyDescent="0.25">
      <c r="A294" s="2">
        <v>45046</v>
      </c>
      <c r="B294" t="s">
        <v>21</v>
      </c>
      <c r="C294" t="s">
        <v>26</v>
      </c>
      <c r="D294" t="s">
        <v>12</v>
      </c>
      <c r="E294" t="s">
        <v>18</v>
      </c>
      <c r="F294" t="s">
        <v>19</v>
      </c>
      <c r="G294" t="s">
        <v>48</v>
      </c>
      <c r="H294">
        <v>17</v>
      </c>
      <c r="I294" s="1">
        <v>4083.07</v>
      </c>
      <c r="J294" s="1">
        <f t="shared" si="30"/>
        <v>62470.971000000005</v>
      </c>
      <c r="K294" s="1">
        <f t="shared" si="31"/>
        <v>6941.219000000001</v>
      </c>
      <c r="L294" s="1">
        <v>69412.19</v>
      </c>
      <c r="M294" s="1">
        <f t="shared" si="32"/>
        <v>12494.1942</v>
      </c>
      <c r="N294" s="1">
        <f t="shared" si="33"/>
        <v>81906.3842</v>
      </c>
      <c r="S294" t="str">
        <f t="shared" si="28"/>
        <v>Sindh</v>
      </c>
      <c r="W294" t="str">
        <f t="shared" si="29"/>
        <v>South</v>
      </c>
      <c r="AB294" t="str">
        <f t="shared" si="34"/>
        <v>PK-SD</v>
      </c>
    </row>
    <row r="295" spans="1:28" x14ac:dyDescent="0.25">
      <c r="A295" s="2">
        <v>44975</v>
      </c>
      <c r="B295" t="s">
        <v>34</v>
      </c>
      <c r="C295" t="s">
        <v>59</v>
      </c>
      <c r="D295" t="s">
        <v>66</v>
      </c>
      <c r="E295" t="s">
        <v>41</v>
      </c>
      <c r="F295" t="s">
        <v>19</v>
      </c>
      <c r="G295" t="s">
        <v>20</v>
      </c>
      <c r="H295">
        <v>12</v>
      </c>
      <c r="I295" s="1">
        <v>528.69000000000005</v>
      </c>
      <c r="J295" s="1">
        <f t="shared" si="30"/>
        <v>5709.8519999999999</v>
      </c>
      <c r="K295" s="1">
        <f t="shared" si="31"/>
        <v>634.428</v>
      </c>
      <c r="L295" s="1">
        <v>6344.28</v>
      </c>
      <c r="M295" s="1">
        <f t="shared" si="32"/>
        <v>1141.9703999999999</v>
      </c>
      <c r="N295" s="1">
        <f t="shared" si="33"/>
        <v>7486.2503999999999</v>
      </c>
      <c r="S295" t="str">
        <f t="shared" si="28"/>
        <v>Khyber Pakhtunkhwa</v>
      </c>
      <c r="W295" t="str">
        <f t="shared" si="29"/>
        <v>North</v>
      </c>
      <c r="AB295" t="str">
        <f t="shared" si="34"/>
        <v>Khyber Pakhtunkhwa</v>
      </c>
    </row>
    <row r="296" spans="1:28" x14ac:dyDescent="0.25">
      <c r="A296" s="2">
        <v>45142</v>
      </c>
      <c r="B296" t="s">
        <v>40</v>
      </c>
      <c r="C296" t="s">
        <v>55</v>
      </c>
      <c r="D296" t="s">
        <v>66</v>
      </c>
      <c r="E296" t="s">
        <v>41</v>
      </c>
      <c r="F296" t="s">
        <v>32</v>
      </c>
      <c r="G296" t="s">
        <v>50</v>
      </c>
      <c r="H296">
        <v>8</v>
      </c>
      <c r="I296" s="1">
        <v>528.92999999999995</v>
      </c>
      <c r="J296" s="1">
        <f t="shared" si="30"/>
        <v>3808.2959999999998</v>
      </c>
      <c r="K296" s="1">
        <f t="shared" si="31"/>
        <v>423.14400000000001</v>
      </c>
      <c r="L296" s="1">
        <v>4231.4399999999996</v>
      </c>
      <c r="M296" s="1">
        <f t="shared" si="32"/>
        <v>761.65919999999994</v>
      </c>
      <c r="N296" s="1">
        <f t="shared" si="33"/>
        <v>4993.0991999999997</v>
      </c>
      <c r="S296" t="str">
        <f t="shared" si="28"/>
        <v>Khyber Pakhtunkhwa</v>
      </c>
      <c r="W296" t="str">
        <f t="shared" si="29"/>
        <v>North</v>
      </c>
      <c r="AB296" t="str">
        <f t="shared" si="34"/>
        <v>Khyber Pakhtunkhwa</v>
      </c>
    </row>
    <row r="297" spans="1:28" x14ac:dyDescent="0.25">
      <c r="A297" s="2">
        <v>45150</v>
      </c>
      <c r="B297" t="s">
        <v>10</v>
      </c>
      <c r="C297" t="s">
        <v>26</v>
      </c>
      <c r="D297" t="s">
        <v>12</v>
      </c>
      <c r="E297" t="s">
        <v>18</v>
      </c>
      <c r="F297" t="s">
        <v>27</v>
      </c>
      <c r="G297" t="s">
        <v>28</v>
      </c>
      <c r="H297">
        <v>11</v>
      </c>
      <c r="I297" s="1">
        <v>1749.31</v>
      </c>
      <c r="J297" s="1">
        <f t="shared" si="30"/>
        <v>17318.169000000002</v>
      </c>
      <c r="K297" s="1">
        <f t="shared" si="31"/>
        <v>1924.241</v>
      </c>
      <c r="L297" s="1">
        <v>19242.41</v>
      </c>
      <c r="M297" s="1">
        <f t="shared" si="32"/>
        <v>3463.6338000000001</v>
      </c>
      <c r="N297" s="1">
        <f t="shared" si="33"/>
        <v>22706.043799999999</v>
      </c>
      <c r="S297" t="str">
        <f t="shared" si="28"/>
        <v>Sindh</v>
      </c>
      <c r="W297" t="str">
        <f t="shared" si="29"/>
        <v>South</v>
      </c>
      <c r="AB297" t="str">
        <f t="shared" si="34"/>
        <v>PK-SD</v>
      </c>
    </row>
    <row r="298" spans="1:28" x14ac:dyDescent="0.25">
      <c r="A298" s="2">
        <v>45262</v>
      </c>
      <c r="B298" t="s">
        <v>10</v>
      </c>
      <c r="C298" t="s">
        <v>11</v>
      </c>
      <c r="D298" t="s">
        <v>22</v>
      </c>
      <c r="E298" t="s">
        <v>13</v>
      </c>
      <c r="F298" t="s">
        <v>19</v>
      </c>
      <c r="G298" t="s">
        <v>20</v>
      </c>
      <c r="H298">
        <v>11</v>
      </c>
      <c r="I298" s="1">
        <v>2635.95</v>
      </c>
      <c r="J298" s="1">
        <f t="shared" si="30"/>
        <v>26095.905000000002</v>
      </c>
      <c r="K298" s="1">
        <f t="shared" si="31"/>
        <v>2899.5450000000001</v>
      </c>
      <c r="L298" s="1">
        <v>28995.45</v>
      </c>
      <c r="M298" s="1">
        <f t="shared" si="32"/>
        <v>5219.1809999999996</v>
      </c>
      <c r="N298" s="1">
        <f t="shared" si="33"/>
        <v>34214.631000000001</v>
      </c>
      <c r="S298" t="str">
        <f t="shared" si="28"/>
        <v>Balochistan</v>
      </c>
      <c r="W298" t="str">
        <f t="shared" si="29"/>
        <v>West</v>
      </c>
      <c r="AB298" t="str">
        <f t="shared" si="34"/>
        <v>PK-BA</v>
      </c>
    </row>
    <row r="299" spans="1:28" x14ac:dyDescent="0.25">
      <c r="A299" s="2">
        <v>45275</v>
      </c>
      <c r="B299" t="s">
        <v>31</v>
      </c>
      <c r="C299" t="s">
        <v>11</v>
      </c>
      <c r="D299" t="s">
        <v>22</v>
      </c>
      <c r="E299" t="s">
        <v>13</v>
      </c>
      <c r="F299" t="s">
        <v>27</v>
      </c>
      <c r="G299" t="s">
        <v>28</v>
      </c>
      <c r="H299">
        <v>6</v>
      </c>
      <c r="I299" s="1">
        <v>2850.31</v>
      </c>
      <c r="J299" s="1">
        <f t="shared" si="30"/>
        <v>15391.674000000001</v>
      </c>
      <c r="K299" s="1">
        <f t="shared" si="31"/>
        <v>1710.1860000000001</v>
      </c>
      <c r="L299" s="1">
        <v>17101.86</v>
      </c>
      <c r="M299" s="1">
        <f t="shared" si="32"/>
        <v>3078.3348000000001</v>
      </c>
      <c r="N299" s="1">
        <f t="shared" si="33"/>
        <v>20180.194800000001</v>
      </c>
      <c r="S299" t="str">
        <f t="shared" si="28"/>
        <v>Balochistan</v>
      </c>
      <c r="W299" t="str">
        <f t="shared" si="29"/>
        <v>West</v>
      </c>
      <c r="AB299" t="str">
        <f t="shared" si="34"/>
        <v>PK-BA</v>
      </c>
    </row>
    <row r="300" spans="1:28" x14ac:dyDescent="0.25">
      <c r="A300" s="2">
        <v>45029</v>
      </c>
      <c r="B300" t="s">
        <v>43</v>
      </c>
      <c r="C300" t="s">
        <v>54</v>
      </c>
      <c r="D300" t="s">
        <v>12</v>
      </c>
      <c r="E300" t="s">
        <v>18</v>
      </c>
      <c r="F300" t="s">
        <v>32</v>
      </c>
      <c r="G300" t="s">
        <v>36</v>
      </c>
      <c r="H300">
        <v>5</v>
      </c>
      <c r="I300" s="1">
        <v>1413.03</v>
      </c>
      <c r="J300" s="1">
        <f t="shared" si="30"/>
        <v>6358.6350000000002</v>
      </c>
      <c r="K300" s="1">
        <f t="shared" si="31"/>
        <v>706.51499999999999</v>
      </c>
      <c r="L300" s="1">
        <v>7065.15</v>
      </c>
      <c r="M300" s="1">
        <f t="shared" si="32"/>
        <v>1271.7269999999999</v>
      </c>
      <c r="N300" s="1">
        <f t="shared" si="33"/>
        <v>8336.8770000000004</v>
      </c>
      <c r="S300" t="str">
        <f t="shared" si="28"/>
        <v>Sindh</v>
      </c>
      <c r="W300" t="str">
        <f t="shared" si="29"/>
        <v>South</v>
      </c>
      <c r="AB300" t="str">
        <f t="shared" si="34"/>
        <v>PK-SD</v>
      </c>
    </row>
    <row r="301" spans="1:28" x14ac:dyDescent="0.25">
      <c r="A301" s="2">
        <v>45291</v>
      </c>
      <c r="B301" t="s">
        <v>29</v>
      </c>
      <c r="C301" t="s">
        <v>59</v>
      </c>
      <c r="D301" t="s">
        <v>66</v>
      </c>
      <c r="E301" t="s">
        <v>41</v>
      </c>
      <c r="F301" t="s">
        <v>32</v>
      </c>
      <c r="G301" t="s">
        <v>49</v>
      </c>
      <c r="H301">
        <v>14</v>
      </c>
      <c r="I301" s="1">
        <v>4541.87</v>
      </c>
      <c r="J301" s="1">
        <f t="shared" si="30"/>
        <v>57227.561999999998</v>
      </c>
      <c r="K301" s="1">
        <f t="shared" si="31"/>
        <v>6358.6180000000004</v>
      </c>
      <c r="L301" s="1">
        <v>63586.18</v>
      </c>
      <c r="M301" s="1">
        <f t="shared" si="32"/>
        <v>11445.5124</v>
      </c>
      <c r="N301" s="1">
        <f t="shared" si="33"/>
        <v>75031.6924</v>
      </c>
      <c r="S301" t="str">
        <f t="shared" si="28"/>
        <v>Khyber Pakhtunkhwa</v>
      </c>
      <c r="W301" t="str">
        <f t="shared" si="29"/>
        <v>North</v>
      </c>
      <c r="AB301" t="str">
        <f t="shared" si="34"/>
        <v>Khyber Pakhtunkhwa</v>
      </c>
    </row>
    <row r="302" spans="1:28" x14ac:dyDescent="0.25">
      <c r="A302" s="2">
        <v>45076</v>
      </c>
      <c r="B302" t="s">
        <v>29</v>
      </c>
      <c r="C302" t="s">
        <v>58</v>
      </c>
      <c r="D302" t="s">
        <v>12</v>
      </c>
      <c r="E302" t="s">
        <v>18</v>
      </c>
      <c r="F302" t="s">
        <v>23</v>
      </c>
      <c r="G302" t="s">
        <v>39</v>
      </c>
      <c r="H302">
        <v>5</v>
      </c>
      <c r="I302" s="1">
        <v>3395.71</v>
      </c>
      <c r="J302" s="1">
        <f t="shared" si="30"/>
        <v>15280.695</v>
      </c>
      <c r="K302" s="1">
        <f t="shared" si="31"/>
        <v>1697.855</v>
      </c>
      <c r="L302" s="1">
        <v>16978.55</v>
      </c>
      <c r="M302" s="1">
        <f t="shared" si="32"/>
        <v>3056.1389999999997</v>
      </c>
      <c r="N302" s="1">
        <f t="shared" si="33"/>
        <v>20034.688999999998</v>
      </c>
      <c r="S302" t="str">
        <f t="shared" si="28"/>
        <v>Sindh</v>
      </c>
      <c r="W302" t="str">
        <f t="shared" si="29"/>
        <v>South</v>
      </c>
      <c r="AB302" t="str">
        <f t="shared" si="34"/>
        <v>PK-SD</v>
      </c>
    </row>
    <row r="303" spans="1:28" x14ac:dyDescent="0.25">
      <c r="A303" s="2">
        <v>45237</v>
      </c>
      <c r="B303" t="s">
        <v>25</v>
      </c>
      <c r="C303" t="s">
        <v>35</v>
      </c>
      <c r="D303" t="s">
        <v>65</v>
      </c>
      <c r="E303" t="s">
        <v>64</v>
      </c>
      <c r="F303" t="s">
        <v>19</v>
      </c>
      <c r="G303" t="s">
        <v>48</v>
      </c>
      <c r="H303">
        <v>2</v>
      </c>
      <c r="I303" s="1">
        <v>4050.46</v>
      </c>
      <c r="J303" s="1">
        <f t="shared" si="30"/>
        <v>7290.8280000000004</v>
      </c>
      <c r="K303" s="1">
        <f t="shared" si="31"/>
        <v>810.0920000000001</v>
      </c>
      <c r="L303" s="1">
        <v>8100.92</v>
      </c>
      <c r="M303" s="1">
        <f t="shared" si="32"/>
        <v>1458.1656</v>
      </c>
      <c r="N303" s="1">
        <f t="shared" si="33"/>
        <v>9559.0856000000003</v>
      </c>
      <c r="S303" t="str">
        <f t="shared" si="28"/>
        <v>Punjab</v>
      </c>
      <c r="W303" t="str">
        <f t="shared" si="29"/>
        <v>East</v>
      </c>
      <c r="AB303" t="str">
        <f t="shared" si="34"/>
        <v>PK-PB</v>
      </c>
    </row>
    <row r="304" spans="1:28" x14ac:dyDescent="0.25">
      <c r="A304" s="2">
        <v>45141</v>
      </c>
      <c r="B304" t="s">
        <v>38</v>
      </c>
      <c r="C304" t="s">
        <v>63</v>
      </c>
      <c r="D304" t="s">
        <v>65</v>
      </c>
      <c r="E304" t="s">
        <v>64</v>
      </c>
      <c r="F304" t="s">
        <v>23</v>
      </c>
      <c r="G304" t="s">
        <v>24</v>
      </c>
      <c r="H304">
        <v>6</v>
      </c>
      <c r="I304" s="1">
        <v>3617.81</v>
      </c>
      <c r="J304" s="1">
        <f t="shared" si="30"/>
        <v>19536.174000000003</v>
      </c>
      <c r="K304" s="1">
        <f t="shared" si="31"/>
        <v>2170.6860000000001</v>
      </c>
      <c r="L304" s="1">
        <v>21706.86</v>
      </c>
      <c r="M304" s="1">
        <f t="shared" si="32"/>
        <v>3907.2348000000002</v>
      </c>
      <c r="N304" s="1">
        <f t="shared" si="33"/>
        <v>25614.094799999999</v>
      </c>
      <c r="S304" t="str">
        <f t="shared" si="28"/>
        <v>Punjab</v>
      </c>
      <c r="W304" t="str">
        <f t="shared" si="29"/>
        <v>East</v>
      </c>
      <c r="AB304" t="str">
        <f t="shared" si="34"/>
        <v>PK-PB</v>
      </c>
    </row>
    <row r="305" spans="1:28" x14ac:dyDescent="0.25">
      <c r="A305" s="2">
        <v>45158</v>
      </c>
      <c r="B305" t="s">
        <v>25</v>
      </c>
      <c r="C305" t="s">
        <v>17</v>
      </c>
      <c r="D305" t="s">
        <v>65</v>
      </c>
      <c r="E305" t="s">
        <v>64</v>
      </c>
      <c r="F305" t="s">
        <v>27</v>
      </c>
      <c r="G305" t="s">
        <v>42</v>
      </c>
      <c r="H305">
        <v>11</v>
      </c>
      <c r="I305" s="1">
        <v>1527.71</v>
      </c>
      <c r="J305" s="1">
        <f t="shared" si="30"/>
        <v>15124.329000000002</v>
      </c>
      <c r="K305" s="1">
        <f t="shared" si="31"/>
        <v>1680.4810000000002</v>
      </c>
      <c r="L305" s="1">
        <v>16804.810000000001</v>
      </c>
      <c r="M305" s="1">
        <f t="shared" si="32"/>
        <v>3024.8658</v>
      </c>
      <c r="N305" s="1">
        <f t="shared" si="33"/>
        <v>19829.675800000001</v>
      </c>
      <c r="S305" t="str">
        <f t="shared" si="28"/>
        <v>Punjab</v>
      </c>
      <c r="W305" t="str">
        <f t="shared" si="29"/>
        <v>East</v>
      </c>
      <c r="AB305" t="str">
        <f t="shared" si="34"/>
        <v>PK-PB</v>
      </c>
    </row>
    <row r="306" spans="1:28" x14ac:dyDescent="0.25">
      <c r="A306" s="2">
        <v>44963</v>
      </c>
      <c r="B306" t="s">
        <v>38</v>
      </c>
      <c r="C306" t="s">
        <v>26</v>
      </c>
      <c r="D306" t="s">
        <v>12</v>
      </c>
      <c r="E306" t="s">
        <v>18</v>
      </c>
      <c r="F306" t="s">
        <v>32</v>
      </c>
      <c r="G306" t="s">
        <v>50</v>
      </c>
      <c r="H306">
        <v>7</v>
      </c>
      <c r="I306" s="1">
        <v>1420.32</v>
      </c>
      <c r="J306" s="1">
        <f t="shared" si="30"/>
        <v>8948.0159999999996</v>
      </c>
      <c r="K306" s="1">
        <f t="shared" si="31"/>
        <v>994.22400000000005</v>
      </c>
      <c r="L306" s="1">
        <v>9942.24</v>
      </c>
      <c r="M306" s="1">
        <f t="shared" si="32"/>
        <v>1789.6031999999998</v>
      </c>
      <c r="N306" s="1">
        <f t="shared" si="33"/>
        <v>11731.843199999999</v>
      </c>
      <c r="S306" t="str">
        <f t="shared" si="28"/>
        <v>Sindh</v>
      </c>
      <c r="W306" t="str">
        <f t="shared" si="29"/>
        <v>South</v>
      </c>
      <c r="AB306" t="str">
        <f t="shared" si="34"/>
        <v>PK-SD</v>
      </c>
    </row>
    <row r="307" spans="1:28" x14ac:dyDescent="0.25">
      <c r="A307" s="2">
        <v>44952</v>
      </c>
      <c r="B307" t="s">
        <v>29</v>
      </c>
      <c r="C307" t="s">
        <v>55</v>
      </c>
      <c r="D307" t="s">
        <v>66</v>
      </c>
      <c r="E307" t="s">
        <v>41</v>
      </c>
      <c r="F307" t="s">
        <v>32</v>
      </c>
      <c r="G307" t="s">
        <v>33</v>
      </c>
      <c r="H307">
        <v>17</v>
      </c>
      <c r="I307" s="1">
        <v>1336.86</v>
      </c>
      <c r="J307" s="1">
        <f t="shared" si="30"/>
        <v>20453.957999999999</v>
      </c>
      <c r="K307" s="1">
        <f t="shared" si="31"/>
        <v>2272.6619999999998</v>
      </c>
      <c r="L307" s="1">
        <v>22726.62</v>
      </c>
      <c r="M307" s="1">
        <f t="shared" si="32"/>
        <v>4090.7915999999996</v>
      </c>
      <c r="N307" s="1">
        <f t="shared" si="33"/>
        <v>26817.411599999999</v>
      </c>
      <c r="S307" t="str">
        <f t="shared" si="28"/>
        <v>Khyber Pakhtunkhwa</v>
      </c>
      <c r="W307" t="str">
        <f t="shared" si="29"/>
        <v>North</v>
      </c>
      <c r="AB307" t="str">
        <f t="shared" si="34"/>
        <v>Khyber Pakhtunkhwa</v>
      </c>
    </row>
    <row r="308" spans="1:28" x14ac:dyDescent="0.25">
      <c r="A308" s="2">
        <v>44936</v>
      </c>
      <c r="B308" t="s">
        <v>10</v>
      </c>
      <c r="C308" t="s">
        <v>63</v>
      </c>
      <c r="D308" t="s">
        <v>65</v>
      </c>
      <c r="E308" t="s">
        <v>64</v>
      </c>
      <c r="F308" t="s">
        <v>23</v>
      </c>
      <c r="G308" t="s">
        <v>24</v>
      </c>
      <c r="H308">
        <v>15</v>
      </c>
      <c r="I308" s="1">
        <v>359.4</v>
      </c>
      <c r="J308" s="1">
        <f t="shared" si="30"/>
        <v>4851.9000000000005</v>
      </c>
      <c r="K308" s="1">
        <f t="shared" si="31"/>
        <v>539.1</v>
      </c>
      <c r="L308" s="1">
        <v>5391</v>
      </c>
      <c r="M308" s="1">
        <f t="shared" si="32"/>
        <v>970.38</v>
      </c>
      <c r="N308" s="1">
        <f t="shared" si="33"/>
        <v>6361.38</v>
      </c>
      <c r="S308" t="str">
        <f t="shared" si="28"/>
        <v>Punjab</v>
      </c>
      <c r="W308" t="str">
        <f t="shared" si="29"/>
        <v>East</v>
      </c>
      <c r="AB308" t="str">
        <f t="shared" si="34"/>
        <v>PK-PB</v>
      </c>
    </row>
    <row r="309" spans="1:28" x14ac:dyDescent="0.25">
      <c r="A309" s="2">
        <v>45192</v>
      </c>
      <c r="B309" t="s">
        <v>40</v>
      </c>
      <c r="C309" t="s">
        <v>26</v>
      </c>
      <c r="D309" t="s">
        <v>12</v>
      </c>
      <c r="E309" t="s">
        <v>18</v>
      </c>
      <c r="F309" t="s">
        <v>14</v>
      </c>
      <c r="G309" t="s">
        <v>53</v>
      </c>
      <c r="H309">
        <v>6</v>
      </c>
      <c r="I309" s="1">
        <v>4109.0200000000004</v>
      </c>
      <c r="J309" s="1">
        <f t="shared" si="30"/>
        <v>22188.707999999999</v>
      </c>
      <c r="K309" s="1">
        <f t="shared" si="31"/>
        <v>2465.4120000000003</v>
      </c>
      <c r="L309" s="1">
        <v>24654.12</v>
      </c>
      <c r="M309" s="1">
        <f t="shared" si="32"/>
        <v>4437.7415999999994</v>
      </c>
      <c r="N309" s="1">
        <f t="shared" si="33"/>
        <v>29091.861599999997</v>
      </c>
      <c r="S309" t="str">
        <f t="shared" si="28"/>
        <v>Sindh</v>
      </c>
      <c r="W309" t="str">
        <f t="shared" si="29"/>
        <v>South</v>
      </c>
      <c r="AB309" t="str">
        <f t="shared" si="34"/>
        <v>PK-SD</v>
      </c>
    </row>
    <row r="310" spans="1:28" x14ac:dyDescent="0.25">
      <c r="A310" s="2">
        <v>44965</v>
      </c>
      <c r="B310" t="s">
        <v>21</v>
      </c>
      <c r="C310" t="s">
        <v>54</v>
      </c>
      <c r="D310" t="s">
        <v>12</v>
      </c>
      <c r="E310" t="s">
        <v>18</v>
      </c>
      <c r="F310" t="s">
        <v>14</v>
      </c>
      <c r="G310" t="s">
        <v>15</v>
      </c>
      <c r="H310">
        <v>12</v>
      </c>
      <c r="I310" s="1">
        <v>3700.23</v>
      </c>
      <c r="J310" s="1">
        <f t="shared" si="30"/>
        <v>39962.484000000004</v>
      </c>
      <c r="K310" s="1">
        <f t="shared" si="31"/>
        <v>4440.2760000000007</v>
      </c>
      <c r="L310" s="1">
        <v>44402.76</v>
      </c>
      <c r="M310" s="1">
        <f t="shared" si="32"/>
        <v>7992.4967999999999</v>
      </c>
      <c r="N310" s="1">
        <f t="shared" si="33"/>
        <v>52395.256800000003</v>
      </c>
      <c r="S310" t="str">
        <f t="shared" si="28"/>
        <v>Sindh</v>
      </c>
      <c r="W310" t="str">
        <f t="shared" si="29"/>
        <v>South</v>
      </c>
      <c r="AB310" t="str">
        <f t="shared" si="34"/>
        <v>PK-SD</v>
      </c>
    </row>
    <row r="311" spans="1:28" x14ac:dyDescent="0.25">
      <c r="A311" s="2">
        <v>45015</v>
      </c>
      <c r="B311" t="s">
        <v>25</v>
      </c>
      <c r="C311" t="s">
        <v>55</v>
      </c>
      <c r="D311" t="s">
        <v>66</v>
      </c>
      <c r="E311" t="s">
        <v>41</v>
      </c>
      <c r="F311" t="s">
        <v>14</v>
      </c>
      <c r="G311" t="s">
        <v>53</v>
      </c>
      <c r="H311">
        <v>5</v>
      </c>
      <c r="I311" s="1">
        <v>221.41</v>
      </c>
      <c r="J311" s="1">
        <f t="shared" si="30"/>
        <v>996.34500000000003</v>
      </c>
      <c r="K311" s="1">
        <f t="shared" si="31"/>
        <v>110.705</v>
      </c>
      <c r="L311" s="1">
        <v>1107.05</v>
      </c>
      <c r="M311" s="1">
        <f t="shared" si="32"/>
        <v>199.26899999999998</v>
      </c>
      <c r="N311" s="1">
        <f t="shared" si="33"/>
        <v>1306.319</v>
      </c>
      <c r="S311" t="str">
        <f t="shared" si="28"/>
        <v>Khyber Pakhtunkhwa</v>
      </c>
      <c r="W311" t="str">
        <f t="shared" si="29"/>
        <v>North</v>
      </c>
      <c r="AB311" t="str">
        <f t="shared" si="34"/>
        <v>Khyber Pakhtunkhwa</v>
      </c>
    </row>
    <row r="312" spans="1:28" x14ac:dyDescent="0.25">
      <c r="A312" s="2">
        <v>45075</v>
      </c>
      <c r="B312" t="s">
        <v>40</v>
      </c>
      <c r="C312" t="s">
        <v>62</v>
      </c>
      <c r="D312" t="s">
        <v>65</v>
      </c>
      <c r="E312" t="s">
        <v>64</v>
      </c>
      <c r="F312" t="s">
        <v>23</v>
      </c>
      <c r="G312" t="s">
        <v>24</v>
      </c>
      <c r="H312">
        <v>12</v>
      </c>
      <c r="I312" s="1">
        <v>4446.1499999999996</v>
      </c>
      <c r="J312" s="1">
        <f t="shared" si="30"/>
        <v>48018.420000000006</v>
      </c>
      <c r="K312" s="1">
        <f t="shared" si="31"/>
        <v>5335.380000000001</v>
      </c>
      <c r="L312" s="1">
        <v>53353.8</v>
      </c>
      <c r="M312" s="1">
        <f t="shared" si="32"/>
        <v>9603.6839999999993</v>
      </c>
      <c r="N312" s="1">
        <f t="shared" si="33"/>
        <v>62957.484000000004</v>
      </c>
      <c r="S312" t="str">
        <f t="shared" si="28"/>
        <v>Punjab</v>
      </c>
      <c r="W312" t="str">
        <f t="shared" si="29"/>
        <v>East</v>
      </c>
      <c r="AB312" t="str">
        <f t="shared" si="34"/>
        <v>PK-PB</v>
      </c>
    </row>
    <row r="313" spans="1:28" x14ac:dyDescent="0.25">
      <c r="A313" s="2">
        <v>45115</v>
      </c>
      <c r="B313" t="s">
        <v>29</v>
      </c>
      <c r="C313" t="s">
        <v>62</v>
      </c>
      <c r="D313" t="s">
        <v>65</v>
      </c>
      <c r="E313" t="s">
        <v>64</v>
      </c>
      <c r="F313" t="s">
        <v>27</v>
      </c>
      <c r="G313" t="s">
        <v>28</v>
      </c>
      <c r="H313">
        <v>12</v>
      </c>
      <c r="I313" s="1">
        <v>2393.9699999999998</v>
      </c>
      <c r="J313" s="1">
        <f t="shared" si="30"/>
        <v>25854.876</v>
      </c>
      <c r="K313" s="1">
        <f t="shared" si="31"/>
        <v>2872.7640000000001</v>
      </c>
      <c r="L313" s="1">
        <v>28727.64</v>
      </c>
      <c r="M313" s="1">
        <f t="shared" si="32"/>
        <v>5170.9751999999999</v>
      </c>
      <c r="N313" s="1">
        <f t="shared" si="33"/>
        <v>33898.6152</v>
      </c>
      <c r="S313" t="str">
        <f t="shared" si="28"/>
        <v>Punjab</v>
      </c>
      <c r="W313" t="str">
        <f t="shared" si="29"/>
        <v>East</v>
      </c>
      <c r="AB313" t="str">
        <f t="shared" si="34"/>
        <v>PK-PB</v>
      </c>
    </row>
    <row r="314" spans="1:28" x14ac:dyDescent="0.25">
      <c r="A314" s="2">
        <v>45089</v>
      </c>
      <c r="B314" t="s">
        <v>31</v>
      </c>
      <c r="C314" t="s">
        <v>58</v>
      </c>
      <c r="D314" t="s">
        <v>12</v>
      </c>
      <c r="E314" t="s">
        <v>18</v>
      </c>
      <c r="F314" t="s">
        <v>27</v>
      </c>
      <c r="G314" t="s">
        <v>44</v>
      </c>
      <c r="H314">
        <v>7</v>
      </c>
      <c r="I314" s="1">
        <v>256.57</v>
      </c>
      <c r="J314" s="1">
        <f t="shared" si="30"/>
        <v>1616.3910000000001</v>
      </c>
      <c r="K314" s="1">
        <f t="shared" si="31"/>
        <v>179.59900000000002</v>
      </c>
      <c r="L314" s="1">
        <v>1795.99</v>
      </c>
      <c r="M314" s="1">
        <f t="shared" si="32"/>
        <v>323.27819999999997</v>
      </c>
      <c r="N314" s="1">
        <f t="shared" si="33"/>
        <v>2119.2682</v>
      </c>
      <c r="S314" t="str">
        <f t="shared" si="28"/>
        <v>Sindh</v>
      </c>
      <c r="W314" t="str">
        <f t="shared" si="29"/>
        <v>South</v>
      </c>
      <c r="AB314" t="str">
        <f t="shared" si="34"/>
        <v>PK-SD</v>
      </c>
    </row>
    <row r="315" spans="1:28" x14ac:dyDescent="0.25">
      <c r="A315" s="2">
        <v>45071</v>
      </c>
      <c r="B315" t="s">
        <v>40</v>
      </c>
      <c r="C315" t="s">
        <v>56</v>
      </c>
      <c r="D315" t="s">
        <v>12</v>
      </c>
      <c r="E315" t="s">
        <v>18</v>
      </c>
      <c r="F315" t="s">
        <v>23</v>
      </c>
      <c r="G315" t="s">
        <v>47</v>
      </c>
      <c r="H315">
        <v>9</v>
      </c>
      <c r="I315" s="1">
        <v>4218.3599999999997</v>
      </c>
      <c r="J315" s="1">
        <f t="shared" si="30"/>
        <v>34168.716</v>
      </c>
      <c r="K315" s="1">
        <f t="shared" si="31"/>
        <v>3796.5239999999999</v>
      </c>
      <c r="L315" s="1">
        <v>37965.24</v>
      </c>
      <c r="M315" s="1">
        <f t="shared" si="32"/>
        <v>6833.743199999999</v>
      </c>
      <c r="N315" s="1">
        <f t="shared" si="33"/>
        <v>44798.983199999995</v>
      </c>
      <c r="S315" t="str">
        <f t="shared" si="28"/>
        <v>Sindh</v>
      </c>
      <c r="W315" t="str">
        <f t="shared" si="29"/>
        <v>South</v>
      </c>
      <c r="AB315" t="str">
        <f t="shared" si="34"/>
        <v>PK-SD</v>
      </c>
    </row>
    <row r="316" spans="1:28" x14ac:dyDescent="0.25">
      <c r="A316" s="2">
        <v>45121</v>
      </c>
      <c r="B316" t="s">
        <v>29</v>
      </c>
      <c r="C316" t="s">
        <v>58</v>
      </c>
      <c r="D316" t="s">
        <v>12</v>
      </c>
      <c r="E316" t="s">
        <v>18</v>
      </c>
      <c r="F316" t="s">
        <v>23</v>
      </c>
      <c r="G316" t="s">
        <v>37</v>
      </c>
      <c r="H316">
        <v>8</v>
      </c>
      <c r="I316" s="1">
        <v>4930.67</v>
      </c>
      <c r="J316" s="1">
        <f t="shared" si="30"/>
        <v>35500.824000000001</v>
      </c>
      <c r="K316" s="1">
        <f t="shared" si="31"/>
        <v>3944.5360000000001</v>
      </c>
      <c r="L316" s="1">
        <v>39445.360000000001</v>
      </c>
      <c r="M316" s="1">
        <f t="shared" si="32"/>
        <v>7100.1647999999996</v>
      </c>
      <c r="N316" s="1">
        <f t="shared" si="33"/>
        <v>46545.524799999999</v>
      </c>
      <c r="S316" t="str">
        <f t="shared" si="28"/>
        <v>Sindh</v>
      </c>
      <c r="W316" t="str">
        <f t="shared" si="29"/>
        <v>South</v>
      </c>
      <c r="AB316" t="str">
        <f t="shared" si="34"/>
        <v>PK-SD</v>
      </c>
    </row>
    <row r="317" spans="1:28" x14ac:dyDescent="0.25">
      <c r="A317" s="2">
        <v>45186</v>
      </c>
      <c r="B317" t="s">
        <v>16</v>
      </c>
      <c r="C317" t="s">
        <v>55</v>
      </c>
      <c r="D317" t="s">
        <v>66</v>
      </c>
      <c r="E317" t="s">
        <v>41</v>
      </c>
      <c r="F317" t="s">
        <v>23</v>
      </c>
      <c r="G317" t="s">
        <v>37</v>
      </c>
      <c r="H317">
        <v>2</v>
      </c>
      <c r="I317" s="1">
        <v>1264.68</v>
      </c>
      <c r="J317" s="1">
        <f t="shared" si="30"/>
        <v>2276.424</v>
      </c>
      <c r="K317" s="1">
        <f t="shared" si="31"/>
        <v>252.93600000000004</v>
      </c>
      <c r="L317" s="1">
        <v>2529.36</v>
      </c>
      <c r="M317" s="1">
        <f t="shared" si="32"/>
        <v>455.28480000000002</v>
      </c>
      <c r="N317" s="1">
        <f t="shared" si="33"/>
        <v>2984.6448</v>
      </c>
      <c r="S317" t="str">
        <f t="shared" si="28"/>
        <v>Khyber Pakhtunkhwa</v>
      </c>
      <c r="W317" t="str">
        <f t="shared" si="29"/>
        <v>North</v>
      </c>
      <c r="AB317" t="str">
        <f t="shared" si="34"/>
        <v>Khyber Pakhtunkhwa</v>
      </c>
    </row>
    <row r="318" spans="1:28" x14ac:dyDescent="0.25">
      <c r="A318" s="2">
        <v>45084</v>
      </c>
      <c r="B318" t="s">
        <v>10</v>
      </c>
      <c r="C318" t="s">
        <v>59</v>
      </c>
      <c r="D318" t="s">
        <v>66</v>
      </c>
      <c r="E318" t="s">
        <v>41</v>
      </c>
      <c r="F318" t="s">
        <v>19</v>
      </c>
      <c r="G318" t="s">
        <v>30</v>
      </c>
      <c r="H318">
        <v>16</v>
      </c>
      <c r="I318" s="1">
        <v>2192.7399999999998</v>
      </c>
      <c r="J318" s="1">
        <f t="shared" si="30"/>
        <v>31575.455999999998</v>
      </c>
      <c r="K318" s="1">
        <f t="shared" si="31"/>
        <v>3508.384</v>
      </c>
      <c r="L318" s="1">
        <v>35083.839999999997</v>
      </c>
      <c r="M318" s="1">
        <f t="shared" si="32"/>
        <v>6315.0911999999989</v>
      </c>
      <c r="N318" s="1">
        <f t="shared" si="33"/>
        <v>41398.931199999992</v>
      </c>
      <c r="S318" t="str">
        <f t="shared" si="28"/>
        <v>Khyber Pakhtunkhwa</v>
      </c>
      <c r="W318" t="str">
        <f t="shared" si="29"/>
        <v>North</v>
      </c>
      <c r="AB318" t="str">
        <f t="shared" si="34"/>
        <v>Khyber Pakhtunkhwa</v>
      </c>
    </row>
    <row r="319" spans="1:28" x14ac:dyDescent="0.25">
      <c r="A319" s="2">
        <v>45258</v>
      </c>
      <c r="B319" t="s">
        <v>16</v>
      </c>
      <c r="C319" t="s">
        <v>59</v>
      </c>
      <c r="D319" t="s">
        <v>66</v>
      </c>
      <c r="E319" t="s">
        <v>41</v>
      </c>
      <c r="F319" t="s">
        <v>27</v>
      </c>
      <c r="G319" t="s">
        <v>42</v>
      </c>
      <c r="H319">
        <v>14</v>
      </c>
      <c r="I319" s="1">
        <v>3943.42</v>
      </c>
      <c r="J319" s="1">
        <f t="shared" si="30"/>
        <v>49687.091999999997</v>
      </c>
      <c r="K319" s="1">
        <f t="shared" si="31"/>
        <v>5520.7880000000005</v>
      </c>
      <c r="L319" s="1">
        <v>55207.88</v>
      </c>
      <c r="M319" s="1">
        <f t="shared" si="32"/>
        <v>9937.4183999999987</v>
      </c>
      <c r="N319" s="1">
        <f t="shared" si="33"/>
        <v>65145.2984</v>
      </c>
      <c r="S319" t="str">
        <f t="shared" si="28"/>
        <v>Khyber Pakhtunkhwa</v>
      </c>
      <c r="W319" t="str">
        <f t="shared" si="29"/>
        <v>North</v>
      </c>
      <c r="AB319" t="str">
        <f t="shared" si="34"/>
        <v>Khyber Pakhtunkhwa</v>
      </c>
    </row>
    <row r="320" spans="1:28" x14ac:dyDescent="0.25">
      <c r="A320" s="2">
        <v>45172</v>
      </c>
      <c r="B320" t="s">
        <v>38</v>
      </c>
      <c r="C320" t="s">
        <v>60</v>
      </c>
      <c r="D320" t="s">
        <v>12</v>
      </c>
      <c r="E320" t="s">
        <v>18</v>
      </c>
      <c r="F320" t="s">
        <v>27</v>
      </c>
      <c r="G320" t="s">
        <v>46</v>
      </c>
      <c r="H320">
        <v>11</v>
      </c>
      <c r="I320" s="1">
        <v>2951.18</v>
      </c>
      <c r="J320" s="1">
        <f t="shared" si="30"/>
        <v>29216.682000000001</v>
      </c>
      <c r="K320" s="1">
        <f t="shared" si="31"/>
        <v>3246.2980000000002</v>
      </c>
      <c r="L320" s="1">
        <v>32462.98</v>
      </c>
      <c r="M320" s="1">
        <f t="shared" si="32"/>
        <v>5843.3364000000001</v>
      </c>
      <c r="N320" s="1">
        <f t="shared" si="33"/>
        <v>38306.316399999996</v>
      </c>
      <c r="S320" t="str">
        <f t="shared" si="28"/>
        <v>Sindh</v>
      </c>
      <c r="W320" t="str">
        <f t="shared" si="29"/>
        <v>South</v>
      </c>
      <c r="AB320" t="str">
        <f t="shared" si="34"/>
        <v>PK-SD</v>
      </c>
    </row>
    <row r="321" spans="1:28" x14ac:dyDescent="0.25">
      <c r="A321" s="2">
        <v>45216</v>
      </c>
      <c r="B321" t="s">
        <v>34</v>
      </c>
      <c r="C321" t="s">
        <v>55</v>
      </c>
      <c r="D321" t="s">
        <v>66</v>
      </c>
      <c r="E321" t="s">
        <v>41</v>
      </c>
      <c r="F321" t="s">
        <v>27</v>
      </c>
      <c r="G321" t="s">
        <v>44</v>
      </c>
      <c r="H321">
        <v>11</v>
      </c>
      <c r="I321" s="1">
        <v>4325.83</v>
      </c>
      <c r="J321" s="1">
        <f t="shared" si="30"/>
        <v>42825.716999999997</v>
      </c>
      <c r="K321" s="1">
        <f t="shared" si="31"/>
        <v>4758.4129999999996</v>
      </c>
      <c r="L321" s="1">
        <v>47584.13</v>
      </c>
      <c r="M321" s="1">
        <f t="shared" si="32"/>
        <v>8565.143399999999</v>
      </c>
      <c r="N321" s="1">
        <f t="shared" si="33"/>
        <v>56149.273399999998</v>
      </c>
      <c r="S321" t="str">
        <f t="shared" si="28"/>
        <v>Khyber Pakhtunkhwa</v>
      </c>
      <c r="W321" t="str">
        <f t="shared" si="29"/>
        <v>North</v>
      </c>
      <c r="AB321" t="str">
        <f t="shared" si="34"/>
        <v>Khyber Pakhtunkhwa</v>
      </c>
    </row>
    <row r="322" spans="1:28" x14ac:dyDescent="0.25">
      <c r="A322" s="2">
        <v>45033</v>
      </c>
      <c r="B322" t="s">
        <v>34</v>
      </c>
      <c r="C322" t="s">
        <v>60</v>
      </c>
      <c r="D322" t="s">
        <v>12</v>
      </c>
      <c r="E322" t="s">
        <v>18</v>
      </c>
      <c r="F322" t="s">
        <v>32</v>
      </c>
      <c r="G322" t="s">
        <v>50</v>
      </c>
      <c r="H322">
        <v>2</v>
      </c>
      <c r="I322" s="1">
        <v>1417.87</v>
      </c>
      <c r="J322" s="1">
        <f t="shared" si="30"/>
        <v>2552.1659999999997</v>
      </c>
      <c r="K322" s="1">
        <f t="shared" si="31"/>
        <v>283.57400000000001</v>
      </c>
      <c r="L322" s="1">
        <v>2835.74</v>
      </c>
      <c r="M322" s="1">
        <f t="shared" si="32"/>
        <v>510.43319999999994</v>
      </c>
      <c r="N322" s="1">
        <f t="shared" si="33"/>
        <v>3346.1731999999997</v>
      </c>
      <c r="S322" t="str">
        <f t="shared" ref="S322:S385" si="35">VLOOKUP(C322,$Q$2:$R$15,2,FALSE)</f>
        <v>Sindh</v>
      </c>
      <c r="W322" t="str">
        <f t="shared" ref="W322:W385" si="36">VLOOKUP(D322,$U$2:$V$5,2,FALSE)</f>
        <v>South</v>
      </c>
      <c r="AB322" t="str">
        <f t="shared" si="34"/>
        <v>PK-SD</v>
      </c>
    </row>
    <row r="323" spans="1:28" x14ac:dyDescent="0.25">
      <c r="A323" s="2">
        <v>45219</v>
      </c>
      <c r="B323" t="s">
        <v>34</v>
      </c>
      <c r="C323" t="s">
        <v>26</v>
      </c>
      <c r="D323" t="s">
        <v>12</v>
      </c>
      <c r="E323" t="s">
        <v>18</v>
      </c>
      <c r="F323" t="s">
        <v>19</v>
      </c>
      <c r="G323" t="s">
        <v>20</v>
      </c>
      <c r="H323">
        <v>13</v>
      </c>
      <c r="I323" s="1">
        <v>2511.64</v>
      </c>
      <c r="J323" s="1">
        <f t="shared" ref="J323:J386" si="37">L323*90%</f>
        <v>29386.188000000002</v>
      </c>
      <c r="K323" s="1">
        <f t="shared" ref="K323:K386" si="38">L323*10%</f>
        <v>3265.1320000000001</v>
      </c>
      <c r="L323" s="1">
        <v>32651.32</v>
      </c>
      <c r="M323" s="1">
        <f t="shared" ref="M323:M386" si="39">L323*18%</f>
        <v>5877.2375999999995</v>
      </c>
      <c r="N323" s="1">
        <f t="shared" ref="N323:N386" si="40">L323+M323</f>
        <v>38528.5576</v>
      </c>
      <c r="S323" t="str">
        <f t="shared" si="35"/>
        <v>Sindh</v>
      </c>
      <c r="W323" t="str">
        <f t="shared" si="36"/>
        <v>South</v>
      </c>
      <c r="AB323" t="str">
        <f t="shared" ref="AB323:AB386" si="41">VLOOKUP(D323,$Z$2:$AA$5,2,FALSE)</f>
        <v>PK-SD</v>
      </c>
    </row>
    <row r="324" spans="1:28" x14ac:dyDescent="0.25">
      <c r="A324" s="2">
        <v>45047</v>
      </c>
      <c r="B324" t="s">
        <v>38</v>
      </c>
      <c r="C324" t="s">
        <v>26</v>
      </c>
      <c r="D324" t="s">
        <v>12</v>
      </c>
      <c r="E324" t="s">
        <v>18</v>
      </c>
      <c r="F324" t="s">
        <v>14</v>
      </c>
      <c r="G324" t="s">
        <v>15</v>
      </c>
      <c r="H324">
        <v>7</v>
      </c>
      <c r="I324" s="1">
        <v>862.76</v>
      </c>
      <c r="J324" s="1">
        <f t="shared" si="37"/>
        <v>5435.3879999999999</v>
      </c>
      <c r="K324" s="1">
        <f t="shared" si="38"/>
        <v>603.93200000000002</v>
      </c>
      <c r="L324" s="1">
        <v>6039.32</v>
      </c>
      <c r="M324" s="1">
        <f t="shared" si="39"/>
        <v>1087.0775999999998</v>
      </c>
      <c r="N324" s="1">
        <f t="shared" si="40"/>
        <v>7126.3975999999993</v>
      </c>
      <c r="S324" t="str">
        <f t="shared" si="35"/>
        <v>Sindh</v>
      </c>
      <c r="W324" t="str">
        <f t="shared" si="36"/>
        <v>South</v>
      </c>
      <c r="AB324" t="str">
        <f t="shared" si="41"/>
        <v>PK-SD</v>
      </c>
    </row>
    <row r="325" spans="1:28" x14ac:dyDescent="0.25">
      <c r="A325" s="2">
        <v>45200</v>
      </c>
      <c r="B325" t="s">
        <v>16</v>
      </c>
      <c r="C325" t="s">
        <v>57</v>
      </c>
      <c r="D325" t="s">
        <v>22</v>
      </c>
      <c r="E325" t="s">
        <v>13</v>
      </c>
      <c r="F325" t="s">
        <v>23</v>
      </c>
      <c r="G325" t="s">
        <v>47</v>
      </c>
      <c r="H325">
        <v>18</v>
      </c>
      <c r="I325" s="1">
        <v>1412.15</v>
      </c>
      <c r="J325" s="1">
        <f t="shared" si="37"/>
        <v>22876.83</v>
      </c>
      <c r="K325" s="1">
        <f t="shared" si="38"/>
        <v>2541.8700000000003</v>
      </c>
      <c r="L325" s="1">
        <v>25418.7</v>
      </c>
      <c r="M325" s="1">
        <f t="shared" si="39"/>
        <v>4575.366</v>
      </c>
      <c r="N325" s="1">
        <f t="shared" si="40"/>
        <v>29994.065999999999</v>
      </c>
      <c r="S325" t="str">
        <f t="shared" si="35"/>
        <v>Balochistan</v>
      </c>
      <c r="W325" t="str">
        <f t="shared" si="36"/>
        <v>West</v>
      </c>
      <c r="AB325" t="str">
        <f t="shared" si="41"/>
        <v>PK-BA</v>
      </c>
    </row>
    <row r="326" spans="1:28" x14ac:dyDescent="0.25">
      <c r="A326" s="2">
        <v>44938</v>
      </c>
      <c r="B326" t="s">
        <v>38</v>
      </c>
      <c r="C326" t="s">
        <v>63</v>
      </c>
      <c r="D326" t="s">
        <v>65</v>
      </c>
      <c r="E326" t="s">
        <v>64</v>
      </c>
      <c r="F326" t="s">
        <v>19</v>
      </c>
      <c r="G326" t="s">
        <v>20</v>
      </c>
      <c r="H326">
        <v>6</v>
      </c>
      <c r="I326" s="1">
        <v>3295.29</v>
      </c>
      <c r="J326" s="1">
        <f t="shared" si="37"/>
        <v>17794.566000000003</v>
      </c>
      <c r="K326" s="1">
        <f t="shared" si="38"/>
        <v>1977.1740000000002</v>
      </c>
      <c r="L326" s="1">
        <v>19771.740000000002</v>
      </c>
      <c r="M326" s="1">
        <f t="shared" si="39"/>
        <v>3558.9132</v>
      </c>
      <c r="N326" s="1">
        <f t="shared" si="40"/>
        <v>23330.653200000001</v>
      </c>
      <c r="S326" t="str">
        <f t="shared" si="35"/>
        <v>Punjab</v>
      </c>
      <c r="W326" t="str">
        <f t="shared" si="36"/>
        <v>East</v>
      </c>
      <c r="AB326" t="str">
        <f t="shared" si="41"/>
        <v>PK-PB</v>
      </c>
    </row>
    <row r="327" spans="1:28" x14ac:dyDescent="0.25">
      <c r="A327" s="2">
        <v>45120</v>
      </c>
      <c r="B327" t="s">
        <v>43</v>
      </c>
      <c r="C327" t="s">
        <v>17</v>
      </c>
      <c r="D327" t="s">
        <v>65</v>
      </c>
      <c r="E327" t="s">
        <v>64</v>
      </c>
      <c r="F327" t="s">
        <v>19</v>
      </c>
      <c r="G327" t="s">
        <v>48</v>
      </c>
      <c r="H327">
        <v>18</v>
      </c>
      <c r="I327" s="1">
        <v>4132.6899999999996</v>
      </c>
      <c r="J327" s="1">
        <f t="shared" si="37"/>
        <v>66949.577999999994</v>
      </c>
      <c r="K327" s="1">
        <f t="shared" si="38"/>
        <v>7438.8420000000006</v>
      </c>
      <c r="L327" s="1">
        <v>74388.42</v>
      </c>
      <c r="M327" s="1">
        <f t="shared" si="39"/>
        <v>13389.915599999998</v>
      </c>
      <c r="N327" s="1">
        <f t="shared" si="40"/>
        <v>87778.335599999991</v>
      </c>
      <c r="S327" t="str">
        <f t="shared" si="35"/>
        <v>Punjab</v>
      </c>
      <c r="W327" t="str">
        <f t="shared" si="36"/>
        <v>East</v>
      </c>
      <c r="AB327" t="str">
        <f t="shared" si="41"/>
        <v>PK-PB</v>
      </c>
    </row>
    <row r="328" spans="1:28" x14ac:dyDescent="0.25">
      <c r="A328" s="2">
        <v>45208</v>
      </c>
      <c r="B328" t="s">
        <v>21</v>
      </c>
      <c r="C328" t="s">
        <v>55</v>
      </c>
      <c r="D328" t="s">
        <v>66</v>
      </c>
      <c r="E328" t="s">
        <v>41</v>
      </c>
      <c r="F328" t="s">
        <v>32</v>
      </c>
      <c r="G328" t="s">
        <v>49</v>
      </c>
      <c r="H328">
        <v>7</v>
      </c>
      <c r="I328" s="1">
        <v>1557.83</v>
      </c>
      <c r="J328" s="1">
        <f t="shared" si="37"/>
        <v>9814.3289999999997</v>
      </c>
      <c r="K328" s="1">
        <f t="shared" si="38"/>
        <v>1090.481</v>
      </c>
      <c r="L328" s="1">
        <v>10904.81</v>
      </c>
      <c r="M328" s="1">
        <f t="shared" si="39"/>
        <v>1962.8657999999998</v>
      </c>
      <c r="N328" s="1">
        <f t="shared" si="40"/>
        <v>12867.675799999999</v>
      </c>
      <c r="S328" t="str">
        <f t="shared" si="35"/>
        <v>Khyber Pakhtunkhwa</v>
      </c>
      <c r="W328" t="str">
        <f t="shared" si="36"/>
        <v>North</v>
      </c>
      <c r="AB328" t="str">
        <f t="shared" si="41"/>
        <v>Khyber Pakhtunkhwa</v>
      </c>
    </row>
    <row r="329" spans="1:28" x14ac:dyDescent="0.25">
      <c r="A329" s="2">
        <v>45280</v>
      </c>
      <c r="B329" t="s">
        <v>40</v>
      </c>
      <c r="C329" t="s">
        <v>58</v>
      </c>
      <c r="D329" t="s">
        <v>12</v>
      </c>
      <c r="E329" t="s">
        <v>18</v>
      </c>
      <c r="F329" t="s">
        <v>19</v>
      </c>
      <c r="G329" t="s">
        <v>30</v>
      </c>
      <c r="H329">
        <v>7</v>
      </c>
      <c r="I329" s="1">
        <v>4673.3100000000004</v>
      </c>
      <c r="J329" s="1">
        <f t="shared" si="37"/>
        <v>29441.852999999999</v>
      </c>
      <c r="K329" s="1">
        <f t="shared" si="38"/>
        <v>3271.317</v>
      </c>
      <c r="L329" s="1">
        <v>32713.17</v>
      </c>
      <c r="M329" s="1">
        <f t="shared" si="39"/>
        <v>5888.3705999999993</v>
      </c>
      <c r="N329" s="1">
        <f t="shared" si="40"/>
        <v>38601.5406</v>
      </c>
      <c r="S329" t="str">
        <f t="shared" si="35"/>
        <v>Sindh</v>
      </c>
      <c r="W329" t="str">
        <f t="shared" si="36"/>
        <v>South</v>
      </c>
      <c r="AB329" t="str">
        <f t="shared" si="41"/>
        <v>PK-SD</v>
      </c>
    </row>
    <row r="330" spans="1:28" x14ac:dyDescent="0.25">
      <c r="A330" s="2">
        <v>45002</v>
      </c>
      <c r="B330" t="s">
        <v>21</v>
      </c>
      <c r="C330" t="s">
        <v>26</v>
      </c>
      <c r="D330" t="s">
        <v>12</v>
      </c>
      <c r="E330" t="s">
        <v>18</v>
      </c>
      <c r="F330" t="s">
        <v>27</v>
      </c>
      <c r="G330" t="s">
        <v>46</v>
      </c>
      <c r="H330">
        <v>5</v>
      </c>
      <c r="I330" s="1">
        <v>3775.72</v>
      </c>
      <c r="J330" s="1">
        <f t="shared" si="37"/>
        <v>16990.739999999998</v>
      </c>
      <c r="K330" s="1">
        <f t="shared" si="38"/>
        <v>1887.86</v>
      </c>
      <c r="L330" s="1">
        <v>18878.599999999999</v>
      </c>
      <c r="M330" s="1">
        <f t="shared" si="39"/>
        <v>3398.1479999999997</v>
      </c>
      <c r="N330" s="1">
        <f t="shared" si="40"/>
        <v>22276.748</v>
      </c>
      <c r="S330" t="str">
        <f t="shared" si="35"/>
        <v>Sindh</v>
      </c>
      <c r="W330" t="str">
        <f t="shared" si="36"/>
        <v>South</v>
      </c>
      <c r="AB330" t="str">
        <f t="shared" si="41"/>
        <v>PK-SD</v>
      </c>
    </row>
    <row r="331" spans="1:28" x14ac:dyDescent="0.25">
      <c r="A331" s="2">
        <v>45228</v>
      </c>
      <c r="B331" t="s">
        <v>38</v>
      </c>
      <c r="C331" t="s">
        <v>26</v>
      </c>
      <c r="D331" t="s">
        <v>12</v>
      </c>
      <c r="E331" t="s">
        <v>18</v>
      </c>
      <c r="F331" t="s">
        <v>14</v>
      </c>
      <c r="G331" t="s">
        <v>45</v>
      </c>
      <c r="H331">
        <v>6</v>
      </c>
      <c r="I331" s="1">
        <v>3524.48</v>
      </c>
      <c r="J331" s="1">
        <f t="shared" si="37"/>
        <v>19032.192000000003</v>
      </c>
      <c r="K331" s="1">
        <f t="shared" si="38"/>
        <v>2114.6880000000001</v>
      </c>
      <c r="L331" s="1">
        <v>21146.880000000001</v>
      </c>
      <c r="M331" s="1">
        <f t="shared" si="39"/>
        <v>3806.4384</v>
      </c>
      <c r="N331" s="1">
        <f t="shared" si="40"/>
        <v>24953.3184</v>
      </c>
      <c r="S331" t="str">
        <f t="shared" si="35"/>
        <v>Sindh</v>
      </c>
      <c r="W331" t="str">
        <f t="shared" si="36"/>
        <v>South</v>
      </c>
      <c r="AB331" t="str">
        <f t="shared" si="41"/>
        <v>PK-SD</v>
      </c>
    </row>
    <row r="332" spans="1:28" x14ac:dyDescent="0.25">
      <c r="A332" s="2">
        <v>45243</v>
      </c>
      <c r="B332" t="s">
        <v>25</v>
      </c>
      <c r="C332" t="s">
        <v>60</v>
      </c>
      <c r="D332" t="s">
        <v>12</v>
      </c>
      <c r="E332" t="s">
        <v>18</v>
      </c>
      <c r="F332" t="s">
        <v>32</v>
      </c>
      <c r="G332" t="s">
        <v>36</v>
      </c>
      <c r="H332">
        <v>1</v>
      </c>
      <c r="I332" s="1">
        <v>2961.1</v>
      </c>
      <c r="J332" s="1">
        <f t="shared" si="37"/>
        <v>2664.99</v>
      </c>
      <c r="K332" s="1">
        <f t="shared" si="38"/>
        <v>296.11</v>
      </c>
      <c r="L332" s="1">
        <v>2961.1</v>
      </c>
      <c r="M332" s="1">
        <f t="shared" si="39"/>
        <v>532.99799999999993</v>
      </c>
      <c r="N332" s="1">
        <f t="shared" si="40"/>
        <v>3494.098</v>
      </c>
      <c r="S332" t="str">
        <f t="shared" si="35"/>
        <v>Sindh</v>
      </c>
      <c r="W332" t="str">
        <f t="shared" si="36"/>
        <v>South</v>
      </c>
      <c r="AB332" t="str">
        <f t="shared" si="41"/>
        <v>PK-SD</v>
      </c>
    </row>
    <row r="333" spans="1:28" x14ac:dyDescent="0.25">
      <c r="A333" s="2">
        <v>45017</v>
      </c>
      <c r="B333" t="s">
        <v>21</v>
      </c>
      <c r="C333" t="s">
        <v>54</v>
      </c>
      <c r="D333" t="s">
        <v>12</v>
      </c>
      <c r="E333" t="s">
        <v>18</v>
      </c>
      <c r="F333" t="s">
        <v>19</v>
      </c>
      <c r="G333" t="s">
        <v>52</v>
      </c>
      <c r="H333">
        <v>13</v>
      </c>
      <c r="I333" s="1">
        <v>513.05999999999995</v>
      </c>
      <c r="J333" s="1">
        <f t="shared" si="37"/>
        <v>6002.8019999999997</v>
      </c>
      <c r="K333" s="1">
        <f t="shared" si="38"/>
        <v>666.97800000000007</v>
      </c>
      <c r="L333" s="1">
        <v>6669.78</v>
      </c>
      <c r="M333" s="1">
        <f t="shared" si="39"/>
        <v>1200.5603999999998</v>
      </c>
      <c r="N333" s="1">
        <f t="shared" si="40"/>
        <v>7870.3403999999991</v>
      </c>
      <c r="S333" t="str">
        <f t="shared" si="35"/>
        <v>Sindh</v>
      </c>
      <c r="W333" t="str">
        <f t="shared" si="36"/>
        <v>South</v>
      </c>
      <c r="AB333" t="str">
        <f t="shared" si="41"/>
        <v>PK-SD</v>
      </c>
    </row>
    <row r="334" spans="1:28" x14ac:dyDescent="0.25">
      <c r="A334" s="2">
        <v>45064</v>
      </c>
      <c r="B334" t="s">
        <v>21</v>
      </c>
      <c r="C334" t="s">
        <v>54</v>
      </c>
      <c r="D334" t="s">
        <v>12</v>
      </c>
      <c r="E334" t="s">
        <v>18</v>
      </c>
      <c r="F334" t="s">
        <v>14</v>
      </c>
      <c r="G334" t="s">
        <v>51</v>
      </c>
      <c r="H334">
        <v>3</v>
      </c>
      <c r="I334" s="1">
        <v>953.26</v>
      </c>
      <c r="J334" s="1">
        <f t="shared" si="37"/>
        <v>2573.8020000000001</v>
      </c>
      <c r="K334" s="1">
        <f t="shared" si="38"/>
        <v>285.97800000000001</v>
      </c>
      <c r="L334" s="1">
        <v>2859.78</v>
      </c>
      <c r="M334" s="1">
        <f t="shared" si="39"/>
        <v>514.7604</v>
      </c>
      <c r="N334" s="1">
        <f t="shared" si="40"/>
        <v>3374.5404000000003</v>
      </c>
      <c r="S334" t="str">
        <f t="shared" si="35"/>
        <v>Sindh</v>
      </c>
      <c r="W334" t="str">
        <f t="shared" si="36"/>
        <v>South</v>
      </c>
      <c r="AB334" t="str">
        <f t="shared" si="41"/>
        <v>PK-SD</v>
      </c>
    </row>
    <row r="335" spans="1:28" x14ac:dyDescent="0.25">
      <c r="A335" s="2">
        <v>44971</v>
      </c>
      <c r="B335" t="s">
        <v>10</v>
      </c>
      <c r="C335" t="s">
        <v>61</v>
      </c>
      <c r="D335" t="s">
        <v>65</v>
      </c>
      <c r="E335" t="s">
        <v>64</v>
      </c>
      <c r="F335" t="s">
        <v>19</v>
      </c>
      <c r="G335" t="s">
        <v>30</v>
      </c>
      <c r="H335">
        <v>2</v>
      </c>
      <c r="I335" s="1">
        <v>1189.6500000000001</v>
      </c>
      <c r="J335" s="1">
        <f t="shared" si="37"/>
        <v>2141.3700000000003</v>
      </c>
      <c r="K335" s="1">
        <f t="shared" si="38"/>
        <v>237.93000000000004</v>
      </c>
      <c r="L335" s="1">
        <v>2379.3000000000002</v>
      </c>
      <c r="M335" s="1">
        <f t="shared" si="39"/>
        <v>428.274</v>
      </c>
      <c r="N335" s="1">
        <f t="shared" si="40"/>
        <v>2807.5740000000001</v>
      </c>
      <c r="S335" t="str">
        <f t="shared" si="35"/>
        <v>Punjab</v>
      </c>
      <c r="W335" t="str">
        <f t="shared" si="36"/>
        <v>East</v>
      </c>
      <c r="AB335" t="str">
        <f t="shared" si="41"/>
        <v>PK-PB</v>
      </c>
    </row>
    <row r="336" spans="1:28" x14ac:dyDescent="0.25">
      <c r="A336" s="2">
        <v>45108</v>
      </c>
      <c r="B336" t="s">
        <v>40</v>
      </c>
      <c r="C336" t="s">
        <v>54</v>
      </c>
      <c r="D336" t="s">
        <v>12</v>
      </c>
      <c r="E336" t="s">
        <v>18</v>
      </c>
      <c r="F336" t="s">
        <v>19</v>
      </c>
      <c r="G336" t="s">
        <v>30</v>
      </c>
      <c r="H336">
        <v>1</v>
      </c>
      <c r="I336" s="1">
        <v>1915.3</v>
      </c>
      <c r="J336" s="1">
        <f t="shared" si="37"/>
        <v>1723.77</v>
      </c>
      <c r="K336" s="1">
        <f t="shared" si="38"/>
        <v>191.53</v>
      </c>
      <c r="L336" s="1">
        <v>1915.3</v>
      </c>
      <c r="M336" s="1">
        <f t="shared" si="39"/>
        <v>344.75399999999996</v>
      </c>
      <c r="N336" s="1">
        <f t="shared" si="40"/>
        <v>2260.0540000000001</v>
      </c>
      <c r="S336" t="str">
        <f t="shared" si="35"/>
        <v>Sindh</v>
      </c>
      <c r="W336" t="str">
        <f t="shared" si="36"/>
        <v>South</v>
      </c>
      <c r="AB336" t="str">
        <f t="shared" si="41"/>
        <v>PK-SD</v>
      </c>
    </row>
    <row r="337" spans="1:28" x14ac:dyDescent="0.25">
      <c r="A337" s="2">
        <v>45178</v>
      </c>
      <c r="B337" t="s">
        <v>38</v>
      </c>
      <c r="C337" t="s">
        <v>56</v>
      </c>
      <c r="D337" t="s">
        <v>12</v>
      </c>
      <c r="E337" t="s">
        <v>18</v>
      </c>
      <c r="F337" t="s">
        <v>19</v>
      </c>
      <c r="G337" t="s">
        <v>48</v>
      </c>
      <c r="H337">
        <v>8</v>
      </c>
      <c r="I337" s="1">
        <v>3927.74</v>
      </c>
      <c r="J337" s="1">
        <f t="shared" si="37"/>
        <v>28279.727999999999</v>
      </c>
      <c r="K337" s="1">
        <f t="shared" si="38"/>
        <v>3142.192</v>
      </c>
      <c r="L337" s="1">
        <v>31421.919999999998</v>
      </c>
      <c r="M337" s="1">
        <f t="shared" si="39"/>
        <v>5655.9455999999991</v>
      </c>
      <c r="N337" s="1">
        <f t="shared" si="40"/>
        <v>37077.865599999997</v>
      </c>
      <c r="S337" t="str">
        <f t="shared" si="35"/>
        <v>Sindh</v>
      </c>
      <c r="W337" t="str">
        <f t="shared" si="36"/>
        <v>South</v>
      </c>
      <c r="AB337" t="str">
        <f t="shared" si="41"/>
        <v>PK-SD</v>
      </c>
    </row>
    <row r="338" spans="1:28" x14ac:dyDescent="0.25">
      <c r="A338" s="2">
        <v>45046</v>
      </c>
      <c r="B338" t="s">
        <v>43</v>
      </c>
      <c r="C338" t="s">
        <v>26</v>
      </c>
      <c r="D338" t="s">
        <v>12</v>
      </c>
      <c r="E338" t="s">
        <v>18</v>
      </c>
      <c r="F338" t="s">
        <v>23</v>
      </c>
      <c r="G338" t="s">
        <v>47</v>
      </c>
      <c r="H338">
        <v>10</v>
      </c>
      <c r="I338" s="1">
        <v>2682.33</v>
      </c>
      <c r="J338" s="1">
        <f t="shared" si="37"/>
        <v>24140.97</v>
      </c>
      <c r="K338" s="1">
        <f t="shared" si="38"/>
        <v>2682.33</v>
      </c>
      <c r="L338" s="1">
        <v>26823.3</v>
      </c>
      <c r="M338" s="1">
        <f t="shared" si="39"/>
        <v>4828.1939999999995</v>
      </c>
      <c r="N338" s="1">
        <f t="shared" si="40"/>
        <v>31651.493999999999</v>
      </c>
      <c r="S338" t="str">
        <f t="shared" si="35"/>
        <v>Sindh</v>
      </c>
      <c r="W338" t="str">
        <f t="shared" si="36"/>
        <v>South</v>
      </c>
      <c r="AB338" t="str">
        <f t="shared" si="41"/>
        <v>PK-SD</v>
      </c>
    </row>
    <row r="339" spans="1:28" x14ac:dyDescent="0.25">
      <c r="A339" s="2">
        <v>45202</v>
      </c>
      <c r="B339" t="s">
        <v>40</v>
      </c>
      <c r="C339" t="s">
        <v>55</v>
      </c>
      <c r="D339" t="s">
        <v>66</v>
      </c>
      <c r="E339" t="s">
        <v>41</v>
      </c>
      <c r="F339" t="s">
        <v>32</v>
      </c>
      <c r="G339" t="s">
        <v>49</v>
      </c>
      <c r="H339">
        <v>6</v>
      </c>
      <c r="I339" s="1">
        <v>4086.27</v>
      </c>
      <c r="J339" s="1">
        <f t="shared" si="37"/>
        <v>22065.858</v>
      </c>
      <c r="K339" s="1">
        <f t="shared" si="38"/>
        <v>2451.7620000000002</v>
      </c>
      <c r="L339" s="1">
        <v>24517.62</v>
      </c>
      <c r="M339" s="1">
        <f t="shared" si="39"/>
        <v>4413.1715999999997</v>
      </c>
      <c r="N339" s="1">
        <f t="shared" si="40"/>
        <v>28930.791599999997</v>
      </c>
      <c r="S339" t="str">
        <f t="shared" si="35"/>
        <v>Khyber Pakhtunkhwa</v>
      </c>
      <c r="W339" t="str">
        <f t="shared" si="36"/>
        <v>North</v>
      </c>
      <c r="AB339" t="str">
        <f t="shared" si="41"/>
        <v>Khyber Pakhtunkhwa</v>
      </c>
    </row>
    <row r="340" spans="1:28" x14ac:dyDescent="0.25">
      <c r="A340" s="2">
        <v>45003</v>
      </c>
      <c r="B340" t="s">
        <v>40</v>
      </c>
      <c r="C340" t="s">
        <v>55</v>
      </c>
      <c r="D340" t="s">
        <v>66</v>
      </c>
      <c r="E340" t="s">
        <v>41</v>
      </c>
      <c r="F340" t="s">
        <v>32</v>
      </c>
      <c r="G340" t="s">
        <v>33</v>
      </c>
      <c r="H340">
        <v>8</v>
      </c>
      <c r="I340" s="1">
        <v>827.02</v>
      </c>
      <c r="J340" s="1">
        <f t="shared" si="37"/>
        <v>5954.5439999999999</v>
      </c>
      <c r="K340" s="1">
        <f t="shared" si="38"/>
        <v>661.61599999999999</v>
      </c>
      <c r="L340" s="1">
        <v>6616.16</v>
      </c>
      <c r="M340" s="1">
        <f t="shared" si="39"/>
        <v>1190.9087999999999</v>
      </c>
      <c r="N340" s="1">
        <f t="shared" si="40"/>
        <v>7807.0688</v>
      </c>
      <c r="S340" t="str">
        <f t="shared" si="35"/>
        <v>Khyber Pakhtunkhwa</v>
      </c>
      <c r="W340" t="str">
        <f t="shared" si="36"/>
        <v>North</v>
      </c>
      <c r="AB340" t="str">
        <f t="shared" si="41"/>
        <v>Khyber Pakhtunkhwa</v>
      </c>
    </row>
    <row r="341" spans="1:28" x14ac:dyDescent="0.25">
      <c r="A341" s="2">
        <v>45051</v>
      </c>
      <c r="B341" t="s">
        <v>43</v>
      </c>
      <c r="C341" t="s">
        <v>61</v>
      </c>
      <c r="D341" t="s">
        <v>65</v>
      </c>
      <c r="E341" t="s">
        <v>64</v>
      </c>
      <c r="F341" t="s">
        <v>27</v>
      </c>
      <c r="G341" t="s">
        <v>42</v>
      </c>
      <c r="H341">
        <v>14</v>
      </c>
      <c r="I341" s="1">
        <v>4728.4399999999996</v>
      </c>
      <c r="J341" s="1">
        <f t="shared" si="37"/>
        <v>59578.344000000005</v>
      </c>
      <c r="K341" s="1">
        <f t="shared" si="38"/>
        <v>6619.8160000000007</v>
      </c>
      <c r="L341" s="1">
        <v>66198.16</v>
      </c>
      <c r="M341" s="1">
        <f t="shared" si="39"/>
        <v>11915.668799999999</v>
      </c>
      <c r="N341" s="1">
        <f t="shared" si="40"/>
        <v>78113.828800000003</v>
      </c>
      <c r="S341" t="str">
        <f t="shared" si="35"/>
        <v>Punjab</v>
      </c>
      <c r="W341" t="str">
        <f t="shared" si="36"/>
        <v>East</v>
      </c>
      <c r="AB341" t="str">
        <f t="shared" si="41"/>
        <v>PK-PB</v>
      </c>
    </row>
    <row r="342" spans="1:28" x14ac:dyDescent="0.25">
      <c r="A342" s="2">
        <v>44979</v>
      </c>
      <c r="B342" t="s">
        <v>25</v>
      </c>
      <c r="C342" t="s">
        <v>35</v>
      </c>
      <c r="D342" t="s">
        <v>65</v>
      </c>
      <c r="E342" t="s">
        <v>64</v>
      </c>
      <c r="F342" t="s">
        <v>14</v>
      </c>
      <c r="G342" t="s">
        <v>45</v>
      </c>
      <c r="H342">
        <v>11</v>
      </c>
      <c r="I342" s="1">
        <v>575.73</v>
      </c>
      <c r="J342" s="1">
        <f t="shared" si="37"/>
        <v>5699.7269999999999</v>
      </c>
      <c r="K342" s="1">
        <f t="shared" si="38"/>
        <v>633.303</v>
      </c>
      <c r="L342" s="1">
        <v>6333.03</v>
      </c>
      <c r="M342" s="1">
        <f t="shared" si="39"/>
        <v>1139.9453999999998</v>
      </c>
      <c r="N342" s="1">
        <f t="shared" si="40"/>
        <v>7472.9753999999994</v>
      </c>
      <c r="S342" t="str">
        <f t="shared" si="35"/>
        <v>Punjab</v>
      </c>
      <c r="W342" t="str">
        <f t="shared" si="36"/>
        <v>East</v>
      </c>
      <c r="AB342" t="str">
        <f t="shared" si="41"/>
        <v>PK-PB</v>
      </c>
    </row>
    <row r="343" spans="1:28" x14ac:dyDescent="0.25">
      <c r="A343" s="2">
        <v>45093</v>
      </c>
      <c r="B343" t="s">
        <v>21</v>
      </c>
      <c r="C343" t="s">
        <v>59</v>
      </c>
      <c r="D343" t="s">
        <v>66</v>
      </c>
      <c r="E343" t="s">
        <v>41</v>
      </c>
      <c r="F343" t="s">
        <v>14</v>
      </c>
      <c r="G343" t="s">
        <v>45</v>
      </c>
      <c r="H343">
        <v>4</v>
      </c>
      <c r="I343" s="1">
        <v>578.35</v>
      </c>
      <c r="J343" s="1">
        <f t="shared" si="37"/>
        <v>2082.06</v>
      </c>
      <c r="K343" s="1">
        <f t="shared" si="38"/>
        <v>231.34000000000003</v>
      </c>
      <c r="L343" s="1">
        <v>2313.4</v>
      </c>
      <c r="M343" s="1">
        <f t="shared" si="39"/>
        <v>416.41199999999998</v>
      </c>
      <c r="N343" s="1">
        <f t="shared" si="40"/>
        <v>2729.8119999999999</v>
      </c>
      <c r="S343" t="str">
        <f t="shared" si="35"/>
        <v>Khyber Pakhtunkhwa</v>
      </c>
      <c r="W343" t="str">
        <f t="shared" si="36"/>
        <v>North</v>
      </c>
      <c r="AB343" t="str">
        <f t="shared" si="41"/>
        <v>Khyber Pakhtunkhwa</v>
      </c>
    </row>
    <row r="344" spans="1:28" x14ac:dyDescent="0.25">
      <c r="A344" s="2">
        <v>45160</v>
      </c>
      <c r="B344" t="s">
        <v>38</v>
      </c>
      <c r="C344" t="s">
        <v>55</v>
      </c>
      <c r="D344" t="s">
        <v>66</v>
      </c>
      <c r="E344" t="s">
        <v>41</v>
      </c>
      <c r="F344" t="s">
        <v>19</v>
      </c>
      <c r="G344" t="s">
        <v>20</v>
      </c>
      <c r="H344">
        <v>8</v>
      </c>
      <c r="I344" s="1">
        <v>3043.72</v>
      </c>
      <c r="J344" s="1">
        <f t="shared" si="37"/>
        <v>21914.784</v>
      </c>
      <c r="K344" s="1">
        <f t="shared" si="38"/>
        <v>2434.9760000000001</v>
      </c>
      <c r="L344" s="1">
        <v>24349.759999999998</v>
      </c>
      <c r="M344" s="1">
        <f t="shared" si="39"/>
        <v>4382.9567999999999</v>
      </c>
      <c r="N344" s="1">
        <f t="shared" si="40"/>
        <v>28732.716799999998</v>
      </c>
      <c r="S344" t="str">
        <f t="shared" si="35"/>
        <v>Khyber Pakhtunkhwa</v>
      </c>
      <c r="W344" t="str">
        <f t="shared" si="36"/>
        <v>North</v>
      </c>
      <c r="AB344" t="str">
        <f t="shared" si="41"/>
        <v>Khyber Pakhtunkhwa</v>
      </c>
    </row>
    <row r="345" spans="1:28" x14ac:dyDescent="0.25">
      <c r="A345" s="2">
        <v>45071</v>
      </c>
      <c r="B345" t="s">
        <v>29</v>
      </c>
      <c r="C345" t="s">
        <v>57</v>
      </c>
      <c r="D345" t="s">
        <v>22</v>
      </c>
      <c r="E345" t="s">
        <v>13</v>
      </c>
      <c r="F345" t="s">
        <v>14</v>
      </c>
      <c r="G345" t="s">
        <v>15</v>
      </c>
      <c r="H345">
        <v>10</v>
      </c>
      <c r="I345" s="1">
        <v>3339.72</v>
      </c>
      <c r="J345" s="1">
        <f t="shared" si="37"/>
        <v>30057.48</v>
      </c>
      <c r="K345" s="1">
        <f t="shared" si="38"/>
        <v>3339.72</v>
      </c>
      <c r="L345" s="1">
        <v>33397.199999999997</v>
      </c>
      <c r="M345" s="1">
        <f t="shared" si="39"/>
        <v>6011.4959999999992</v>
      </c>
      <c r="N345" s="1">
        <f t="shared" si="40"/>
        <v>39408.695999999996</v>
      </c>
      <c r="S345" t="str">
        <f t="shared" si="35"/>
        <v>Balochistan</v>
      </c>
      <c r="W345" t="str">
        <f t="shared" si="36"/>
        <v>West</v>
      </c>
      <c r="AB345" t="str">
        <f t="shared" si="41"/>
        <v>PK-BA</v>
      </c>
    </row>
    <row r="346" spans="1:28" x14ac:dyDescent="0.25">
      <c r="A346" s="2">
        <v>45181</v>
      </c>
      <c r="B346" t="s">
        <v>10</v>
      </c>
      <c r="C346" t="s">
        <v>61</v>
      </c>
      <c r="D346" t="s">
        <v>65</v>
      </c>
      <c r="E346" t="s">
        <v>64</v>
      </c>
      <c r="F346" t="s">
        <v>14</v>
      </c>
      <c r="G346" t="s">
        <v>15</v>
      </c>
      <c r="H346">
        <v>7</v>
      </c>
      <c r="I346" s="1">
        <v>2286.4</v>
      </c>
      <c r="J346" s="1">
        <f t="shared" si="37"/>
        <v>14404.32</v>
      </c>
      <c r="K346" s="1">
        <f t="shared" si="38"/>
        <v>1600.48</v>
      </c>
      <c r="L346" s="1">
        <v>16004.8</v>
      </c>
      <c r="M346" s="1">
        <f t="shared" si="39"/>
        <v>2880.8639999999996</v>
      </c>
      <c r="N346" s="1">
        <f t="shared" si="40"/>
        <v>18885.663999999997</v>
      </c>
      <c r="S346" t="str">
        <f t="shared" si="35"/>
        <v>Punjab</v>
      </c>
      <c r="W346" t="str">
        <f t="shared" si="36"/>
        <v>East</v>
      </c>
      <c r="AB346" t="str">
        <f t="shared" si="41"/>
        <v>PK-PB</v>
      </c>
    </row>
    <row r="347" spans="1:28" x14ac:dyDescent="0.25">
      <c r="A347" s="2">
        <v>44942</v>
      </c>
      <c r="B347" t="s">
        <v>40</v>
      </c>
      <c r="C347" t="s">
        <v>56</v>
      </c>
      <c r="D347" t="s">
        <v>12</v>
      </c>
      <c r="E347" t="s">
        <v>18</v>
      </c>
      <c r="F347" t="s">
        <v>19</v>
      </c>
      <c r="G347" t="s">
        <v>48</v>
      </c>
      <c r="H347">
        <v>6</v>
      </c>
      <c r="I347" s="1">
        <v>4862.26</v>
      </c>
      <c r="J347" s="1">
        <f t="shared" si="37"/>
        <v>26256.204000000002</v>
      </c>
      <c r="K347" s="1">
        <f t="shared" si="38"/>
        <v>2917.3560000000002</v>
      </c>
      <c r="L347" s="1">
        <v>29173.56</v>
      </c>
      <c r="M347" s="1">
        <f t="shared" si="39"/>
        <v>5251.2408000000005</v>
      </c>
      <c r="N347" s="1">
        <f t="shared" si="40"/>
        <v>34424.800800000005</v>
      </c>
      <c r="S347" t="str">
        <f t="shared" si="35"/>
        <v>Sindh</v>
      </c>
      <c r="W347" t="str">
        <f t="shared" si="36"/>
        <v>South</v>
      </c>
      <c r="AB347" t="str">
        <f t="shared" si="41"/>
        <v>PK-SD</v>
      </c>
    </row>
    <row r="348" spans="1:28" x14ac:dyDescent="0.25">
      <c r="A348" s="2">
        <v>45257</v>
      </c>
      <c r="B348" t="s">
        <v>34</v>
      </c>
      <c r="C348" t="s">
        <v>62</v>
      </c>
      <c r="D348" t="s">
        <v>65</v>
      </c>
      <c r="E348" t="s">
        <v>64</v>
      </c>
      <c r="F348" t="s">
        <v>32</v>
      </c>
      <c r="G348" t="s">
        <v>36</v>
      </c>
      <c r="H348">
        <v>6</v>
      </c>
      <c r="I348" s="1">
        <v>3470.44</v>
      </c>
      <c r="J348" s="1">
        <f t="shared" si="37"/>
        <v>18740.376</v>
      </c>
      <c r="K348" s="1">
        <f t="shared" si="38"/>
        <v>2082.2640000000001</v>
      </c>
      <c r="L348" s="1">
        <v>20822.64</v>
      </c>
      <c r="M348" s="1">
        <f t="shared" si="39"/>
        <v>3748.0751999999998</v>
      </c>
      <c r="N348" s="1">
        <f t="shared" si="40"/>
        <v>24570.715199999999</v>
      </c>
      <c r="S348" t="str">
        <f t="shared" si="35"/>
        <v>Punjab</v>
      </c>
      <c r="W348" t="str">
        <f t="shared" si="36"/>
        <v>East</v>
      </c>
      <c r="AB348" t="str">
        <f t="shared" si="41"/>
        <v>PK-PB</v>
      </c>
    </row>
    <row r="349" spans="1:28" x14ac:dyDescent="0.25">
      <c r="A349" s="2">
        <v>45106</v>
      </c>
      <c r="B349" t="s">
        <v>31</v>
      </c>
      <c r="C349" t="s">
        <v>11</v>
      </c>
      <c r="D349" t="s">
        <v>22</v>
      </c>
      <c r="E349" t="s">
        <v>13</v>
      </c>
      <c r="F349" t="s">
        <v>23</v>
      </c>
      <c r="G349" t="s">
        <v>37</v>
      </c>
      <c r="H349">
        <v>5</v>
      </c>
      <c r="I349" s="1">
        <v>4175.13</v>
      </c>
      <c r="J349" s="1">
        <f t="shared" si="37"/>
        <v>18788.085000000003</v>
      </c>
      <c r="K349" s="1">
        <f t="shared" si="38"/>
        <v>2087.5650000000001</v>
      </c>
      <c r="L349" s="1">
        <v>20875.650000000001</v>
      </c>
      <c r="M349" s="1">
        <f t="shared" si="39"/>
        <v>3757.6170000000002</v>
      </c>
      <c r="N349" s="1">
        <f t="shared" si="40"/>
        <v>24633.267</v>
      </c>
      <c r="S349" t="str">
        <f t="shared" si="35"/>
        <v>Balochistan</v>
      </c>
      <c r="W349" t="str">
        <f t="shared" si="36"/>
        <v>West</v>
      </c>
      <c r="AB349" t="str">
        <f t="shared" si="41"/>
        <v>PK-BA</v>
      </c>
    </row>
    <row r="350" spans="1:28" x14ac:dyDescent="0.25">
      <c r="A350" s="2">
        <v>45204</v>
      </c>
      <c r="B350" t="s">
        <v>38</v>
      </c>
      <c r="C350" t="s">
        <v>54</v>
      </c>
      <c r="D350" t="s">
        <v>12</v>
      </c>
      <c r="E350" t="s">
        <v>18</v>
      </c>
      <c r="F350" t="s">
        <v>27</v>
      </c>
      <c r="G350" t="s">
        <v>42</v>
      </c>
      <c r="H350">
        <v>16</v>
      </c>
      <c r="I350" s="1">
        <v>1880.67</v>
      </c>
      <c r="J350" s="1">
        <f t="shared" si="37"/>
        <v>27081.648000000001</v>
      </c>
      <c r="K350" s="1">
        <f t="shared" si="38"/>
        <v>3009.0720000000001</v>
      </c>
      <c r="L350" s="1">
        <v>30090.720000000001</v>
      </c>
      <c r="M350" s="1">
        <f t="shared" si="39"/>
        <v>5416.3296</v>
      </c>
      <c r="N350" s="1">
        <f t="shared" si="40"/>
        <v>35507.049599999998</v>
      </c>
      <c r="S350" t="str">
        <f t="shared" si="35"/>
        <v>Sindh</v>
      </c>
      <c r="W350" t="str">
        <f t="shared" si="36"/>
        <v>South</v>
      </c>
      <c r="AB350" t="str">
        <f t="shared" si="41"/>
        <v>PK-SD</v>
      </c>
    </row>
    <row r="351" spans="1:28" x14ac:dyDescent="0.25">
      <c r="A351" s="2">
        <v>45149</v>
      </c>
      <c r="B351" t="s">
        <v>34</v>
      </c>
      <c r="C351" t="s">
        <v>26</v>
      </c>
      <c r="D351" t="s">
        <v>12</v>
      </c>
      <c r="E351" t="s">
        <v>18</v>
      </c>
      <c r="F351" t="s">
        <v>32</v>
      </c>
      <c r="G351" t="s">
        <v>49</v>
      </c>
      <c r="H351">
        <v>7</v>
      </c>
      <c r="I351" s="1">
        <v>2187.71</v>
      </c>
      <c r="J351" s="1">
        <f t="shared" si="37"/>
        <v>13782.573</v>
      </c>
      <c r="K351" s="1">
        <f t="shared" si="38"/>
        <v>1531.3969999999999</v>
      </c>
      <c r="L351" s="1">
        <v>15313.97</v>
      </c>
      <c r="M351" s="1">
        <f t="shared" si="39"/>
        <v>2756.5146</v>
      </c>
      <c r="N351" s="1">
        <f t="shared" si="40"/>
        <v>18070.4846</v>
      </c>
      <c r="S351" t="str">
        <f t="shared" si="35"/>
        <v>Sindh</v>
      </c>
      <c r="W351" t="str">
        <f t="shared" si="36"/>
        <v>South</v>
      </c>
      <c r="AB351" t="str">
        <f t="shared" si="41"/>
        <v>PK-SD</v>
      </c>
    </row>
    <row r="352" spans="1:28" x14ac:dyDescent="0.25">
      <c r="A352" s="2">
        <v>45190</v>
      </c>
      <c r="B352" t="s">
        <v>21</v>
      </c>
      <c r="C352" t="s">
        <v>62</v>
      </c>
      <c r="D352" t="s">
        <v>65</v>
      </c>
      <c r="E352" t="s">
        <v>64</v>
      </c>
      <c r="F352" t="s">
        <v>23</v>
      </c>
      <c r="G352" t="s">
        <v>39</v>
      </c>
      <c r="H352">
        <v>14</v>
      </c>
      <c r="I352" s="1">
        <v>1024.22</v>
      </c>
      <c r="J352" s="1">
        <f t="shared" si="37"/>
        <v>12905.172</v>
      </c>
      <c r="K352" s="1">
        <f t="shared" si="38"/>
        <v>1433.9080000000001</v>
      </c>
      <c r="L352" s="1">
        <v>14339.08</v>
      </c>
      <c r="M352" s="1">
        <f t="shared" si="39"/>
        <v>2581.0344</v>
      </c>
      <c r="N352" s="1">
        <f t="shared" si="40"/>
        <v>16920.114399999999</v>
      </c>
      <c r="S352" t="str">
        <f t="shared" si="35"/>
        <v>Punjab</v>
      </c>
      <c r="W352" t="str">
        <f t="shared" si="36"/>
        <v>East</v>
      </c>
      <c r="AB352" t="str">
        <f t="shared" si="41"/>
        <v>PK-PB</v>
      </c>
    </row>
    <row r="353" spans="1:28" x14ac:dyDescent="0.25">
      <c r="A353" s="2">
        <v>45260</v>
      </c>
      <c r="B353" t="s">
        <v>40</v>
      </c>
      <c r="C353" t="s">
        <v>55</v>
      </c>
      <c r="D353" t="s">
        <v>66</v>
      </c>
      <c r="E353" t="s">
        <v>41</v>
      </c>
      <c r="F353" t="s">
        <v>23</v>
      </c>
      <c r="G353" t="s">
        <v>37</v>
      </c>
      <c r="H353">
        <v>17</v>
      </c>
      <c r="I353" s="1">
        <v>544.41999999999996</v>
      </c>
      <c r="J353" s="1">
        <f t="shared" si="37"/>
        <v>8329.6260000000002</v>
      </c>
      <c r="K353" s="1">
        <f t="shared" si="38"/>
        <v>925.51400000000001</v>
      </c>
      <c r="L353" s="1">
        <v>9255.14</v>
      </c>
      <c r="M353" s="1">
        <f t="shared" si="39"/>
        <v>1665.9251999999999</v>
      </c>
      <c r="N353" s="1">
        <f t="shared" si="40"/>
        <v>10921.065199999999</v>
      </c>
      <c r="S353" t="str">
        <f t="shared" si="35"/>
        <v>Khyber Pakhtunkhwa</v>
      </c>
      <c r="W353" t="str">
        <f t="shared" si="36"/>
        <v>North</v>
      </c>
      <c r="AB353" t="str">
        <f t="shared" si="41"/>
        <v>Khyber Pakhtunkhwa</v>
      </c>
    </row>
    <row r="354" spans="1:28" x14ac:dyDescent="0.25">
      <c r="A354" s="2">
        <v>45014</v>
      </c>
      <c r="B354" t="s">
        <v>29</v>
      </c>
      <c r="C354" t="s">
        <v>26</v>
      </c>
      <c r="D354" t="s">
        <v>12</v>
      </c>
      <c r="E354" t="s">
        <v>18</v>
      </c>
      <c r="F354" t="s">
        <v>19</v>
      </c>
      <c r="G354" t="s">
        <v>48</v>
      </c>
      <c r="H354">
        <v>4</v>
      </c>
      <c r="I354" s="1">
        <v>942.96</v>
      </c>
      <c r="J354" s="1">
        <f t="shared" si="37"/>
        <v>3394.6560000000004</v>
      </c>
      <c r="K354" s="1">
        <f t="shared" si="38"/>
        <v>377.18400000000003</v>
      </c>
      <c r="L354" s="1">
        <v>3771.84</v>
      </c>
      <c r="M354" s="1">
        <f t="shared" si="39"/>
        <v>678.93119999999999</v>
      </c>
      <c r="N354" s="1">
        <f t="shared" si="40"/>
        <v>4450.7712000000001</v>
      </c>
      <c r="S354" t="str">
        <f t="shared" si="35"/>
        <v>Sindh</v>
      </c>
      <c r="W354" t="str">
        <f t="shared" si="36"/>
        <v>South</v>
      </c>
      <c r="AB354" t="str">
        <f t="shared" si="41"/>
        <v>PK-SD</v>
      </c>
    </row>
    <row r="355" spans="1:28" x14ac:dyDescent="0.25">
      <c r="A355" s="2">
        <v>45270</v>
      </c>
      <c r="B355" t="s">
        <v>40</v>
      </c>
      <c r="C355" t="s">
        <v>56</v>
      </c>
      <c r="D355" t="s">
        <v>12</v>
      </c>
      <c r="E355" t="s">
        <v>18</v>
      </c>
      <c r="F355" t="s">
        <v>14</v>
      </c>
      <c r="G355" t="s">
        <v>53</v>
      </c>
      <c r="H355">
        <v>12</v>
      </c>
      <c r="I355" s="1">
        <v>1799.38</v>
      </c>
      <c r="J355" s="1">
        <f t="shared" si="37"/>
        <v>19433.304</v>
      </c>
      <c r="K355" s="1">
        <f t="shared" si="38"/>
        <v>2159.2560000000003</v>
      </c>
      <c r="L355" s="1">
        <v>21592.560000000001</v>
      </c>
      <c r="M355" s="1">
        <f t="shared" si="39"/>
        <v>3886.6608000000001</v>
      </c>
      <c r="N355" s="1">
        <f t="shared" si="40"/>
        <v>25479.220800000003</v>
      </c>
      <c r="S355" t="str">
        <f t="shared" si="35"/>
        <v>Sindh</v>
      </c>
      <c r="W355" t="str">
        <f t="shared" si="36"/>
        <v>South</v>
      </c>
      <c r="AB355" t="str">
        <f t="shared" si="41"/>
        <v>PK-SD</v>
      </c>
    </row>
    <row r="356" spans="1:28" x14ac:dyDescent="0.25">
      <c r="A356" s="2">
        <v>44972</v>
      </c>
      <c r="B356" t="s">
        <v>25</v>
      </c>
      <c r="C356" t="s">
        <v>56</v>
      </c>
      <c r="D356" t="s">
        <v>12</v>
      </c>
      <c r="E356" t="s">
        <v>18</v>
      </c>
      <c r="F356" t="s">
        <v>23</v>
      </c>
      <c r="G356" t="s">
        <v>39</v>
      </c>
      <c r="H356">
        <v>11</v>
      </c>
      <c r="I356" s="1">
        <v>1634.39</v>
      </c>
      <c r="J356" s="1">
        <f t="shared" si="37"/>
        <v>16180.461000000001</v>
      </c>
      <c r="K356" s="1">
        <f t="shared" si="38"/>
        <v>1797.8290000000002</v>
      </c>
      <c r="L356" s="1">
        <v>17978.29</v>
      </c>
      <c r="M356" s="1">
        <f t="shared" si="39"/>
        <v>3236.0922</v>
      </c>
      <c r="N356" s="1">
        <f t="shared" si="40"/>
        <v>21214.3822</v>
      </c>
      <c r="S356" t="str">
        <f t="shared" si="35"/>
        <v>Sindh</v>
      </c>
      <c r="W356" t="str">
        <f t="shared" si="36"/>
        <v>South</v>
      </c>
      <c r="AB356" t="str">
        <f t="shared" si="41"/>
        <v>PK-SD</v>
      </c>
    </row>
    <row r="357" spans="1:28" x14ac:dyDescent="0.25">
      <c r="A357" s="2">
        <v>45207</v>
      </c>
      <c r="B357" t="s">
        <v>43</v>
      </c>
      <c r="C357" t="s">
        <v>26</v>
      </c>
      <c r="D357" t="s">
        <v>12</v>
      </c>
      <c r="E357" t="s">
        <v>18</v>
      </c>
      <c r="F357" t="s">
        <v>14</v>
      </c>
      <c r="G357" t="s">
        <v>51</v>
      </c>
      <c r="H357">
        <v>3</v>
      </c>
      <c r="I357" s="1">
        <v>2950.28</v>
      </c>
      <c r="J357" s="1">
        <f t="shared" si="37"/>
        <v>7965.7560000000003</v>
      </c>
      <c r="K357" s="1">
        <f t="shared" si="38"/>
        <v>885.08400000000006</v>
      </c>
      <c r="L357" s="1">
        <v>8850.84</v>
      </c>
      <c r="M357" s="1">
        <f t="shared" si="39"/>
        <v>1593.1512</v>
      </c>
      <c r="N357" s="1">
        <f t="shared" si="40"/>
        <v>10443.9912</v>
      </c>
      <c r="S357" t="str">
        <f t="shared" si="35"/>
        <v>Sindh</v>
      </c>
      <c r="W357" t="str">
        <f t="shared" si="36"/>
        <v>South</v>
      </c>
      <c r="AB357" t="str">
        <f t="shared" si="41"/>
        <v>PK-SD</v>
      </c>
    </row>
    <row r="358" spans="1:28" x14ac:dyDescent="0.25">
      <c r="A358" s="2">
        <v>45196</v>
      </c>
      <c r="B358" t="s">
        <v>25</v>
      </c>
      <c r="C358" t="s">
        <v>59</v>
      </c>
      <c r="D358" t="s">
        <v>66</v>
      </c>
      <c r="E358" t="s">
        <v>41</v>
      </c>
      <c r="F358" t="s">
        <v>27</v>
      </c>
      <c r="G358" t="s">
        <v>46</v>
      </c>
      <c r="H358">
        <v>10</v>
      </c>
      <c r="I358" s="1">
        <v>4788</v>
      </c>
      <c r="J358" s="1">
        <f t="shared" si="37"/>
        <v>43092</v>
      </c>
      <c r="K358" s="1">
        <f t="shared" si="38"/>
        <v>4788</v>
      </c>
      <c r="L358" s="1">
        <v>47880</v>
      </c>
      <c r="M358" s="1">
        <f t="shared" si="39"/>
        <v>8618.4</v>
      </c>
      <c r="N358" s="1">
        <f t="shared" si="40"/>
        <v>56498.400000000001</v>
      </c>
      <c r="S358" t="str">
        <f t="shared" si="35"/>
        <v>Khyber Pakhtunkhwa</v>
      </c>
      <c r="W358" t="str">
        <f t="shared" si="36"/>
        <v>North</v>
      </c>
      <c r="AB358" t="str">
        <f t="shared" si="41"/>
        <v>Khyber Pakhtunkhwa</v>
      </c>
    </row>
    <row r="359" spans="1:28" x14ac:dyDescent="0.25">
      <c r="A359" s="2">
        <v>45014</v>
      </c>
      <c r="B359" t="s">
        <v>16</v>
      </c>
      <c r="C359" t="s">
        <v>17</v>
      </c>
      <c r="D359" t="s">
        <v>65</v>
      </c>
      <c r="E359" t="s">
        <v>64</v>
      </c>
      <c r="F359" t="s">
        <v>14</v>
      </c>
      <c r="G359" t="s">
        <v>45</v>
      </c>
      <c r="H359">
        <v>8</v>
      </c>
      <c r="I359" s="1">
        <v>1807.67</v>
      </c>
      <c r="J359" s="1">
        <f t="shared" si="37"/>
        <v>13015.224</v>
      </c>
      <c r="K359" s="1">
        <f t="shared" si="38"/>
        <v>1446.1360000000002</v>
      </c>
      <c r="L359" s="1">
        <v>14461.36</v>
      </c>
      <c r="M359" s="1">
        <f t="shared" si="39"/>
        <v>2603.0448000000001</v>
      </c>
      <c r="N359" s="1">
        <f t="shared" si="40"/>
        <v>17064.4048</v>
      </c>
      <c r="S359" t="str">
        <f t="shared" si="35"/>
        <v>Punjab</v>
      </c>
      <c r="W359" t="str">
        <f t="shared" si="36"/>
        <v>East</v>
      </c>
      <c r="AB359" t="str">
        <f t="shared" si="41"/>
        <v>PK-PB</v>
      </c>
    </row>
    <row r="360" spans="1:28" x14ac:dyDescent="0.25">
      <c r="A360" s="2">
        <v>45201</v>
      </c>
      <c r="B360" t="s">
        <v>31</v>
      </c>
      <c r="C360" t="s">
        <v>54</v>
      </c>
      <c r="D360" t="s">
        <v>12</v>
      </c>
      <c r="E360" t="s">
        <v>18</v>
      </c>
      <c r="F360" t="s">
        <v>27</v>
      </c>
      <c r="G360" t="s">
        <v>46</v>
      </c>
      <c r="H360">
        <v>19</v>
      </c>
      <c r="I360" s="1">
        <v>797.02</v>
      </c>
      <c r="J360" s="1">
        <f t="shared" si="37"/>
        <v>13629.041999999999</v>
      </c>
      <c r="K360" s="1">
        <f t="shared" si="38"/>
        <v>1514.338</v>
      </c>
      <c r="L360" s="1">
        <v>15143.38</v>
      </c>
      <c r="M360" s="1">
        <f t="shared" si="39"/>
        <v>2725.8083999999999</v>
      </c>
      <c r="N360" s="1">
        <f t="shared" si="40"/>
        <v>17869.188399999999</v>
      </c>
      <c r="S360" t="str">
        <f t="shared" si="35"/>
        <v>Sindh</v>
      </c>
      <c r="W360" t="str">
        <f t="shared" si="36"/>
        <v>South</v>
      </c>
      <c r="AB360" t="str">
        <f t="shared" si="41"/>
        <v>PK-SD</v>
      </c>
    </row>
    <row r="361" spans="1:28" x14ac:dyDescent="0.25">
      <c r="A361" s="2">
        <v>45255</v>
      </c>
      <c r="B361" t="s">
        <v>16</v>
      </c>
      <c r="C361" t="s">
        <v>17</v>
      </c>
      <c r="D361" t="s">
        <v>65</v>
      </c>
      <c r="E361" t="s">
        <v>64</v>
      </c>
      <c r="F361" t="s">
        <v>32</v>
      </c>
      <c r="G361" t="s">
        <v>49</v>
      </c>
      <c r="H361">
        <v>2</v>
      </c>
      <c r="I361" s="1">
        <v>1195.99</v>
      </c>
      <c r="J361" s="1">
        <f t="shared" si="37"/>
        <v>2152.7820000000002</v>
      </c>
      <c r="K361" s="1">
        <f t="shared" si="38"/>
        <v>239.19800000000001</v>
      </c>
      <c r="L361" s="1">
        <v>2391.98</v>
      </c>
      <c r="M361" s="1">
        <f t="shared" si="39"/>
        <v>430.5564</v>
      </c>
      <c r="N361" s="1">
        <f t="shared" si="40"/>
        <v>2822.5364</v>
      </c>
      <c r="S361" t="str">
        <f t="shared" si="35"/>
        <v>Punjab</v>
      </c>
      <c r="W361" t="str">
        <f t="shared" si="36"/>
        <v>East</v>
      </c>
      <c r="AB361" t="str">
        <f t="shared" si="41"/>
        <v>PK-PB</v>
      </c>
    </row>
    <row r="362" spans="1:28" x14ac:dyDescent="0.25">
      <c r="A362" s="2">
        <v>45052</v>
      </c>
      <c r="B362" t="s">
        <v>38</v>
      </c>
      <c r="C362" t="s">
        <v>60</v>
      </c>
      <c r="D362" t="s">
        <v>12</v>
      </c>
      <c r="E362" t="s">
        <v>18</v>
      </c>
      <c r="F362" t="s">
        <v>23</v>
      </c>
      <c r="G362" t="s">
        <v>47</v>
      </c>
      <c r="H362">
        <v>20</v>
      </c>
      <c r="I362" s="1">
        <v>2056.65</v>
      </c>
      <c r="J362" s="1">
        <f t="shared" si="37"/>
        <v>37019.700000000004</v>
      </c>
      <c r="K362" s="1">
        <f t="shared" si="38"/>
        <v>4113.3</v>
      </c>
      <c r="L362" s="1">
        <v>41133</v>
      </c>
      <c r="M362" s="1">
        <f t="shared" si="39"/>
        <v>7403.94</v>
      </c>
      <c r="N362" s="1">
        <f t="shared" si="40"/>
        <v>48536.94</v>
      </c>
      <c r="S362" t="str">
        <f t="shared" si="35"/>
        <v>Sindh</v>
      </c>
      <c r="W362" t="str">
        <f t="shared" si="36"/>
        <v>South</v>
      </c>
      <c r="AB362" t="str">
        <f t="shared" si="41"/>
        <v>PK-SD</v>
      </c>
    </row>
    <row r="363" spans="1:28" x14ac:dyDescent="0.25">
      <c r="A363" s="2">
        <v>44989</v>
      </c>
      <c r="B363" t="s">
        <v>38</v>
      </c>
      <c r="C363" t="s">
        <v>56</v>
      </c>
      <c r="D363" t="s">
        <v>12</v>
      </c>
      <c r="E363" t="s">
        <v>18</v>
      </c>
      <c r="F363" t="s">
        <v>14</v>
      </c>
      <c r="G363" t="s">
        <v>53</v>
      </c>
      <c r="H363">
        <v>16</v>
      </c>
      <c r="I363" s="1">
        <v>4817.63</v>
      </c>
      <c r="J363" s="1">
        <f t="shared" si="37"/>
        <v>69373.872000000003</v>
      </c>
      <c r="K363" s="1">
        <f t="shared" si="38"/>
        <v>7708.2080000000005</v>
      </c>
      <c r="L363" s="1">
        <v>77082.080000000002</v>
      </c>
      <c r="M363" s="1">
        <f t="shared" si="39"/>
        <v>13874.7744</v>
      </c>
      <c r="N363" s="1">
        <f t="shared" si="40"/>
        <v>90956.854399999997</v>
      </c>
      <c r="S363" t="str">
        <f t="shared" si="35"/>
        <v>Sindh</v>
      </c>
      <c r="W363" t="str">
        <f t="shared" si="36"/>
        <v>South</v>
      </c>
      <c r="AB363" t="str">
        <f t="shared" si="41"/>
        <v>PK-SD</v>
      </c>
    </row>
    <row r="364" spans="1:28" x14ac:dyDescent="0.25">
      <c r="A364" s="2">
        <v>45090</v>
      </c>
      <c r="B364" t="s">
        <v>16</v>
      </c>
      <c r="C364" t="s">
        <v>57</v>
      </c>
      <c r="D364" t="s">
        <v>22</v>
      </c>
      <c r="E364" t="s">
        <v>13</v>
      </c>
      <c r="F364" t="s">
        <v>23</v>
      </c>
      <c r="G364" t="s">
        <v>39</v>
      </c>
      <c r="H364">
        <v>7</v>
      </c>
      <c r="I364" s="1">
        <v>4950.24</v>
      </c>
      <c r="J364" s="1">
        <f t="shared" si="37"/>
        <v>31186.512000000002</v>
      </c>
      <c r="K364" s="1">
        <f t="shared" si="38"/>
        <v>3465.1680000000001</v>
      </c>
      <c r="L364" s="1">
        <v>34651.68</v>
      </c>
      <c r="M364" s="1">
        <f t="shared" si="39"/>
        <v>6237.3023999999996</v>
      </c>
      <c r="N364" s="1">
        <f t="shared" si="40"/>
        <v>40888.982400000001</v>
      </c>
      <c r="S364" t="str">
        <f t="shared" si="35"/>
        <v>Balochistan</v>
      </c>
      <c r="W364" t="str">
        <f t="shared" si="36"/>
        <v>West</v>
      </c>
      <c r="AB364" t="str">
        <f t="shared" si="41"/>
        <v>PK-BA</v>
      </c>
    </row>
    <row r="365" spans="1:28" x14ac:dyDescent="0.25">
      <c r="A365" s="2">
        <v>45163</v>
      </c>
      <c r="B365" t="s">
        <v>38</v>
      </c>
      <c r="C365" t="s">
        <v>26</v>
      </c>
      <c r="D365" t="s">
        <v>12</v>
      </c>
      <c r="E365" t="s">
        <v>18</v>
      </c>
      <c r="F365" t="s">
        <v>23</v>
      </c>
      <c r="G365" t="s">
        <v>39</v>
      </c>
      <c r="H365">
        <v>9</v>
      </c>
      <c r="I365" s="1">
        <v>2935.97</v>
      </c>
      <c r="J365" s="1">
        <f t="shared" si="37"/>
        <v>23781.357</v>
      </c>
      <c r="K365" s="1">
        <f t="shared" si="38"/>
        <v>2642.373</v>
      </c>
      <c r="L365" s="1">
        <v>26423.73</v>
      </c>
      <c r="M365" s="1">
        <f t="shared" si="39"/>
        <v>4756.2713999999996</v>
      </c>
      <c r="N365" s="1">
        <f t="shared" si="40"/>
        <v>31180.001400000001</v>
      </c>
      <c r="S365" t="str">
        <f t="shared" si="35"/>
        <v>Sindh</v>
      </c>
      <c r="W365" t="str">
        <f t="shared" si="36"/>
        <v>South</v>
      </c>
      <c r="AB365" t="str">
        <f t="shared" si="41"/>
        <v>PK-SD</v>
      </c>
    </row>
    <row r="366" spans="1:28" x14ac:dyDescent="0.25">
      <c r="A366" s="2">
        <v>45269</v>
      </c>
      <c r="B366" t="s">
        <v>43</v>
      </c>
      <c r="C366" t="s">
        <v>63</v>
      </c>
      <c r="D366" t="s">
        <v>65</v>
      </c>
      <c r="E366" t="s">
        <v>64</v>
      </c>
      <c r="F366" t="s">
        <v>27</v>
      </c>
      <c r="G366" t="s">
        <v>28</v>
      </c>
      <c r="H366">
        <v>9</v>
      </c>
      <c r="I366" s="1">
        <v>3560.8</v>
      </c>
      <c r="J366" s="1">
        <f t="shared" si="37"/>
        <v>28842.48</v>
      </c>
      <c r="K366" s="1">
        <f t="shared" si="38"/>
        <v>3204.7200000000003</v>
      </c>
      <c r="L366" s="1">
        <v>32047.200000000001</v>
      </c>
      <c r="M366" s="1">
        <f t="shared" si="39"/>
        <v>5768.4960000000001</v>
      </c>
      <c r="N366" s="1">
        <f t="shared" si="40"/>
        <v>37815.696000000004</v>
      </c>
      <c r="S366" t="str">
        <f t="shared" si="35"/>
        <v>Punjab</v>
      </c>
      <c r="W366" t="str">
        <f t="shared" si="36"/>
        <v>East</v>
      </c>
      <c r="AB366" t="str">
        <f t="shared" si="41"/>
        <v>PK-PB</v>
      </c>
    </row>
    <row r="367" spans="1:28" x14ac:dyDescent="0.25">
      <c r="A367" s="2">
        <v>44993</v>
      </c>
      <c r="B367" t="s">
        <v>43</v>
      </c>
      <c r="C367" t="s">
        <v>60</v>
      </c>
      <c r="D367" t="s">
        <v>12</v>
      </c>
      <c r="E367" t="s">
        <v>18</v>
      </c>
      <c r="F367" t="s">
        <v>19</v>
      </c>
      <c r="G367" t="s">
        <v>52</v>
      </c>
      <c r="H367">
        <v>11</v>
      </c>
      <c r="I367" s="1">
        <v>4890.92</v>
      </c>
      <c r="J367" s="1">
        <f t="shared" si="37"/>
        <v>48420.108</v>
      </c>
      <c r="K367" s="1">
        <f t="shared" si="38"/>
        <v>5380.0120000000006</v>
      </c>
      <c r="L367" s="1">
        <v>53800.12</v>
      </c>
      <c r="M367" s="1">
        <f t="shared" si="39"/>
        <v>9684.0216</v>
      </c>
      <c r="N367" s="1">
        <f t="shared" si="40"/>
        <v>63484.141600000003</v>
      </c>
      <c r="S367" t="str">
        <f t="shared" si="35"/>
        <v>Sindh</v>
      </c>
      <c r="W367" t="str">
        <f t="shared" si="36"/>
        <v>South</v>
      </c>
      <c r="AB367" t="str">
        <f t="shared" si="41"/>
        <v>PK-SD</v>
      </c>
    </row>
    <row r="368" spans="1:28" x14ac:dyDescent="0.25">
      <c r="A368" s="2">
        <v>44977</v>
      </c>
      <c r="B368" t="s">
        <v>29</v>
      </c>
      <c r="C368" t="s">
        <v>57</v>
      </c>
      <c r="D368" t="s">
        <v>22</v>
      </c>
      <c r="E368" t="s">
        <v>13</v>
      </c>
      <c r="F368" t="s">
        <v>23</v>
      </c>
      <c r="G368" t="s">
        <v>24</v>
      </c>
      <c r="H368">
        <v>8</v>
      </c>
      <c r="I368" s="1">
        <v>4143.5600000000004</v>
      </c>
      <c r="J368" s="1">
        <f t="shared" si="37"/>
        <v>29833.632000000005</v>
      </c>
      <c r="K368" s="1">
        <f t="shared" si="38"/>
        <v>3314.8480000000004</v>
      </c>
      <c r="L368" s="1">
        <v>33148.480000000003</v>
      </c>
      <c r="M368" s="1">
        <f t="shared" si="39"/>
        <v>5966.7264000000005</v>
      </c>
      <c r="N368" s="1">
        <f t="shared" si="40"/>
        <v>39115.206400000003</v>
      </c>
      <c r="S368" t="str">
        <f t="shared" si="35"/>
        <v>Balochistan</v>
      </c>
      <c r="W368" t="str">
        <f t="shared" si="36"/>
        <v>West</v>
      </c>
      <c r="AB368" t="str">
        <f t="shared" si="41"/>
        <v>PK-BA</v>
      </c>
    </row>
    <row r="369" spans="1:28" x14ac:dyDescent="0.25">
      <c r="A369" s="2">
        <v>45032</v>
      </c>
      <c r="B369" t="s">
        <v>40</v>
      </c>
      <c r="C369" t="s">
        <v>56</v>
      </c>
      <c r="D369" t="s">
        <v>12</v>
      </c>
      <c r="E369" t="s">
        <v>18</v>
      </c>
      <c r="F369" t="s">
        <v>27</v>
      </c>
      <c r="G369" t="s">
        <v>46</v>
      </c>
      <c r="H369">
        <v>4</v>
      </c>
      <c r="I369" s="1">
        <v>2395.66</v>
      </c>
      <c r="J369" s="1">
        <f t="shared" si="37"/>
        <v>8624.3760000000002</v>
      </c>
      <c r="K369" s="1">
        <f t="shared" si="38"/>
        <v>958.26400000000001</v>
      </c>
      <c r="L369" s="1">
        <v>9582.64</v>
      </c>
      <c r="M369" s="1">
        <f t="shared" si="39"/>
        <v>1724.8751999999997</v>
      </c>
      <c r="N369" s="1">
        <f t="shared" si="40"/>
        <v>11307.5152</v>
      </c>
      <c r="S369" t="str">
        <f t="shared" si="35"/>
        <v>Sindh</v>
      </c>
      <c r="W369" t="str">
        <f t="shared" si="36"/>
        <v>South</v>
      </c>
      <c r="AB369" t="str">
        <f t="shared" si="41"/>
        <v>PK-SD</v>
      </c>
    </row>
    <row r="370" spans="1:28" x14ac:dyDescent="0.25">
      <c r="A370" s="2">
        <v>45147</v>
      </c>
      <c r="B370" t="s">
        <v>29</v>
      </c>
      <c r="C370" t="s">
        <v>63</v>
      </c>
      <c r="D370" t="s">
        <v>65</v>
      </c>
      <c r="E370" t="s">
        <v>64</v>
      </c>
      <c r="F370" t="s">
        <v>23</v>
      </c>
      <c r="G370" t="s">
        <v>37</v>
      </c>
      <c r="H370">
        <v>18</v>
      </c>
      <c r="I370" s="1">
        <v>1582.02</v>
      </c>
      <c r="J370" s="1">
        <f t="shared" si="37"/>
        <v>25628.724000000002</v>
      </c>
      <c r="K370" s="1">
        <f t="shared" si="38"/>
        <v>2847.6360000000004</v>
      </c>
      <c r="L370" s="1">
        <v>28476.36</v>
      </c>
      <c r="M370" s="1">
        <f t="shared" si="39"/>
        <v>5125.7447999999995</v>
      </c>
      <c r="N370" s="1">
        <f t="shared" si="40"/>
        <v>33602.104800000001</v>
      </c>
      <c r="S370" t="str">
        <f t="shared" si="35"/>
        <v>Punjab</v>
      </c>
      <c r="W370" t="str">
        <f t="shared" si="36"/>
        <v>East</v>
      </c>
      <c r="AB370" t="str">
        <f t="shared" si="41"/>
        <v>PK-PB</v>
      </c>
    </row>
    <row r="371" spans="1:28" x14ac:dyDescent="0.25">
      <c r="A371" s="2">
        <v>45164</v>
      </c>
      <c r="B371" t="s">
        <v>10</v>
      </c>
      <c r="C371" t="s">
        <v>60</v>
      </c>
      <c r="D371" t="s">
        <v>12</v>
      </c>
      <c r="E371" t="s">
        <v>18</v>
      </c>
      <c r="F371" t="s">
        <v>23</v>
      </c>
      <c r="G371" t="s">
        <v>39</v>
      </c>
      <c r="H371">
        <v>14</v>
      </c>
      <c r="I371" s="1">
        <v>3381.77</v>
      </c>
      <c r="J371" s="1">
        <f t="shared" si="37"/>
        <v>42610.302000000003</v>
      </c>
      <c r="K371" s="1">
        <f t="shared" si="38"/>
        <v>4734.4780000000001</v>
      </c>
      <c r="L371" s="1">
        <v>47344.78</v>
      </c>
      <c r="M371" s="1">
        <f t="shared" si="39"/>
        <v>8522.0604000000003</v>
      </c>
      <c r="N371" s="1">
        <f t="shared" si="40"/>
        <v>55866.840400000001</v>
      </c>
      <c r="S371" t="str">
        <f t="shared" si="35"/>
        <v>Sindh</v>
      </c>
      <c r="W371" t="str">
        <f t="shared" si="36"/>
        <v>South</v>
      </c>
      <c r="AB371" t="str">
        <f t="shared" si="41"/>
        <v>PK-SD</v>
      </c>
    </row>
    <row r="372" spans="1:28" x14ac:dyDescent="0.25">
      <c r="A372" s="2">
        <v>45036</v>
      </c>
      <c r="B372" t="s">
        <v>43</v>
      </c>
      <c r="C372" t="s">
        <v>54</v>
      </c>
      <c r="D372" t="s">
        <v>12</v>
      </c>
      <c r="E372" t="s">
        <v>18</v>
      </c>
      <c r="F372" t="s">
        <v>19</v>
      </c>
      <c r="G372" t="s">
        <v>30</v>
      </c>
      <c r="H372">
        <v>16</v>
      </c>
      <c r="I372" s="1">
        <v>2580.42</v>
      </c>
      <c r="J372" s="1">
        <f t="shared" si="37"/>
        <v>37158.048000000003</v>
      </c>
      <c r="K372" s="1">
        <f t="shared" si="38"/>
        <v>4128.6720000000005</v>
      </c>
      <c r="L372" s="1">
        <v>41286.720000000001</v>
      </c>
      <c r="M372" s="1">
        <f t="shared" si="39"/>
        <v>7431.6095999999998</v>
      </c>
      <c r="N372" s="1">
        <f t="shared" si="40"/>
        <v>48718.329599999997</v>
      </c>
      <c r="S372" t="str">
        <f t="shared" si="35"/>
        <v>Sindh</v>
      </c>
      <c r="W372" t="str">
        <f t="shared" si="36"/>
        <v>South</v>
      </c>
      <c r="AB372" t="str">
        <f t="shared" si="41"/>
        <v>PK-SD</v>
      </c>
    </row>
    <row r="373" spans="1:28" x14ac:dyDescent="0.25">
      <c r="A373" s="2">
        <v>45106</v>
      </c>
      <c r="B373" t="s">
        <v>34</v>
      </c>
      <c r="C373" t="s">
        <v>63</v>
      </c>
      <c r="D373" t="s">
        <v>65</v>
      </c>
      <c r="E373" t="s">
        <v>64</v>
      </c>
      <c r="F373" t="s">
        <v>23</v>
      </c>
      <c r="G373" t="s">
        <v>39</v>
      </c>
      <c r="H373">
        <v>3</v>
      </c>
      <c r="I373" s="1">
        <v>3838.25</v>
      </c>
      <c r="J373" s="1">
        <f t="shared" si="37"/>
        <v>10363.275</v>
      </c>
      <c r="K373" s="1">
        <f t="shared" si="38"/>
        <v>1151.4750000000001</v>
      </c>
      <c r="L373" s="1">
        <v>11514.75</v>
      </c>
      <c r="M373" s="1">
        <f t="shared" si="39"/>
        <v>2072.6549999999997</v>
      </c>
      <c r="N373" s="1">
        <f t="shared" si="40"/>
        <v>13587.404999999999</v>
      </c>
      <c r="S373" t="str">
        <f t="shared" si="35"/>
        <v>Punjab</v>
      </c>
      <c r="W373" t="str">
        <f t="shared" si="36"/>
        <v>East</v>
      </c>
      <c r="AB373" t="str">
        <f t="shared" si="41"/>
        <v>PK-PB</v>
      </c>
    </row>
    <row r="374" spans="1:28" x14ac:dyDescent="0.25">
      <c r="A374" s="2">
        <v>45077</v>
      </c>
      <c r="B374" t="s">
        <v>34</v>
      </c>
      <c r="C374" t="s">
        <v>56</v>
      </c>
      <c r="D374" t="s">
        <v>12</v>
      </c>
      <c r="E374" t="s">
        <v>18</v>
      </c>
      <c r="F374" t="s">
        <v>27</v>
      </c>
      <c r="G374" t="s">
        <v>42</v>
      </c>
      <c r="H374">
        <v>2</v>
      </c>
      <c r="I374" s="1">
        <v>591.6</v>
      </c>
      <c r="J374" s="1">
        <f t="shared" si="37"/>
        <v>1064.8800000000001</v>
      </c>
      <c r="K374" s="1">
        <f t="shared" si="38"/>
        <v>118.32000000000001</v>
      </c>
      <c r="L374" s="1">
        <v>1183.2</v>
      </c>
      <c r="M374" s="1">
        <f t="shared" si="39"/>
        <v>212.976</v>
      </c>
      <c r="N374" s="1">
        <f t="shared" si="40"/>
        <v>1396.1759999999999</v>
      </c>
      <c r="S374" t="str">
        <f t="shared" si="35"/>
        <v>Sindh</v>
      </c>
      <c r="W374" t="str">
        <f t="shared" si="36"/>
        <v>South</v>
      </c>
      <c r="AB374" t="str">
        <f t="shared" si="41"/>
        <v>PK-SD</v>
      </c>
    </row>
    <row r="375" spans="1:28" x14ac:dyDescent="0.25">
      <c r="A375" s="2">
        <v>45100</v>
      </c>
      <c r="B375" t="s">
        <v>21</v>
      </c>
      <c r="C375" t="s">
        <v>26</v>
      </c>
      <c r="D375" t="s">
        <v>12</v>
      </c>
      <c r="E375" t="s">
        <v>18</v>
      </c>
      <c r="F375" t="s">
        <v>23</v>
      </c>
      <c r="G375" t="s">
        <v>39</v>
      </c>
      <c r="H375">
        <v>1</v>
      </c>
      <c r="I375" s="1">
        <v>2709.05</v>
      </c>
      <c r="J375" s="1">
        <f t="shared" si="37"/>
        <v>2438.1450000000004</v>
      </c>
      <c r="K375" s="1">
        <f t="shared" si="38"/>
        <v>270.90500000000003</v>
      </c>
      <c r="L375" s="1">
        <v>2709.05</v>
      </c>
      <c r="M375" s="1">
        <f t="shared" si="39"/>
        <v>487.62900000000002</v>
      </c>
      <c r="N375" s="1">
        <f t="shared" si="40"/>
        <v>3196.6790000000001</v>
      </c>
      <c r="S375" t="str">
        <f t="shared" si="35"/>
        <v>Sindh</v>
      </c>
      <c r="W375" t="str">
        <f t="shared" si="36"/>
        <v>South</v>
      </c>
      <c r="AB375" t="str">
        <f t="shared" si="41"/>
        <v>PK-SD</v>
      </c>
    </row>
    <row r="376" spans="1:28" x14ac:dyDescent="0.25">
      <c r="A376" s="2">
        <v>45147</v>
      </c>
      <c r="B376" t="s">
        <v>25</v>
      </c>
      <c r="C376" t="s">
        <v>54</v>
      </c>
      <c r="D376" t="s">
        <v>12</v>
      </c>
      <c r="E376" t="s">
        <v>18</v>
      </c>
      <c r="F376" t="s">
        <v>32</v>
      </c>
      <c r="G376" t="s">
        <v>49</v>
      </c>
      <c r="H376">
        <v>5</v>
      </c>
      <c r="I376" s="1">
        <v>194.7</v>
      </c>
      <c r="J376" s="1">
        <f t="shared" si="37"/>
        <v>876.15</v>
      </c>
      <c r="K376" s="1">
        <f t="shared" si="38"/>
        <v>97.350000000000009</v>
      </c>
      <c r="L376" s="1">
        <v>973.5</v>
      </c>
      <c r="M376" s="1">
        <f t="shared" si="39"/>
        <v>175.23</v>
      </c>
      <c r="N376" s="1">
        <f t="shared" si="40"/>
        <v>1148.73</v>
      </c>
      <c r="S376" t="str">
        <f t="shared" si="35"/>
        <v>Sindh</v>
      </c>
      <c r="W376" t="str">
        <f t="shared" si="36"/>
        <v>South</v>
      </c>
      <c r="AB376" t="str">
        <f t="shared" si="41"/>
        <v>PK-SD</v>
      </c>
    </row>
    <row r="377" spans="1:28" x14ac:dyDescent="0.25">
      <c r="A377" s="2">
        <v>45225</v>
      </c>
      <c r="B377" t="s">
        <v>21</v>
      </c>
      <c r="C377" t="s">
        <v>60</v>
      </c>
      <c r="D377" t="s">
        <v>12</v>
      </c>
      <c r="E377" t="s">
        <v>18</v>
      </c>
      <c r="F377" t="s">
        <v>19</v>
      </c>
      <c r="G377" t="s">
        <v>30</v>
      </c>
      <c r="H377">
        <v>4</v>
      </c>
      <c r="I377" s="1">
        <v>900.33</v>
      </c>
      <c r="J377" s="1">
        <f t="shared" si="37"/>
        <v>3241.1880000000001</v>
      </c>
      <c r="K377" s="1">
        <f t="shared" si="38"/>
        <v>360.13200000000006</v>
      </c>
      <c r="L377" s="1">
        <v>3601.32</v>
      </c>
      <c r="M377" s="1">
        <f t="shared" si="39"/>
        <v>648.23760000000004</v>
      </c>
      <c r="N377" s="1">
        <f t="shared" si="40"/>
        <v>4249.5576000000001</v>
      </c>
      <c r="S377" t="str">
        <f t="shared" si="35"/>
        <v>Sindh</v>
      </c>
      <c r="W377" t="str">
        <f t="shared" si="36"/>
        <v>South</v>
      </c>
      <c r="AB377" t="str">
        <f t="shared" si="41"/>
        <v>PK-SD</v>
      </c>
    </row>
    <row r="378" spans="1:28" x14ac:dyDescent="0.25">
      <c r="A378" s="2">
        <v>45061</v>
      </c>
      <c r="B378" t="s">
        <v>29</v>
      </c>
      <c r="C378" t="s">
        <v>55</v>
      </c>
      <c r="D378" t="s">
        <v>66</v>
      </c>
      <c r="E378" t="s">
        <v>41</v>
      </c>
      <c r="F378" t="s">
        <v>27</v>
      </c>
      <c r="G378" t="s">
        <v>28</v>
      </c>
      <c r="H378">
        <v>13</v>
      </c>
      <c r="I378" s="1">
        <v>3574.45</v>
      </c>
      <c r="J378" s="1">
        <f t="shared" si="37"/>
        <v>41821.065000000002</v>
      </c>
      <c r="K378" s="1">
        <f t="shared" si="38"/>
        <v>4646.7849999999999</v>
      </c>
      <c r="L378" s="1">
        <v>46467.85</v>
      </c>
      <c r="M378" s="1">
        <f t="shared" si="39"/>
        <v>8364.2129999999997</v>
      </c>
      <c r="N378" s="1">
        <f t="shared" si="40"/>
        <v>54832.062999999995</v>
      </c>
      <c r="S378" t="str">
        <f t="shared" si="35"/>
        <v>Khyber Pakhtunkhwa</v>
      </c>
      <c r="W378" t="str">
        <f t="shared" si="36"/>
        <v>North</v>
      </c>
      <c r="AB378" t="str">
        <f t="shared" si="41"/>
        <v>Khyber Pakhtunkhwa</v>
      </c>
    </row>
    <row r="379" spans="1:28" x14ac:dyDescent="0.25">
      <c r="A379" s="2">
        <v>44998</v>
      </c>
      <c r="B379" t="s">
        <v>16</v>
      </c>
      <c r="C379" t="s">
        <v>58</v>
      </c>
      <c r="D379" t="s">
        <v>12</v>
      </c>
      <c r="E379" t="s">
        <v>18</v>
      </c>
      <c r="F379" t="s">
        <v>32</v>
      </c>
      <c r="G379" t="s">
        <v>33</v>
      </c>
      <c r="H379">
        <v>20</v>
      </c>
      <c r="I379" s="1">
        <v>1637.44</v>
      </c>
      <c r="J379" s="1">
        <f t="shared" si="37"/>
        <v>29473.919999999998</v>
      </c>
      <c r="K379" s="1">
        <f t="shared" si="38"/>
        <v>3274.88</v>
      </c>
      <c r="L379" s="1">
        <v>32748.799999999999</v>
      </c>
      <c r="M379" s="1">
        <f t="shared" si="39"/>
        <v>5894.7839999999997</v>
      </c>
      <c r="N379" s="1">
        <f t="shared" si="40"/>
        <v>38643.584000000003</v>
      </c>
      <c r="S379" t="str">
        <f t="shared" si="35"/>
        <v>Sindh</v>
      </c>
      <c r="W379" t="str">
        <f t="shared" si="36"/>
        <v>South</v>
      </c>
      <c r="AB379" t="str">
        <f t="shared" si="41"/>
        <v>PK-SD</v>
      </c>
    </row>
    <row r="380" spans="1:28" x14ac:dyDescent="0.25">
      <c r="A380" s="2">
        <v>45060</v>
      </c>
      <c r="B380" t="s">
        <v>21</v>
      </c>
      <c r="C380" t="s">
        <v>62</v>
      </c>
      <c r="D380" t="s">
        <v>65</v>
      </c>
      <c r="E380" t="s">
        <v>64</v>
      </c>
      <c r="F380" t="s">
        <v>14</v>
      </c>
      <c r="G380" t="s">
        <v>51</v>
      </c>
      <c r="H380">
        <v>14</v>
      </c>
      <c r="I380" s="1">
        <v>3177.8</v>
      </c>
      <c r="J380" s="1">
        <f t="shared" si="37"/>
        <v>40040.28</v>
      </c>
      <c r="K380" s="1">
        <f t="shared" si="38"/>
        <v>4448.92</v>
      </c>
      <c r="L380" s="1">
        <v>44489.2</v>
      </c>
      <c r="M380" s="1">
        <f t="shared" si="39"/>
        <v>8008.0559999999996</v>
      </c>
      <c r="N380" s="1">
        <f t="shared" si="40"/>
        <v>52497.255999999994</v>
      </c>
      <c r="S380" t="str">
        <f t="shared" si="35"/>
        <v>Punjab</v>
      </c>
      <c r="W380" t="str">
        <f t="shared" si="36"/>
        <v>East</v>
      </c>
      <c r="AB380" t="str">
        <f t="shared" si="41"/>
        <v>PK-PB</v>
      </c>
    </row>
    <row r="381" spans="1:28" x14ac:dyDescent="0.25">
      <c r="A381" s="2">
        <v>45070</v>
      </c>
      <c r="B381" t="s">
        <v>31</v>
      </c>
      <c r="C381" t="s">
        <v>57</v>
      </c>
      <c r="D381" t="s">
        <v>22</v>
      </c>
      <c r="E381" t="s">
        <v>13</v>
      </c>
      <c r="F381" t="s">
        <v>32</v>
      </c>
      <c r="G381" t="s">
        <v>36</v>
      </c>
      <c r="H381">
        <v>1</v>
      </c>
      <c r="I381" s="1">
        <v>3382.37</v>
      </c>
      <c r="J381" s="1">
        <f t="shared" si="37"/>
        <v>3044.1329999999998</v>
      </c>
      <c r="K381" s="1">
        <f t="shared" si="38"/>
        <v>338.23700000000002</v>
      </c>
      <c r="L381" s="1">
        <v>3382.37</v>
      </c>
      <c r="M381" s="1">
        <f t="shared" si="39"/>
        <v>608.82659999999998</v>
      </c>
      <c r="N381" s="1">
        <f t="shared" si="40"/>
        <v>3991.1965999999998</v>
      </c>
      <c r="S381" t="str">
        <f t="shared" si="35"/>
        <v>Balochistan</v>
      </c>
      <c r="W381" t="str">
        <f t="shared" si="36"/>
        <v>West</v>
      </c>
      <c r="AB381" t="str">
        <f t="shared" si="41"/>
        <v>PK-BA</v>
      </c>
    </row>
    <row r="382" spans="1:28" x14ac:dyDescent="0.25">
      <c r="A382" s="2">
        <v>45043</v>
      </c>
      <c r="B382" t="s">
        <v>10</v>
      </c>
      <c r="C382" t="s">
        <v>58</v>
      </c>
      <c r="D382" t="s">
        <v>12</v>
      </c>
      <c r="E382" t="s">
        <v>18</v>
      </c>
      <c r="F382" t="s">
        <v>19</v>
      </c>
      <c r="G382" t="s">
        <v>52</v>
      </c>
      <c r="H382">
        <v>19</v>
      </c>
      <c r="I382" s="1">
        <v>2816.52</v>
      </c>
      <c r="J382" s="1">
        <f t="shared" si="37"/>
        <v>48162.491999999998</v>
      </c>
      <c r="K382" s="1">
        <f t="shared" si="38"/>
        <v>5351.3879999999999</v>
      </c>
      <c r="L382" s="1">
        <v>53513.88</v>
      </c>
      <c r="M382" s="1">
        <f t="shared" si="39"/>
        <v>9632.4983999999986</v>
      </c>
      <c r="N382" s="1">
        <f t="shared" si="40"/>
        <v>63146.378399999994</v>
      </c>
      <c r="S382" t="str">
        <f t="shared" si="35"/>
        <v>Sindh</v>
      </c>
      <c r="W382" t="str">
        <f t="shared" si="36"/>
        <v>South</v>
      </c>
      <c r="AB382" t="str">
        <f t="shared" si="41"/>
        <v>PK-SD</v>
      </c>
    </row>
    <row r="383" spans="1:28" x14ac:dyDescent="0.25">
      <c r="A383" s="2">
        <v>45258</v>
      </c>
      <c r="B383" t="s">
        <v>10</v>
      </c>
      <c r="C383" t="s">
        <v>26</v>
      </c>
      <c r="D383" t="s">
        <v>12</v>
      </c>
      <c r="E383" t="s">
        <v>18</v>
      </c>
      <c r="F383" t="s">
        <v>27</v>
      </c>
      <c r="G383" t="s">
        <v>44</v>
      </c>
      <c r="H383">
        <v>13</v>
      </c>
      <c r="I383" s="1">
        <v>3417.94</v>
      </c>
      <c r="J383" s="1">
        <f t="shared" si="37"/>
        <v>39989.898000000001</v>
      </c>
      <c r="K383" s="1">
        <f t="shared" si="38"/>
        <v>4443.3220000000001</v>
      </c>
      <c r="L383" s="1">
        <v>44433.22</v>
      </c>
      <c r="M383" s="1">
        <f t="shared" si="39"/>
        <v>7997.9795999999997</v>
      </c>
      <c r="N383" s="1">
        <f t="shared" si="40"/>
        <v>52431.1996</v>
      </c>
      <c r="S383" t="str">
        <f t="shared" si="35"/>
        <v>Sindh</v>
      </c>
      <c r="W383" t="str">
        <f t="shared" si="36"/>
        <v>South</v>
      </c>
      <c r="AB383" t="str">
        <f t="shared" si="41"/>
        <v>PK-SD</v>
      </c>
    </row>
    <row r="384" spans="1:28" x14ac:dyDescent="0.25">
      <c r="A384" s="2">
        <v>45283</v>
      </c>
      <c r="B384" t="s">
        <v>10</v>
      </c>
      <c r="C384" t="s">
        <v>57</v>
      </c>
      <c r="D384" t="s">
        <v>22</v>
      </c>
      <c r="E384" t="s">
        <v>13</v>
      </c>
      <c r="F384" t="s">
        <v>23</v>
      </c>
      <c r="G384" t="s">
        <v>47</v>
      </c>
      <c r="H384">
        <v>14</v>
      </c>
      <c r="I384" s="1">
        <v>917.55</v>
      </c>
      <c r="J384" s="1">
        <f t="shared" si="37"/>
        <v>11561.130000000001</v>
      </c>
      <c r="K384" s="1">
        <f t="shared" si="38"/>
        <v>1284.5700000000002</v>
      </c>
      <c r="L384" s="1">
        <v>12845.7</v>
      </c>
      <c r="M384" s="1">
        <f t="shared" si="39"/>
        <v>2312.2260000000001</v>
      </c>
      <c r="N384" s="1">
        <f t="shared" si="40"/>
        <v>15157.926000000001</v>
      </c>
      <c r="S384" t="str">
        <f t="shared" si="35"/>
        <v>Balochistan</v>
      </c>
      <c r="W384" t="str">
        <f t="shared" si="36"/>
        <v>West</v>
      </c>
      <c r="AB384" t="str">
        <f t="shared" si="41"/>
        <v>PK-BA</v>
      </c>
    </row>
    <row r="385" spans="1:28" x14ac:dyDescent="0.25">
      <c r="A385" s="2">
        <v>44997</v>
      </c>
      <c r="B385" t="s">
        <v>34</v>
      </c>
      <c r="C385" t="s">
        <v>11</v>
      </c>
      <c r="D385" t="s">
        <v>22</v>
      </c>
      <c r="E385" t="s">
        <v>13</v>
      </c>
      <c r="F385" t="s">
        <v>32</v>
      </c>
      <c r="G385" t="s">
        <v>33</v>
      </c>
      <c r="H385">
        <v>1</v>
      </c>
      <c r="I385" s="1">
        <v>1598.87</v>
      </c>
      <c r="J385" s="1">
        <f t="shared" si="37"/>
        <v>1438.9829999999999</v>
      </c>
      <c r="K385" s="1">
        <f t="shared" si="38"/>
        <v>159.887</v>
      </c>
      <c r="L385" s="1">
        <v>1598.87</v>
      </c>
      <c r="M385" s="1">
        <f t="shared" si="39"/>
        <v>287.79659999999996</v>
      </c>
      <c r="N385" s="1">
        <f t="shared" si="40"/>
        <v>1886.6665999999998</v>
      </c>
      <c r="S385" t="str">
        <f t="shared" si="35"/>
        <v>Balochistan</v>
      </c>
      <c r="W385" t="str">
        <f t="shared" si="36"/>
        <v>West</v>
      </c>
      <c r="AB385" t="str">
        <f t="shared" si="41"/>
        <v>PK-BA</v>
      </c>
    </row>
    <row r="386" spans="1:28" x14ac:dyDescent="0.25">
      <c r="A386" s="2">
        <v>45200</v>
      </c>
      <c r="B386" t="s">
        <v>34</v>
      </c>
      <c r="C386" t="s">
        <v>58</v>
      </c>
      <c r="D386" t="s">
        <v>12</v>
      </c>
      <c r="E386" t="s">
        <v>18</v>
      </c>
      <c r="F386" t="s">
        <v>14</v>
      </c>
      <c r="G386" t="s">
        <v>15</v>
      </c>
      <c r="H386">
        <v>7</v>
      </c>
      <c r="I386" s="1">
        <v>405.27</v>
      </c>
      <c r="J386" s="1">
        <f t="shared" si="37"/>
        <v>2553.201</v>
      </c>
      <c r="K386" s="1">
        <f t="shared" si="38"/>
        <v>283.68900000000002</v>
      </c>
      <c r="L386" s="1">
        <v>2836.89</v>
      </c>
      <c r="M386" s="1">
        <f t="shared" si="39"/>
        <v>510.64019999999994</v>
      </c>
      <c r="N386" s="1">
        <f t="shared" si="40"/>
        <v>3347.5301999999997</v>
      </c>
      <c r="S386" t="str">
        <f t="shared" ref="S386:S449" si="42">VLOOKUP(C386,$Q$2:$R$15,2,FALSE)</f>
        <v>Sindh</v>
      </c>
      <c r="W386" t="str">
        <f t="shared" ref="W386:W449" si="43">VLOOKUP(D386,$U$2:$V$5,2,FALSE)</f>
        <v>South</v>
      </c>
      <c r="AB386" t="str">
        <f t="shared" si="41"/>
        <v>PK-SD</v>
      </c>
    </row>
    <row r="387" spans="1:28" x14ac:dyDescent="0.25">
      <c r="A387" s="2">
        <v>45211</v>
      </c>
      <c r="B387" t="s">
        <v>34</v>
      </c>
      <c r="C387" t="s">
        <v>26</v>
      </c>
      <c r="D387" t="s">
        <v>12</v>
      </c>
      <c r="E387" t="s">
        <v>18</v>
      </c>
      <c r="F387" t="s">
        <v>27</v>
      </c>
      <c r="G387" t="s">
        <v>42</v>
      </c>
      <c r="H387">
        <v>5</v>
      </c>
      <c r="I387" s="1">
        <v>2819.92</v>
      </c>
      <c r="J387" s="1">
        <f t="shared" ref="J387:J450" si="44">L387*90%</f>
        <v>12689.640000000001</v>
      </c>
      <c r="K387" s="1">
        <f t="shared" ref="K387:K450" si="45">L387*10%</f>
        <v>1409.96</v>
      </c>
      <c r="L387" s="1">
        <v>14099.6</v>
      </c>
      <c r="M387" s="1">
        <f t="shared" ref="M387:M450" si="46">L387*18%</f>
        <v>2537.9279999999999</v>
      </c>
      <c r="N387" s="1">
        <f t="shared" ref="N387:N450" si="47">L387+M387</f>
        <v>16637.527999999998</v>
      </c>
      <c r="S387" t="str">
        <f t="shared" si="42"/>
        <v>Sindh</v>
      </c>
      <c r="W387" t="str">
        <f t="shared" si="43"/>
        <v>South</v>
      </c>
      <c r="AB387" t="str">
        <f t="shared" ref="AB387:AB450" si="48">VLOOKUP(D387,$Z$2:$AA$5,2,FALSE)</f>
        <v>PK-SD</v>
      </c>
    </row>
    <row r="388" spans="1:28" x14ac:dyDescent="0.25">
      <c r="A388" s="2">
        <v>45281</v>
      </c>
      <c r="B388" t="s">
        <v>21</v>
      </c>
      <c r="C388" t="s">
        <v>57</v>
      </c>
      <c r="D388" t="s">
        <v>22</v>
      </c>
      <c r="E388" t="s">
        <v>13</v>
      </c>
      <c r="F388" t="s">
        <v>32</v>
      </c>
      <c r="G388" t="s">
        <v>33</v>
      </c>
      <c r="H388">
        <v>7</v>
      </c>
      <c r="I388" s="1">
        <v>4023.6</v>
      </c>
      <c r="J388" s="1">
        <f t="shared" si="44"/>
        <v>25348.68</v>
      </c>
      <c r="K388" s="1">
        <f t="shared" si="45"/>
        <v>2816.5200000000004</v>
      </c>
      <c r="L388" s="1">
        <v>28165.200000000001</v>
      </c>
      <c r="M388" s="1">
        <f t="shared" si="46"/>
        <v>5069.7359999999999</v>
      </c>
      <c r="N388" s="1">
        <f t="shared" si="47"/>
        <v>33234.936000000002</v>
      </c>
      <c r="S388" t="str">
        <f t="shared" si="42"/>
        <v>Balochistan</v>
      </c>
      <c r="W388" t="str">
        <f t="shared" si="43"/>
        <v>West</v>
      </c>
      <c r="AB388" t="str">
        <f t="shared" si="48"/>
        <v>PK-BA</v>
      </c>
    </row>
    <row r="389" spans="1:28" x14ac:dyDescent="0.25">
      <c r="A389" s="2">
        <v>45190</v>
      </c>
      <c r="B389" t="s">
        <v>25</v>
      </c>
      <c r="C389" t="s">
        <v>56</v>
      </c>
      <c r="D389" t="s">
        <v>12</v>
      </c>
      <c r="E389" t="s">
        <v>18</v>
      </c>
      <c r="F389" t="s">
        <v>27</v>
      </c>
      <c r="G389" t="s">
        <v>42</v>
      </c>
      <c r="H389">
        <v>6</v>
      </c>
      <c r="I389" s="1">
        <v>4911.79</v>
      </c>
      <c r="J389" s="1">
        <f t="shared" si="44"/>
        <v>26523.666000000001</v>
      </c>
      <c r="K389" s="1">
        <f t="shared" si="45"/>
        <v>2947.0740000000005</v>
      </c>
      <c r="L389" s="1">
        <v>29470.74</v>
      </c>
      <c r="M389" s="1">
        <f t="shared" si="46"/>
        <v>5304.7331999999997</v>
      </c>
      <c r="N389" s="1">
        <f t="shared" si="47"/>
        <v>34775.4732</v>
      </c>
      <c r="S389" t="str">
        <f t="shared" si="42"/>
        <v>Sindh</v>
      </c>
      <c r="W389" t="str">
        <f t="shared" si="43"/>
        <v>South</v>
      </c>
      <c r="AB389" t="str">
        <f t="shared" si="48"/>
        <v>PK-SD</v>
      </c>
    </row>
    <row r="390" spans="1:28" x14ac:dyDescent="0.25">
      <c r="A390" s="2">
        <v>45240</v>
      </c>
      <c r="B390" t="s">
        <v>31</v>
      </c>
      <c r="C390" t="s">
        <v>62</v>
      </c>
      <c r="D390" t="s">
        <v>65</v>
      </c>
      <c r="E390" t="s">
        <v>64</v>
      </c>
      <c r="F390" t="s">
        <v>14</v>
      </c>
      <c r="G390" t="s">
        <v>45</v>
      </c>
      <c r="H390">
        <v>7</v>
      </c>
      <c r="I390" s="1">
        <v>2186.75</v>
      </c>
      <c r="J390" s="1">
        <f t="shared" si="44"/>
        <v>13776.525</v>
      </c>
      <c r="K390" s="1">
        <f t="shared" si="45"/>
        <v>1530.7250000000001</v>
      </c>
      <c r="L390" s="1">
        <v>15307.25</v>
      </c>
      <c r="M390" s="1">
        <f t="shared" si="46"/>
        <v>2755.3049999999998</v>
      </c>
      <c r="N390" s="1">
        <f t="shared" si="47"/>
        <v>18062.555</v>
      </c>
      <c r="S390" t="str">
        <f t="shared" si="42"/>
        <v>Punjab</v>
      </c>
      <c r="W390" t="str">
        <f t="shared" si="43"/>
        <v>East</v>
      </c>
      <c r="AB390" t="str">
        <f t="shared" si="48"/>
        <v>PK-PB</v>
      </c>
    </row>
    <row r="391" spans="1:28" x14ac:dyDescent="0.25">
      <c r="A391" s="2">
        <v>45228</v>
      </c>
      <c r="B391" t="s">
        <v>43</v>
      </c>
      <c r="C391" t="s">
        <v>58</v>
      </c>
      <c r="D391" t="s">
        <v>12</v>
      </c>
      <c r="E391" t="s">
        <v>18</v>
      </c>
      <c r="F391" t="s">
        <v>19</v>
      </c>
      <c r="G391" t="s">
        <v>20</v>
      </c>
      <c r="H391">
        <v>9</v>
      </c>
      <c r="I391" s="1">
        <v>2304.23</v>
      </c>
      <c r="J391" s="1">
        <f t="shared" si="44"/>
        <v>18664.262999999999</v>
      </c>
      <c r="K391" s="1">
        <f t="shared" si="45"/>
        <v>2073.8070000000002</v>
      </c>
      <c r="L391" s="1">
        <v>20738.07</v>
      </c>
      <c r="M391" s="1">
        <f t="shared" si="46"/>
        <v>3732.8525999999997</v>
      </c>
      <c r="N391" s="1">
        <f t="shared" si="47"/>
        <v>24470.922599999998</v>
      </c>
      <c r="S391" t="str">
        <f t="shared" si="42"/>
        <v>Sindh</v>
      </c>
      <c r="W391" t="str">
        <f t="shared" si="43"/>
        <v>South</v>
      </c>
      <c r="AB391" t="str">
        <f t="shared" si="48"/>
        <v>PK-SD</v>
      </c>
    </row>
    <row r="392" spans="1:28" x14ac:dyDescent="0.25">
      <c r="A392" s="2">
        <v>45050</v>
      </c>
      <c r="B392" t="s">
        <v>31</v>
      </c>
      <c r="C392" t="s">
        <v>26</v>
      </c>
      <c r="D392" t="s">
        <v>12</v>
      </c>
      <c r="E392" t="s">
        <v>18</v>
      </c>
      <c r="F392" t="s">
        <v>32</v>
      </c>
      <c r="G392" t="s">
        <v>36</v>
      </c>
      <c r="H392">
        <v>6</v>
      </c>
      <c r="I392" s="1">
        <v>2282.5500000000002</v>
      </c>
      <c r="J392" s="1">
        <f t="shared" si="44"/>
        <v>12325.77</v>
      </c>
      <c r="K392" s="1">
        <f t="shared" si="45"/>
        <v>1369.53</v>
      </c>
      <c r="L392" s="1">
        <v>13695.3</v>
      </c>
      <c r="M392" s="1">
        <f t="shared" si="46"/>
        <v>2465.154</v>
      </c>
      <c r="N392" s="1">
        <f t="shared" si="47"/>
        <v>16160.454</v>
      </c>
      <c r="S392" t="str">
        <f t="shared" si="42"/>
        <v>Sindh</v>
      </c>
      <c r="W392" t="str">
        <f t="shared" si="43"/>
        <v>South</v>
      </c>
      <c r="AB392" t="str">
        <f t="shared" si="48"/>
        <v>PK-SD</v>
      </c>
    </row>
    <row r="393" spans="1:28" x14ac:dyDescent="0.25">
      <c r="A393" s="2">
        <v>45225</v>
      </c>
      <c r="B393" t="s">
        <v>25</v>
      </c>
      <c r="C393" t="s">
        <v>35</v>
      </c>
      <c r="D393" t="s">
        <v>65</v>
      </c>
      <c r="E393" t="s">
        <v>64</v>
      </c>
      <c r="F393" t="s">
        <v>32</v>
      </c>
      <c r="G393" t="s">
        <v>49</v>
      </c>
      <c r="H393">
        <v>4</v>
      </c>
      <c r="I393" s="1">
        <v>4778.2299999999996</v>
      </c>
      <c r="J393" s="1">
        <f t="shared" si="44"/>
        <v>17201.628000000001</v>
      </c>
      <c r="K393" s="1">
        <f t="shared" si="45"/>
        <v>1911.2919999999999</v>
      </c>
      <c r="L393" s="1">
        <v>19112.919999999998</v>
      </c>
      <c r="M393" s="1">
        <f t="shared" si="46"/>
        <v>3440.3255999999997</v>
      </c>
      <c r="N393" s="1">
        <f t="shared" si="47"/>
        <v>22553.245599999998</v>
      </c>
      <c r="S393" t="str">
        <f t="shared" si="42"/>
        <v>Punjab</v>
      </c>
      <c r="W393" t="str">
        <f t="shared" si="43"/>
        <v>East</v>
      </c>
      <c r="AB393" t="str">
        <f t="shared" si="48"/>
        <v>PK-PB</v>
      </c>
    </row>
    <row r="394" spans="1:28" x14ac:dyDescent="0.25">
      <c r="A394" s="2">
        <v>45047</v>
      </c>
      <c r="B394" t="s">
        <v>34</v>
      </c>
      <c r="C394" t="s">
        <v>17</v>
      </c>
      <c r="D394" t="s">
        <v>65</v>
      </c>
      <c r="E394" t="s">
        <v>64</v>
      </c>
      <c r="F394" t="s">
        <v>23</v>
      </c>
      <c r="G394" t="s">
        <v>39</v>
      </c>
      <c r="H394">
        <v>11</v>
      </c>
      <c r="I394" s="1">
        <v>1286.08</v>
      </c>
      <c r="J394" s="1">
        <f t="shared" si="44"/>
        <v>12732.191999999999</v>
      </c>
      <c r="K394" s="1">
        <f t="shared" si="45"/>
        <v>1414.6880000000001</v>
      </c>
      <c r="L394" s="1">
        <v>14146.88</v>
      </c>
      <c r="M394" s="1">
        <f t="shared" si="46"/>
        <v>2546.4383999999995</v>
      </c>
      <c r="N394" s="1">
        <f t="shared" si="47"/>
        <v>16693.3184</v>
      </c>
      <c r="S394" t="str">
        <f t="shared" si="42"/>
        <v>Punjab</v>
      </c>
      <c r="W394" t="str">
        <f t="shared" si="43"/>
        <v>East</v>
      </c>
      <c r="AB394" t="str">
        <f t="shared" si="48"/>
        <v>PK-PB</v>
      </c>
    </row>
    <row r="395" spans="1:28" x14ac:dyDescent="0.25">
      <c r="A395" s="2">
        <v>45215</v>
      </c>
      <c r="B395" t="s">
        <v>38</v>
      </c>
      <c r="C395" t="s">
        <v>59</v>
      </c>
      <c r="D395" t="s">
        <v>66</v>
      </c>
      <c r="E395" t="s">
        <v>41</v>
      </c>
      <c r="F395" t="s">
        <v>32</v>
      </c>
      <c r="G395" t="s">
        <v>50</v>
      </c>
      <c r="H395">
        <v>19</v>
      </c>
      <c r="I395" s="1">
        <v>1844.31</v>
      </c>
      <c r="J395" s="1">
        <f t="shared" si="44"/>
        <v>31537.701000000001</v>
      </c>
      <c r="K395" s="1">
        <f t="shared" si="45"/>
        <v>3504.1890000000003</v>
      </c>
      <c r="L395" s="1">
        <v>35041.89</v>
      </c>
      <c r="M395" s="1">
        <f t="shared" si="46"/>
        <v>6307.5401999999995</v>
      </c>
      <c r="N395" s="1">
        <f t="shared" si="47"/>
        <v>41349.430200000003</v>
      </c>
      <c r="S395" t="str">
        <f t="shared" si="42"/>
        <v>Khyber Pakhtunkhwa</v>
      </c>
      <c r="W395" t="str">
        <f t="shared" si="43"/>
        <v>North</v>
      </c>
      <c r="AB395" t="str">
        <f t="shared" si="48"/>
        <v>Khyber Pakhtunkhwa</v>
      </c>
    </row>
    <row r="396" spans="1:28" x14ac:dyDescent="0.25">
      <c r="A396" s="2">
        <v>45262</v>
      </c>
      <c r="B396" t="s">
        <v>38</v>
      </c>
      <c r="C396" t="s">
        <v>35</v>
      </c>
      <c r="D396" t="s">
        <v>65</v>
      </c>
      <c r="E396" t="s">
        <v>64</v>
      </c>
      <c r="F396" t="s">
        <v>23</v>
      </c>
      <c r="G396" t="s">
        <v>24</v>
      </c>
      <c r="H396">
        <v>14</v>
      </c>
      <c r="I396" s="1">
        <v>148.43</v>
      </c>
      <c r="J396" s="1">
        <f t="shared" si="44"/>
        <v>1870.2180000000001</v>
      </c>
      <c r="K396" s="1">
        <f t="shared" si="45"/>
        <v>207.80200000000002</v>
      </c>
      <c r="L396" s="1">
        <v>2078.02</v>
      </c>
      <c r="M396" s="1">
        <f t="shared" si="46"/>
        <v>374.04359999999997</v>
      </c>
      <c r="N396" s="1">
        <f t="shared" si="47"/>
        <v>2452.0636</v>
      </c>
      <c r="S396" t="str">
        <f t="shared" si="42"/>
        <v>Punjab</v>
      </c>
      <c r="W396" t="str">
        <f t="shared" si="43"/>
        <v>East</v>
      </c>
      <c r="AB396" t="str">
        <f t="shared" si="48"/>
        <v>PK-PB</v>
      </c>
    </row>
    <row r="397" spans="1:28" x14ac:dyDescent="0.25">
      <c r="A397" s="2">
        <v>44965</v>
      </c>
      <c r="B397" t="s">
        <v>38</v>
      </c>
      <c r="C397" t="s">
        <v>63</v>
      </c>
      <c r="D397" t="s">
        <v>65</v>
      </c>
      <c r="E397" t="s">
        <v>64</v>
      </c>
      <c r="F397" t="s">
        <v>19</v>
      </c>
      <c r="G397" t="s">
        <v>30</v>
      </c>
      <c r="H397">
        <v>3</v>
      </c>
      <c r="I397" s="1">
        <v>2502.81</v>
      </c>
      <c r="J397" s="1">
        <f t="shared" si="44"/>
        <v>6757.5870000000004</v>
      </c>
      <c r="K397" s="1">
        <f t="shared" si="45"/>
        <v>750.84300000000007</v>
      </c>
      <c r="L397" s="1">
        <v>7508.43</v>
      </c>
      <c r="M397" s="1">
        <f t="shared" si="46"/>
        <v>1351.5174</v>
      </c>
      <c r="N397" s="1">
        <f t="shared" si="47"/>
        <v>8859.9474000000009</v>
      </c>
      <c r="S397" t="str">
        <f t="shared" si="42"/>
        <v>Punjab</v>
      </c>
      <c r="W397" t="str">
        <f t="shared" si="43"/>
        <v>East</v>
      </c>
      <c r="AB397" t="str">
        <f t="shared" si="48"/>
        <v>PK-PB</v>
      </c>
    </row>
    <row r="398" spans="1:28" x14ac:dyDescent="0.25">
      <c r="A398" s="2">
        <v>45052</v>
      </c>
      <c r="B398" t="s">
        <v>43</v>
      </c>
      <c r="C398" t="s">
        <v>35</v>
      </c>
      <c r="D398" t="s">
        <v>65</v>
      </c>
      <c r="E398" t="s">
        <v>64</v>
      </c>
      <c r="F398" t="s">
        <v>14</v>
      </c>
      <c r="G398" t="s">
        <v>45</v>
      </c>
      <c r="H398">
        <v>7</v>
      </c>
      <c r="I398" s="1">
        <v>3721.37</v>
      </c>
      <c r="J398" s="1">
        <f t="shared" si="44"/>
        <v>23444.631000000001</v>
      </c>
      <c r="K398" s="1">
        <f t="shared" si="45"/>
        <v>2604.9590000000003</v>
      </c>
      <c r="L398" s="1">
        <v>26049.59</v>
      </c>
      <c r="M398" s="1">
        <f t="shared" si="46"/>
        <v>4688.9261999999999</v>
      </c>
      <c r="N398" s="1">
        <f t="shared" si="47"/>
        <v>30738.516199999998</v>
      </c>
      <c r="S398" t="str">
        <f t="shared" si="42"/>
        <v>Punjab</v>
      </c>
      <c r="W398" t="str">
        <f t="shared" si="43"/>
        <v>East</v>
      </c>
      <c r="AB398" t="str">
        <f t="shared" si="48"/>
        <v>PK-PB</v>
      </c>
    </row>
    <row r="399" spans="1:28" x14ac:dyDescent="0.25">
      <c r="A399" s="2">
        <v>45105</v>
      </c>
      <c r="B399" t="s">
        <v>38</v>
      </c>
      <c r="C399" t="s">
        <v>17</v>
      </c>
      <c r="D399" t="s">
        <v>65</v>
      </c>
      <c r="E399" t="s">
        <v>64</v>
      </c>
      <c r="F399" t="s">
        <v>14</v>
      </c>
      <c r="G399" t="s">
        <v>51</v>
      </c>
      <c r="H399">
        <v>2</v>
      </c>
      <c r="I399" s="1">
        <v>3719.83</v>
      </c>
      <c r="J399" s="1">
        <f t="shared" si="44"/>
        <v>6695.6940000000004</v>
      </c>
      <c r="K399" s="1">
        <f t="shared" si="45"/>
        <v>743.96600000000001</v>
      </c>
      <c r="L399" s="1">
        <v>7439.66</v>
      </c>
      <c r="M399" s="1">
        <f t="shared" si="46"/>
        <v>1339.1387999999999</v>
      </c>
      <c r="N399" s="1">
        <f t="shared" si="47"/>
        <v>8778.7988000000005</v>
      </c>
      <c r="S399" t="str">
        <f t="shared" si="42"/>
        <v>Punjab</v>
      </c>
      <c r="W399" t="str">
        <f t="shared" si="43"/>
        <v>East</v>
      </c>
      <c r="AB399" t="str">
        <f t="shared" si="48"/>
        <v>PK-PB</v>
      </c>
    </row>
    <row r="400" spans="1:28" x14ac:dyDescent="0.25">
      <c r="A400" s="2">
        <v>45207</v>
      </c>
      <c r="B400" t="s">
        <v>21</v>
      </c>
      <c r="C400" t="s">
        <v>61</v>
      </c>
      <c r="D400" t="s">
        <v>65</v>
      </c>
      <c r="E400" t="s">
        <v>64</v>
      </c>
      <c r="F400" t="s">
        <v>23</v>
      </c>
      <c r="G400" t="s">
        <v>24</v>
      </c>
      <c r="H400">
        <v>19</v>
      </c>
      <c r="I400" s="1">
        <v>2862.47</v>
      </c>
      <c r="J400" s="1">
        <f t="shared" si="44"/>
        <v>48948.237000000001</v>
      </c>
      <c r="K400" s="1">
        <f t="shared" si="45"/>
        <v>5438.6930000000002</v>
      </c>
      <c r="L400" s="1">
        <v>54386.93</v>
      </c>
      <c r="M400" s="1">
        <f t="shared" si="46"/>
        <v>9789.6473999999998</v>
      </c>
      <c r="N400" s="1">
        <f t="shared" si="47"/>
        <v>64176.577400000002</v>
      </c>
      <c r="S400" t="str">
        <f t="shared" si="42"/>
        <v>Punjab</v>
      </c>
      <c r="W400" t="str">
        <f t="shared" si="43"/>
        <v>East</v>
      </c>
      <c r="AB400" t="str">
        <f t="shared" si="48"/>
        <v>PK-PB</v>
      </c>
    </row>
    <row r="401" spans="1:28" x14ac:dyDescent="0.25">
      <c r="A401" s="2">
        <v>45044</v>
      </c>
      <c r="B401" t="s">
        <v>29</v>
      </c>
      <c r="C401" t="s">
        <v>55</v>
      </c>
      <c r="D401" t="s">
        <v>66</v>
      </c>
      <c r="E401" t="s">
        <v>41</v>
      </c>
      <c r="F401" t="s">
        <v>19</v>
      </c>
      <c r="G401" t="s">
        <v>20</v>
      </c>
      <c r="H401">
        <v>5</v>
      </c>
      <c r="I401" s="1">
        <v>4715.05</v>
      </c>
      <c r="J401" s="1">
        <f t="shared" si="44"/>
        <v>21217.725000000002</v>
      </c>
      <c r="K401" s="1">
        <f t="shared" si="45"/>
        <v>2357.5250000000001</v>
      </c>
      <c r="L401" s="1">
        <v>23575.25</v>
      </c>
      <c r="M401" s="1">
        <f t="shared" si="46"/>
        <v>4243.5450000000001</v>
      </c>
      <c r="N401" s="1">
        <f t="shared" si="47"/>
        <v>27818.794999999998</v>
      </c>
      <c r="S401" t="str">
        <f t="shared" si="42"/>
        <v>Khyber Pakhtunkhwa</v>
      </c>
      <c r="W401" t="str">
        <f t="shared" si="43"/>
        <v>North</v>
      </c>
      <c r="AB401" t="str">
        <f t="shared" si="48"/>
        <v>Khyber Pakhtunkhwa</v>
      </c>
    </row>
    <row r="402" spans="1:28" x14ac:dyDescent="0.25">
      <c r="A402" s="2">
        <v>45291</v>
      </c>
      <c r="B402" t="s">
        <v>21</v>
      </c>
      <c r="C402" t="s">
        <v>26</v>
      </c>
      <c r="D402" t="s">
        <v>12</v>
      </c>
      <c r="E402" t="s">
        <v>18</v>
      </c>
      <c r="F402" t="s">
        <v>27</v>
      </c>
      <c r="G402" t="s">
        <v>44</v>
      </c>
      <c r="H402">
        <v>11</v>
      </c>
      <c r="I402" s="1">
        <v>3314</v>
      </c>
      <c r="J402" s="1">
        <f t="shared" si="44"/>
        <v>32808.6</v>
      </c>
      <c r="K402" s="1">
        <f t="shared" si="45"/>
        <v>3645.4</v>
      </c>
      <c r="L402" s="1">
        <v>36454</v>
      </c>
      <c r="M402" s="1">
        <f t="shared" si="46"/>
        <v>6561.7199999999993</v>
      </c>
      <c r="N402" s="1">
        <f t="shared" si="47"/>
        <v>43015.72</v>
      </c>
      <c r="S402" t="str">
        <f t="shared" si="42"/>
        <v>Sindh</v>
      </c>
      <c r="W402" t="str">
        <f t="shared" si="43"/>
        <v>South</v>
      </c>
      <c r="AB402" t="str">
        <f t="shared" si="48"/>
        <v>PK-SD</v>
      </c>
    </row>
    <row r="403" spans="1:28" x14ac:dyDescent="0.25">
      <c r="A403" s="2">
        <v>45055</v>
      </c>
      <c r="B403" t="s">
        <v>31</v>
      </c>
      <c r="C403" t="s">
        <v>57</v>
      </c>
      <c r="D403" t="s">
        <v>22</v>
      </c>
      <c r="E403" t="s">
        <v>13</v>
      </c>
      <c r="F403" t="s">
        <v>14</v>
      </c>
      <c r="G403" t="s">
        <v>15</v>
      </c>
      <c r="H403">
        <v>3</v>
      </c>
      <c r="I403" s="1">
        <v>4146.75</v>
      </c>
      <c r="J403" s="1">
        <f t="shared" si="44"/>
        <v>11196.225</v>
      </c>
      <c r="K403" s="1">
        <f t="shared" si="45"/>
        <v>1244.0250000000001</v>
      </c>
      <c r="L403" s="1">
        <v>12440.25</v>
      </c>
      <c r="M403" s="1">
        <f t="shared" si="46"/>
        <v>2239.2449999999999</v>
      </c>
      <c r="N403" s="1">
        <f t="shared" si="47"/>
        <v>14679.494999999999</v>
      </c>
      <c r="S403" t="str">
        <f t="shared" si="42"/>
        <v>Balochistan</v>
      </c>
      <c r="W403" t="str">
        <f t="shared" si="43"/>
        <v>West</v>
      </c>
      <c r="AB403" t="str">
        <f t="shared" si="48"/>
        <v>PK-BA</v>
      </c>
    </row>
    <row r="404" spans="1:28" x14ac:dyDescent="0.25">
      <c r="A404" s="2">
        <v>45143</v>
      </c>
      <c r="B404" t="s">
        <v>38</v>
      </c>
      <c r="C404" t="s">
        <v>56</v>
      </c>
      <c r="D404" t="s">
        <v>12</v>
      </c>
      <c r="E404" t="s">
        <v>18</v>
      </c>
      <c r="F404" t="s">
        <v>32</v>
      </c>
      <c r="G404" t="s">
        <v>50</v>
      </c>
      <c r="H404">
        <v>4</v>
      </c>
      <c r="I404" s="1">
        <v>4062.52</v>
      </c>
      <c r="J404" s="1">
        <f t="shared" si="44"/>
        <v>14625.072</v>
      </c>
      <c r="K404" s="1">
        <f t="shared" si="45"/>
        <v>1625.008</v>
      </c>
      <c r="L404" s="1">
        <v>16250.08</v>
      </c>
      <c r="M404" s="1">
        <f t="shared" si="46"/>
        <v>2925.0144</v>
      </c>
      <c r="N404" s="1">
        <f t="shared" si="47"/>
        <v>19175.094400000002</v>
      </c>
      <c r="S404" t="str">
        <f t="shared" si="42"/>
        <v>Sindh</v>
      </c>
      <c r="W404" t="str">
        <f t="shared" si="43"/>
        <v>South</v>
      </c>
      <c r="AB404" t="str">
        <f t="shared" si="48"/>
        <v>PK-SD</v>
      </c>
    </row>
    <row r="405" spans="1:28" x14ac:dyDescent="0.25">
      <c r="A405" s="2">
        <v>44993</v>
      </c>
      <c r="B405" t="s">
        <v>38</v>
      </c>
      <c r="C405" t="s">
        <v>62</v>
      </c>
      <c r="D405" t="s">
        <v>65</v>
      </c>
      <c r="E405" t="s">
        <v>64</v>
      </c>
      <c r="F405" t="s">
        <v>32</v>
      </c>
      <c r="G405" t="s">
        <v>50</v>
      </c>
      <c r="H405">
        <v>4</v>
      </c>
      <c r="I405" s="1">
        <v>3022.21</v>
      </c>
      <c r="J405" s="1">
        <f t="shared" si="44"/>
        <v>10879.956</v>
      </c>
      <c r="K405" s="1">
        <f t="shared" si="45"/>
        <v>1208.884</v>
      </c>
      <c r="L405" s="1">
        <v>12088.84</v>
      </c>
      <c r="M405" s="1">
        <f t="shared" si="46"/>
        <v>2175.9911999999999</v>
      </c>
      <c r="N405" s="1">
        <f t="shared" si="47"/>
        <v>14264.831200000001</v>
      </c>
      <c r="S405" t="str">
        <f t="shared" si="42"/>
        <v>Punjab</v>
      </c>
      <c r="W405" t="str">
        <f t="shared" si="43"/>
        <v>East</v>
      </c>
      <c r="AB405" t="str">
        <f t="shared" si="48"/>
        <v>PK-PB</v>
      </c>
    </row>
    <row r="406" spans="1:28" x14ac:dyDescent="0.25">
      <c r="A406" s="2">
        <v>44989</v>
      </c>
      <c r="B406" t="s">
        <v>21</v>
      </c>
      <c r="C406" t="s">
        <v>61</v>
      </c>
      <c r="D406" t="s">
        <v>65</v>
      </c>
      <c r="E406" t="s">
        <v>64</v>
      </c>
      <c r="F406" t="s">
        <v>27</v>
      </c>
      <c r="G406" t="s">
        <v>42</v>
      </c>
      <c r="H406">
        <v>7</v>
      </c>
      <c r="I406" s="1">
        <v>217.04</v>
      </c>
      <c r="J406" s="1">
        <f t="shared" si="44"/>
        <v>1367.3520000000001</v>
      </c>
      <c r="K406" s="1">
        <f t="shared" si="45"/>
        <v>151.928</v>
      </c>
      <c r="L406" s="1">
        <v>1519.28</v>
      </c>
      <c r="M406" s="1">
        <f t="shared" si="46"/>
        <v>273.47039999999998</v>
      </c>
      <c r="N406" s="1">
        <f t="shared" si="47"/>
        <v>1792.7503999999999</v>
      </c>
      <c r="S406" t="str">
        <f t="shared" si="42"/>
        <v>Punjab</v>
      </c>
      <c r="W406" t="str">
        <f t="shared" si="43"/>
        <v>East</v>
      </c>
      <c r="AB406" t="str">
        <f t="shared" si="48"/>
        <v>PK-PB</v>
      </c>
    </row>
    <row r="407" spans="1:28" x14ac:dyDescent="0.25">
      <c r="A407" s="2">
        <v>45145</v>
      </c>
      <c r="B407" t="s">
        <v>38</v>
      </c>
      <c r="C407" t="s">
        <v>62</v>
      </c>
      <c r="D407" t="s">
        <v>65</v>
      </c>
      <c r="E407" t="s">
        <v>64</v>
      </c>
      <c r="F407" t="s">
        <v>27</v>
      </c>
      <c r="G407" t="s">
        <v>42</v>
      </c>
      <c r="H407">
        <v>2</v>
      </c>
      <c r="I407" s="1">
        <v>4883.5600000000004</v>
      </c>
      <c r="J407" s="1">
        <f t="shared" si="44"/>
        <v>8790.4080000000013</v>
      </c>
      <c r="K407" s="1">
        <f t="shared" si="45"/>
        <v>976.7120000000001</v>
      </c>
      <c r="L407" s="1">
        <v>9767.1200000000008</v>
      </c>
      <c r="M407" s="1">
        <f t="shared" si="46"/>
        <v>1758.0816</v>
      </c>
      <c r="N407" s="1">
        <f t="shared" si="47"/>
        <v>11525.2016</v>
      </c>
      <c r="S407" t="str">
        <f t="shared" si="42"/>
        <v>Punjab</v>
      </c>
      <c r="W407" t="str">
        <f t="shared" si="43"/>
        <v>East</v>
      </c>
      <c r="AB407" t="str">
        <f t="shared" si="48"/>
        <v>PK-PB</v>
      </c>
    </row>
    <row r="408" spans="1:28" x14ac:dyDescent="0.25">
      <c r="A408" s="2">
        <v>44949</v>
      </c>
      <c r="B408" t="s">
        <v>43</v>
      </c>
      <c r="C408" t="s">
        <v>63</v>
      </c>
      <c r="D408" t="s">
        <v>65</v>
      </c>
      <c r="E408" t="s">
        <v>64</v>
      </c>
      <c r="F408" t="s">
        <v>32</v>
      </c>
      <c r="G408" t="s">
        <v>49</v>
      </c>
      <c r="H408">
        <v>16</v>
      </c>
      <c r="I408" s="1">
        <v>2015.76</v>
      </c>
      <c r="J408" s="1">
        <f t="shared" si="44"/>
        <v>29026.944</v>
      </c>
      <c r="K408" s="1">
        <f t="shared" si="45"/>
        <v>3225.2160000000003</v>
      </c>
      <c r="L408" s="1">
        <v>32252.16</v>
      </c>
      <c r="M408" s="1">
        <f t="shared" si="46"/>
        <v>5805.3887999999997</v>
      </c>
      <c r="N408" s="1">
        <f t="shared" si="47"/>
        <v>38057.548799999997</v>
      </c>
      <c r="S408" t="str">
        <f t="shared" si="42"/>
        <v>Punjab</v>
      </c>
      <c r="W408" t="str">
        <f t="shared" si="43"/>
        <v>East</v>
      </c>
      <c r="AB408" t="str">
        <f t="shared" si="48"/>
        <v>PK-PB</v>
      </c>
    </row>
    <row r="409" spans="1:28" x14ac:dyDescent="0.25">
      <c r="A409" s="2">
        <v>45088</v>
      </c>
      <c r="B409" t="s">
        <v>40</v>
      </c>
      <c r="C409" t="s">
        <v>54</v>
      </c>
      <c r="D409" t="s">
        <v>12</v>
      </c>
      <c r="E409" t="s">
        <v>18</v>
      </c>
      <c r="F409" t="s">
        <v>27</v>
      </c>
      <c r="G409" t="s">
        <v>28</v>
      </c>
      <c r="H409">
        <v>1</v>
      </c>
      <c r="I409" s="1">
        <v>2777.22</v>
      </c>
      <c r="J409" s="1">
        <f t="shared" si="44"/>
        <v>2499.498</v>
      </c>
      <c r="K409" s="1">
        <f t="shared" si="45"/>
        <v>277.72199999999998</v>
      </c>
      <c r="L409" s="1">
        <v>2777.22</v>
      </c>
      <c r="M409" s="1">
        <f t="shared" si="46"/>
        <v>499.89959999999996</v>
      </c>
      <c r="N409" s="1">
        <f t="shared" si="47"/>
        <v>3277.1196</v>
      </c>
      <c r="S409" t="str">
        <f t="shared" si="42"/>
        <v>Sindh</v>
      </c>
      <c r="W409" t="str">
        <f t="shared" si="43"/>
        <v>South</v>
      </c>
      <c r="AB409" t="str">
        <f t="shared" si="48"/>
        <v>PK-SD</v>
      </c>
    </row>
    <row r="410" spans="1:28" x14ac:dyDescent="0.25">
      <c r="A410" s="2">
        <v>45279</v>
      </c>
      <c r="B410" t="s">
        <v>16</v>
      </c>
      <c r="C410" t="s">
        <v>54</v>
      </c>
      <c r="D410" t="s">
        <v>12</v>
      </c>
      <c r="E410" t="s">
        <v>18</v>
      </c>
      <c r="F410" t="s">
        <v>14</v>
      </c>
      <c r="G410" t="s">
        <v>45</v>
      </c>
      <c r="H410">
        <v>13</v>
      </c>
      <c r="I410" s="1">
        <v>4318.62</v>
      </c>
      <c r="J410" s="1">
        <f t="shared" si="44"/>
        <v>50527.853999999999</v>
      </c>
      <c r="K410" s="1">
        <f t="shared" si="45"/>
        <v>5614.2060000000001</v>
      </c>
      <c r="L410" s="1">
        <v>56142.06</v>
      </c>
      <c r="M410" s="1">
        <f t="shared" si="46"/>
        <v>10105.5708</v>
      </c>
      <c r="N410" s="1">
        <f t="shared" si="47"/>
        <v>66247.630799999999</v>
      </c>
      <c r="S410" t="str">
        <f t="shared" si="42"/>
        <v>Sindh</v>
      </c>
      <c r="W410" t="str">
        <f t="shared" si="43"/>
        <v>South</v>
      </c>
      <c r="AB410" t="str">
        <f t="shared" si="48"/>
        <v>PK-SD</v>
      </c>
    </row>
    <row r="411" spans="1:28" x14ac:dyDescent="0.25">
      <c r="A411" s="2">
        <v>45223</v>
      </c>
      <c r="B411" t="s">
        <v>43</v>
      </c>
      <c r="C411" t="s">
        <v>11</v>
      </c>
      <c r="D411" t="s">
        <v>22</v>
      </c>
      <c r="E411" t="s">
        <v>13</v>
      </c>
      <c r="F411" t="s">
        <v>32</v>
      </c>
      <c r="G411" t="s">
        <v>49</v>
      </c>
      <c r="H411">
        <v>15</v>
      </c>
      <c r="I411" s="1">
        <v>3225.2</v>
      </c>
      <c r="J411" s="1">
        <f t="shared" si="44"/>
        <v>43540.200000000004</v>
      </c>
      <c r="K411" s="1">
        <f t="shared" si="45"/>
        <v>4837.8</v>
      </c>
      <c r="L411" s="1">
        <v>48378</v>
      </c>
      <c r="M411" s="1">
        <f t="shared" si="46"/>
        <v>8708.0399999999991</v>
      </c>
      <c r="N411" s="1">
        <f t="shared" si="47"/>
        <v>57086.04</v>
      </c>
      <c r="S411" t="str">
        <f t="shared" si="42"/>
        <v>Balochistan</v>
      </c>
      <c r="W411" t="str">
        <f t="shared" si="43"/>
        <v>West</v>
      </c>
      <c r="AB411" t="str">
        <f t="shared" si="48"/>
        <v>PK-BA</v>
      </c>
    </row>
    <row r="412" spans="1:28" x14ac:dyDescent="0.25">
      <c r="A412" s="2">
        <v>45160</v>
      </c>
      <c r="B412" t="s">
        <v>31</v>
      </c>
      <c r="C412" t="s">
        <v>11</v>
      </c>
      <c r="D412" t="s">
        <v>22</v>
      </c>
      <c r="E412" t="s">
        <v>13</v>
      </c>
      <c r="F412" t="s">
        <v>32</v>
      </c>
      <c r="G412" t="s">
        <v>49</v>
      </c>
      <c r="H412">
        <v>9</v>
      </c>
      <c r="I412" s="1">
        <v>631.99</v>
      </c>
      <c r="J412" s="1">
        <f t="shared" si="44"/>
        <v>5119.1189999999997</v>
      </c>
      <c r="K412" s="1">
        <f t="shared" si="45"/>
        <v>568.79100000000005</v>
      </c>
      <c r="L412" s="1">
        <v>5687.91</v>
      </c>
      <c r="M412" s="1">
        <f t="shared" si="46"/>
        <v>1023.8237999999999</v>
      </c>
      <c r="N412" s="1">
        <f t="shared" si="47"/>
        <v>6711.7338</v>
      </c>
      <c r="S412" t="str">
        <f t="shared" si="42"/>
        <v>Balochistan</v>
      </c>
      <c r="W412" t="str">
        <f t="shared" si="43"/>
        <v>West</v>
      </c>
      <c r="AB412" t="str">
        <f t="shared" si="48"/>
        <v>PK-BA</v>
      </c>
    </row>
    <row r="413" spans="1:28" x14ac:dyDescent="0.25">
      <c r="A413" s="2">
        <v>45051</v>
      </c>
      <c r="B413" t="s">
        <v>25</v>
      </c>
      <c r="C413" t="s">
        <v>61</v>
      </c>
      <c r="D413" t="s">
        <v>65</v>
      </c>
      <c r="E413" t="s">
        <v>64</v>
      </c>
      <c r="F413" t="s">
        <v>19</v>
      </c>
      <c r="G413" t="s">
        <v>48</v>
      </c>
      <c r="H413">
        <v>16</v>
      </c>
      <c r="I413" s="1">
        <v>981</v>
      </c>
      <c r="J413" s="1">
        <f t="shared" si="44"/>
        <v>14126.4</v>
      </c>
      <c r="K413" s="1">
        <f t="shared" si="45"/>
        <v>1569.6000000000001</v>
      </c>
      <c r="L413" s="1">
        <v>15696</v>
      </c>
      <c r="M413" s="1">
        <f t="shared" si="46"/>
        <v>2825.2799999999997</v>
      </c>
      <c r="N413" s="1">
        <f t="shared" si="47"/>
        <v>18521.28</v>
      </c>
      <c r="S413" t="str">
        <f t="shared" si="42"/>
        <v>Punjab</v>
      </c>
      <c r="W413" t="str">
        <f t="shared" si="43"/>
        <v>East</v>
      </c>
      <c r="AB413" t="str">
        <f t="shared" si="48"/>
        <v>PK-PB</v>
      </c>
    </row>
    <row r="414" spans="1:28" x14ac:dyDescent="0.25">
      <c r="A414" s="2">
        <v>45089</v>
      </c>
      <c r="B414" t="s">
        <v>40</v>
      </c>
      <c r="C414" t="s">
        <v>35</v>
      </c>
      <c r="D414" t="s">
        <v>65</v>
      </c>
      <c r="E414" t="s">
        <v>64</v>
      </c>
      <c r="F414" t="s">
        <v>32</v>
      </c>
      <c r="G414" t="s">
        <v>36</v>
      </c>
      <c r="H414">
        <v>14</v>
      </c>
      <c r="I414" s="1">
        <v>1049.21</v>
      </c>
      <c r="J414" s="1">
        <f t="shared" si="44"/>
        <v>13220.046</v>
      </c>
      <c r="K414" s="1">
        <f t="shared" si="45"/>
        <v>1468.8940000000002</v>
      </c>
      <c r="L414" s="1">
        <v>14688.94</v>
      </c>
      <c r="M414" s="1">
        <f t="shared" si="46"/>
        <v>2644.0092</v>
      </c>
      <c r="N414" s="1">
        <f t="shared" si="47"/>
        <v>17332.949199999999</v>
      </c>
      <c r="S414" t="str">
        <f t="shared" si="42"/>
        <v>Punjab</v>
      </c>
      <c r="W414" t="str">
        <f t="shared" si="43"/>
        <v>East</v>
      </c>
      <c r="AB414" t="str">
        <f t="shared" si="48"/>
        <v>PK-PB</v>
      </c>
    </row>
    <row r="415" spans="1:28" x14ac:dyDescent="0.25">
      <c r="A415" s="2">
        <v>45105</v>
      </c>
      <c r="B415" t="s">
        <v>43</v>
      </c>
      <c r="C415" t="s">
        <v>17</v>
      </c>
      <c r="D415" t="s">
        <v>65</v>
      </c>
      <c r="E415" t="s">
        <v>64</v>
      </c>
      <c r="F415" t="s">
        <v>14</v>
      </c>
      <c r="G415" t="s">
        <v>15</v>
      </c>
      <c r="H415">
        <v>3</v>
      </c>
      <c r="I415" s="1">
        <v>3276.84</v>
      </c>
      <c r="J415" s="1">
        <f t="shared" si="44"/>
        <v>8847.4680000000008</v>
      </c>
      <c r="K415" s="1">
        <f t="shared" si="45"/>
        <v>983.05200000000013</v>
      </c>
      <c r="L415" s="1">
        <v>9830.52</v>
      </c>
      <c r="M415" s="1">
        <f t="shared" si="46"/>
        <v>1769.4936</v>
      </c>
      <c r="N415" s="1">
        <f t="shared" si="47"/>
        <v>11600.0136</v>
      </c>
      <c r="S415" t="str">
        <f t="shared" si="42"/>
        <v>Punjab</v>
      </c>
      <c r="W415" t="str">
        <f t="shared" si="43"/>
        <v>East</v>
      </c>
      <c r="AB415" t="str">
        <f t="shared" si="48"/>
        <v>PK-PB</v>
      </c>
    </row>
    <row r="416" spans="1:28" x14ac:dyDescent="0.25">
      <c r="A416" s="2">
        <v>45148</v>
      </c>
      <c r="B416" t="s">
        <v>25</v>
      </c>
      <c r="C416" t="s">
        <v>26</v>
      </c>
      <c r="D416" t="s">
        <v>12</v>
      </c>
      <c r="E416" t="s">
        <v>18</v>
      </c>
      <c r="F416" t="s">
        <v>32</v>
      </c>
      <c r="G416" t="s">
        <v>33</v>
      </c>
      <c r="H416">
        <v>10</v>
      </c>
      <c r="I416" s="1">
        <v>1693.46</v>
      </c>
      <c r="J416" s="1">
        <f t="shared" si="44"/>
        <v>15241.14</v>
      </c>
      <c r="K416" s="1">
        <f t="shared" si="45"/>
        <v>1693.46</v>
      </c>
      <c r="L416" s="1">
        <v>16934.599999999999</v>
      </c>
      <c r="M416" s="1">
        <f t="shared" si="46"/>
        <v>3048.2279999999996</v>
      </c>
      <c r="N416" s="1">
        <f t="shared" si="47"/>
        <v>19982.827999999998</v>
      </c>
      <c r="S416" t="str">
        <f t="shared" si="42"/>
        <v>Sindh</v>
      </c>
      <c r="W416" t="str">
        <f t="shared" si="43"/>
        <v>South</v>
      </c>
      <c r="AB416" t="str">
        <f t="shared" si="48"/>
        <v>PK-SD</v>
      </c>
    </row>
    <row r="417" spans="1:28" x14ac:dyDescent="0.25">
      <c r="A417" s="2">
        <v>45256</v>
      </c>
      <c r="B417" t="s">
        <v>40</v>
      </c>
      <c r="C417" t="s">
        <v>26</v>
      </c>
      <c r="D417" t="s">
        <v>12</v>
      </c>
      <c r="E417" t="s">
        <v>18</v>
      </c>
      <c r="F417" t="s">
        <v>19</v>
      </c>
      <c r="G417" t="s">
        <v>48</v>
      </c>
      <c r="H417">
        <v>15</v>
      </c>
      <c r="I417" s="1">
        <v>1790.58</v>
      </c>
      <c r="J417" s="1">
        <f t="shared" si="44"/>
        <v>24172.83</v>
      </c>
      <c r="K417" s="1">
        <f t="shared" si="45"/>
        <v>2685.8700000000003</v>
      </c>
      <c r="L417" s="1">
        <v>26858.7</v>
      </c>
      <c r="M417" s="1">
        <f t="shared" si="46"/>
        <v>4834.5659999999998</v>
      </c>
      <c r="N417" s="1">
        <f t="shared" si="47"/>
        <v>31693.266</v>
      </c>
      <c r="S417" t="str">
        <f t="shared" si="42"/>
        <v>Sindh</v>
      </c>
      <c r="W417" t="str">
        <f t="shared" si="43"/>
        <v>South</v>
      </c>
      <c r="AB417" t="str">
        <f t="shared" si="48"/>
        <v>PK-SD</v>
      </c>
    </row>
    <row r="418" spans="1:28" x14ac:dyDescent="0.25">
      <c r="A418" s="2">
        <v>45005</v>
      </c>
      <c r="B418" t="s">
        <v>29</v>
      </c>
      <c r="C418" t="s">
        <v>35</v>
      </c>
      <c r="D418" t="s">
        <v>65</v>
      </c>
      <c r="E418" t="s">
        <v>64</v>
      </c>
      <c r="F418" t="s">
        <v>14</v>
      </c>
      <c r="G418" t="s">
        <v>45</v>
      </c>
      <c r="H418">
        <v>16</v>
      </c>
      <c r="I418" s="1">
        <v>1018.83</v>
      </c>
      <c r="J418" s="1">
        <f t="shared" si="44"/>
        <v>14671.152</v>
      </c>
      <c r="K418" s="1">
        <f t="shared" si="45"/>
        <v>1630.1280000000002</v>
      </c>
      <c r="L418" s="1">
        <v>16301.28</v>
      </c>
      <c r="M418" s="1">
        <f t="shared" si="46"/>
        <v>2934.2303999999999</v>
      </c>
      <c r="N418" s="1">
        <f t="shared" si="47"/>
        <v>19235.510399999999</v>
      </c>
      <c r="S418" t="str">
        <f t="shared" si="42"/>
        <v>Punjab</v>
      </c>
      <c r="W418" t="str">
        <f t="shared" si="43"/>
        <v>East</v>
      </c>
      <c r="AB418" t="str">
        <f t="shared" si="48"/>
        <v>PK-PB</v>
      </c>
    </row>
    <row r="419" spans="1:28" x14ac:dyDescent="0.25">
      <c r="A419" s="2">
        <v>44964</v>
      </c>
      <c r="B419" t="s">
        <v>31</v>
      </c>
      <c r="C419" t="s">
        <v>62</v>
      </c>
      <c r="D419" t="s">
        <v>65</v>
      </c>
      <c r="E419" t="s">
        <v>64</v>
      </c>
      <c r="F419" t="s">
        <v>32</v>
      </c>
      <c r="G419" t="s">
        <v>50</v>
      </c>
      <c r="H419">
        <v>6</v>
      </c>
      <c r="I419" s="1">
        <v>1246.5899999999999</v>
      </c>
      <c r="J419" s="1">
        <f t="shared" si="44"/>
        <v>6731.5860000000002</v>
      </c>
      <c r="K419" s="1">
        <f t="shared" si="45"/>
        <v>747.95400000000006</v>
      </c>
      <c r="L419" s="1">
        <v>7479.54</v>
      </c>
      <c r="M419" s="1">
        <f t="shared" si="46"/>
        <v>1346.3172</v>
      </c>
      <c r="N419" s="1">
        <f t="shared" si="47"/>
        <v>8825.8572000000004</v>
      </c>
      <c r="S419" t="str">
        <f t="shared" si="42"/>
        <v>Punjab</v>
      </c>
      <c r="W419" t="str">
        <f t="shared" si="43"/>
        <v>East</v>
      </c>
      <c r="AB419" t="str">
        <f t="shared" si="48"/>
        <v>PK-PB</v>
      </c>
    </row>
    <row r="420" spans="1:28" x14ac:dyDescent="0.25">
      <c r="A420" s="2">
        <v>44939</v>
      </c>
      <c r="B420" t="s">
        <v>38</v>
      </c>
      <c r="C420" t="s">
        <v>17</v>
      </c>
      <c r="D420" t="s">
        <v>65</v>
      </c>
      <c r="E420" t="s">
        <v>64</v>
      </c>
      <c r="F420" t="s">
        <v>27</v>
      </c>
      <c r="G420" t="s">
        <v>44</v>
      </c>
      <c r="H420">
        <v>14</v>
      </c>
      <c r="I420" s="1">
        <v>859.79</v>
      </c>
      <c r="J420" s="1">
        <f t="shared" si="44"/>
        <v>10833.353999999999</v>
      </c>
      <c r="K420" s="1">
        <f t="shared" si="45"/>
        <v>1203.7059999999999</v>
      </c>
      <c r="L420" s="1">
        <v>12037.06</v>
      </c>
      <c r="M420" s="1">
        <f t="shared" si="46"/>
        <v>2166.6707999999999</v>
      </c>
      <c r="N420" s="1">
        <f t="shared" si="47"/>
        <v>14203.730799999999</v>
      </c>
      <c r="S420" t="str">
        <f t="shared" si="42"/>
        <v>Punjab</v>
      </c>
      <c r="W420" t="str">
        <f t="shared" si="43"/>
        <v>East</v>
      </c>
      <c r="AB420" t="str">
        <f t="shared" si="48"/>
        <v>PK-PB</v>
      </c>
    </row>
    <row r="421" spans="1:28" x14ac:dyDescent="0.25">
      <c r="A421" s="2">
        <v>45239</v>
      </c>
      <c r="B421" t="s">
        <v>10</v>
      </c>
      <c r="C421" t="s">
        <v>26</v>
      </c>
      <c r="D421" t="s">
        <v>12</v>
      </c>
      <c r="E421" t="s">
        <v>18</v>
      </c>
      <c r="F421" t="s">
        <v>23</v>
      </c>
      <c r="G421" t="s">
        <v>37</v>
      </c>
      <c r="H421">
        <v>12</v>
      </c>
      <c r="I421" s="1">
        <v>149.16</v>
      </c>
      <c r="J421" s="1">
        <f t="shared" si="44"/>
        <v>1610.9280000000001</v>
      </c>
      <c r="K421" s="1">
        <f t="shared" si="45"/>
        <v>178.99200000000002</v>
      </c>
      <c r="L421" s="1">
        <v>1789.92</v>
      </c>
      <c r="M421" s="1">
        <f t="shared" si="46"/>
        <v>322.18560000000002</v>
      </c>
      <c r="N421" s="1">
        <f t="shared" si="47"/>
        <v>2112.1055999999999</v>
      </c>
      <c r="S421" t="str">
        <f t="shared" si="42"/>
        <v>Sindh</v>
      </c>
      <c r="W421" t="str">
        <f t="shared" si="43"/>
        <v>South</v>
      </c>
      <c r="AB421" t="str">
        <f t="shared" si="48"/>
        <v>PK-SD</v>
      </c>
    </row>
    <row r="422" spans="1:28" x14ac:dyDescent="0.25">
      <c r="A422" s="2">
        <v>45213</v>
      </c>
      <c r="B422" t="s">
        <v>29</v>
      </c>
      <c r="C422" t="s">
        <v>11</v>
      </c>
      <c r="D422" t="s">
        <v>22</v>
      </c>
      <c r="E422" t="s">
        <v>13</v>
      </c>
      <c r="F422" t="s">
        <v>14</v>
      </c>
      <c r="G422" t="s">
        <v>45</v>
      </c>
      <c r="H422">
        <v>20</v>
      </c>
      <c r="I422" s="1">
        <v>1108.83</v>
      </c>
      <c r="J422" s="1">
        <f t="shared" si="44"/>
        <v>19958.939999999999</v>
      </c>
      <c r="K422" s="1">
        <f t="shared" si="45"/>
        <v>2217.66</v>
      </c>
      <c r="L422" s="1">
        <v>22176.6</v>
      </c>
      <c r="M422" s="1">
        <f t="shared" si="46"/>
        <v>3991.7879999999996</v>
      </c>
      <c r="N422" s="1">
        <f t="shared" si="47"/>
        <v>26168.387999999999</v>
      </c>
      <c r="S422" t="str">
        <f t="shared" si="42"/>
        <v>Balochistan</v>
      </c>
      <c r="W422" t="str">
        <f t="shared" si="43"/>
        <v>West</v>
      </c>
      <c r="AB422" t="str">
        <f t="shared" si="48"/>
        <v>PK-BA</v>
      </c>
    </row>
    <row r="423" spans="1:28" x14ac:dyDescent="0.25">
      <c r="A423" s="2">
        <v>45002</v>
      </c>
      <c r="B423" t="s">
        <v>31</v>
      </c>
      <c r="C423" t="s">
        <v>54</v>
      </c>
      <c r="D423" t="s">
        <v>12</v>
      </c>
      <c r="E423" t="s">
        <v>18</v>
      </c>
      <c r="F423" t="s">
        <v>14</v>
      </c>
      <c r="G423" t="s">
        <v>53</v>
      </c>
      <c r="H423">
        <v>8</v>
      </c>
      <c r="I423" s="1">
        <v>3628.65</v>
      </c>
      <c r="J423" s="1">
        <f t="shared" si="44"/>
        <v>26126.280000000002</v>
      </c>
      <c r="K423" s="1">
        <f t="shared" si="45"/>
        <v>2902.92</v>
      </c>
      <c r="L423" s="1">
        <v>29029.200000000001</v>
      </c>
      <c r="M423" s="1">
        <f t="shared" si="46"/>
        <v>5225.2560000000003</v>
      </c>
      <c r="N423" s="1">
        <f t="shared" si="47"/>
        <v>34254.455999999998</v>
      </c>
      <c r="S423" t="str">
        <f t="shared" si="42"/>
        <v>Sindh</v>
      </c>
      <c r="W423" t="str">
        <f t="shared" si="43"/>
        <v>South</v>
      </c>
      <c r="AB423" t="str">
        <f t="shared" si="48"/>
        <v>PK-SD</v>
      </c>
    </row>
    <row r="424" spans="1:28" x14ac:dyDescent="0.25">
      <c r="A424" s="2">
        <v>45283</v>
      </c>
      <c r="B424" t="s">
        <v>10</v>
      </c>
      <c r="C424" t="s">
        <v>35</v>
      </c>
      <c r="D424" t="s">
        <v>65</v>
      </c>
      <c r="E424" t="s">
        <v>64</v>
      </c>
      <c r="F424" t="s">
        <v>23</v>
      </c>
      <c r="G424" t="s">
        <v>37</v>
      </c>
      <c r="H424">
        <v>19</v>
      </c>
      <c r="I424" s="1">
        <v>1317.72</v>
      </c>
      <c r="J424" s="1">
        <f t="shared" si="44"/>
        <v>22533.012000000002</v>
      </c>
      <c r="K424" s="1">
        <f t="shared" si="45"/>
        <v>2503.6680000000001</v>
      </c>
      <c r="L424" s="1">
        <v>25036.68</v>
      </c>
      <c r="M424" s="1">
        <f t="shared" si="46"/>
        <v>4506.6023999999998</v>
      </c>
      <c r="N424" s="1">
        <f t="shared" si="47"/>
        <v>29543.2824</v>
      </c>
      <c r="S424" t="str">
        <f t="shared" si="42"/>
        <v>Punjab</v>
      </c>
      <c r="W424" t="str">
        <f t="shared" si="43"/>
        <v>East</v>
      </c>
      <c r="AB424" t="str">
        <f t="shared" si="48"/>
        <v>PK-PB</v>
      </c>
    </row>
    <row r="425" spans="1:28" x14ac:dyDescent="0.25">
      <c r="A425" s="2">
        <v>44940</v>
      </c>
      <c r="B425" t="s">
        <v>29</v>
      </c>
      <c r="C425" t="s">
        <v>61</v>
      </c>
      <c r="D425" t="s">
        <v>65</v>
      </c>
      <c r="E425" t="s">
        <v>64</v>
      </c>
      <c r="F425" t="s">
        <v>23</v>
      </c>
      <c r="G425" t="s">
        <v>47</v>
      </c>
      <c r="H425">
        <v>16</v>
      </c>
      <c r="I425" s="1">
        <v>2995.01</v>
      </c>
      <c r="J425" s="1">
        <f t="shared" si="44"/>
        <v>43128.144000000008</v>
      </c>
      <c r="K425" s="1">
        <f t="shared" si="45"/>
        <v>4792.0160000000005</v>
      </c>
      <c r="L425" s="1">
        <v>47920.160000000003</v>
      </c>
      <c r="M425" s="1">
        <f t="shared" si="46"/>
        <v>8625.6288000000004</v>
      </c>
      <c r="N425" s="1">
        <f t="shared" si="47"/>
        <v>56545.788800000002</v>
      </c>
      <c r="S425" t="str">
        <f t="shared" si="42"/>
        <v>Punjab</v>
      </c>
      <c r="W425" t="str">
        <f t="shared" si="43"/>
        <v>East</v>
      </c>
      <c r="AB425" t="str">
        <f t="shared" si="48"/>
        <v>PK-PB</v>
      </c>
    </row>
    <row r="426" spans="1:28" x14ac:dyDescent="0.25">
      <c r="A426" s="2">
        <v>45071</v>
      </c>
      <c r="B426" t="s">
        <v>31</v>
      </c>
      <c r="C426" t="s">
        <v>59</v>
      </c>
      <c r="D426" t="s">
        <v>66</v>
      </c>
      <c r="E426" t="s">
        <v>41</v>
      </c>
      <c r="F426" t="s">
        <v>14</v>
      </c>
      <c r="G426" t="s">
        <v>53</v>
      </c>
      <c r="H426">
        <v>11</v>
      </c>
      <c r="I426" s="1">
        <v>2318.96</v>
      </c>
      <c r="J426" s="1">
        <f t="shared" si="44"/>
        <v>22957.704000000002</v>
      </c>
      <c r="K426" s="1">
        <f t="shared" si="45"/>
        <v>2550.8560000000002</v>
      </c>
      <c r="L426" s="1">
        <v>25508.560000000001</v>
      </c>
      <c r="M426" s="1">
        <f t="shared" si="46"/>
        <v>4591.5407999999998</v>
      </c>
      <c r="N426" s="1">
        <f t="shared" si="47"/>
        <v>30100.1008</v>
      </c>
      <c r="S426" t="str">
        <f t="shared" si="42"/>
        <v>Khyber Pakhtunkhwa</v>
      </c>
      <c r="W426" t="str">
        <f t="shared" si="43"/>
        <v>North</v>
      </c>
      <c r="AB426" t="str">
        <f t="shared" si="48"/>
        <v>Khyber Pakhtunkhwa</v>
      </c>
    </row>
    <row r="427" spans="1:28" x14ac:dyDescent="0.25">
      <c r="A427" s="2">
        <v>45260</v>
      </c>
      <c r="B427" t="s">
        <v>21</v>
      </c>
      <c r="C427" t="s">
        <v>57</v>
      </c>
      <c r="D427" t="s">
        <v>22</v>
      </c>
      <c r="E427" t="s">
        <v>13</v>
      </c>
      <c r="F427" t="s">
        <v>27</v>
      </c>
      <c r="G427" t="s">
        <v>44</v>
      </c>
      <c r="H427">
        <v>14</v>
      </c>
      <c r="I427" s="1">
        <v>4935.3</v>
      </c>
      <c r="J427" s="1">
        <f t="shared" si="44"/>
        <v>62184.78</v>
      </c>
      <c r="K427" s="1">
        <f t="shared" si="45"/>
        <v>6909.42</v>
      </c>
      <c r="L427" s="1">
        <v>69094.2</v>
      </c>
      <c r="M427" s="1">
        <f t="shared" si="46"/>
        <v>12436.955999999998</v>
      </c>
      <c r="N427" s="1">
        <f t="shared" si="47"/>
        <v>81531.155999999988</v>
      </c>
      <c r="S427" t="str">
        <f t="shared" si="42"/>
        <v>Balochistan</v>
      </c>
      <c r="W427" t="str">
        <f t="shared" si="43"/>
        <v>West</v>
      </c>
      <c r="AB427" t="str">
        <f t="shared" si="48"/>
        <v>PK-BA</v>
      </c>
    </row>
    <row r="428" spans="1:28" x14ac:dyDescent="0.25">
      <c r="A428" s="2">
        <v>45189</v>
      </c>
      <c r="B428" t="s">
        <v>40</v>
      </c>
      <c r="C428" t="s">
        <v>62</v>
      </c>
      <c r="D428" t="s">
        <v>65</v>
      </c>
      <c r="E428" t="s">
        <v>64</v>
      </c>
      <c r="F428" t="s">
        <v>14</v>
      </c>
      <c r="G428" t="s">
        <v>45</v>
      </c>
      <c r="H428">
        <v>1</v>
      </c>
      <c r="I428" s="1">
        <v>1083.26</v>
      </c>
      <c r="J428" s="1">
        <f t="shared" si="44"/>
        <v>974.93399999999997</v>
      </c>
      <c r="K428" s="1">
        <f t="shared" si="45"/>
        <v>108.32600000000001</v>
      </c>
      <c r="L428" s="1">
        <v>1083.26</v>
      </c>
      <c r="M428" s="1">
        <f t="shared" si="46"/>
        <v>194.98679999999999</v>
      </c>
      <c r="N428" s="1">
        <f t="shared" si="47"/>
        <v>1278.2467999999999</v>
      </c>
      <c r="S428" t="str">
        <f t="shared" si="42"/>
        <v>Punjab</v>
      </c>
      <c r="W428" t="str">
        <f t="shared" si="43"/>
        <v>East</v>
      </c>
      <c r="AB428" t="str">
        <f t="shared" si="48"/>
        <v>PK-PB</v>
      </c>
    </row>
    <row r="429" spans="1:28" x14ac:dyDescent="0.25">
      <c r="A429" s="2">
        <v>45204</v>
      </c>
      <c r="B429" t="s">
        <v>38</v>
      </c>
      <c r="C429" t="s">
        <v>55</v>
      </c>
      <c r="D429" t="s">
        <v>66</v>
      </c>
      <c r="E429" t="s">
        <v>41</v>
      </c>
      <c r="F429" t="s">
        <v>14</v>
      </c>
      <c r="G429" t="s">
        <v>45</v>
      </c>
      <c r="H429">
        <v>11</v>
      </c>
      <c r="I429" s="1">
        <v>1673.53</v>
      </c>
      <c r="J429" s="1">
        <f t="shared" si="44"/>
        <v>16567.947000000004</v>
      </c>
      <c r="K429" s="1">
        <f t="shared" si="45"/>
        <v>1840.8830000000003</v>
      </c>
      <c r="L429" s="1">
        <v>18408.830000000002</v>
      </c>
      <c r="M429" s="1">
        <f t="shared" si="46"/>
        <v>3313.5894000000003</v>
      </c>
      <c r="N429" s="1">
        <f t="shared" si="47"/>
        <v>21722.419400000002</v>
      </c>
      <c r="S429" t="str">
        <f t="shared" si="42"/>
        <v>Khyber Pakhtunkhwa</v>
      </c>
      <c r="W429" t="str">
        <f t="shared" si="43"/>
        <v>North</v>
      </c>
      <c r="AB429" t="str">
        <f t="shared" si="48"/>
        <v>Khyber Pakhtunkhwa</v>
      </c>
    </row>
    <row r="430" spans="1:28" x14ac:dyDescent="0.25">
      <c r="A430" s="2">
        <v>45185</v>
      </c>
      <c r="B430" t="s">
        <v>25</v>
      </c>
      <c r="C430" t="s">
        <v>35</v>
      </c>
      <c r="D430" t="s">
        <v>65</v>
      </c>
      <c r="E430" t="s">
        <v>64</v>
      </c>
      <c r="F430" t="s">
        <v>32</v>
      </c>
      <c r="G430" t="s">
        <v>49</v>
      </c>
      <c r="H430">
        <v>10</v>
      </c>
      <c r="I430" s="1">
        <v>3829.38</v>
      </c>
      <c r="J430" s="1">
        <f t="shared" si="44"/>
        <v>34464.420000000006</v>
      </c>
      <c r="K430" s="1">
        <f t="shared" si="45"/>
        <v>3829.3800000000006</v>
      </c>
      <c r="L430" s="1">
        <v>38293.800000000003</v>
      </c>
      <c r="M430" s="1">
        <f t="shared" si="46"/>
        <v>6892.884</v>
      </c>
      <c r="N430" s="1">
        <f t="shared" si="47"/>
        <v>45186.684000000001</v>
      </c>
      <c r="S430" t="str">
        <f t="shared" si="42"/>
        <v>Punjab</v>
      </c>
      <c r="W430" t="str">
        <f t="shared" si="43"/>
        <v>East</v>
      </c>
      <c r="AB430" t="str">
        <f t="shared" si="48"/>
        <v>PK-PB</v>
      </c>
    </row>
    <row r="431" spans="1:28" x14ac:dyDescent="0.25">
      <c r="A431" s="2">
        <v>45190</v>
      </c>
      <c r="B431" t="s">
        <v>38</v>
      </c>
      <c r="C431" t="s">
        <v>54</v>
      </c>
      <c r="D431" t="s">
        <v>12</v>
      </c>
      <c r="E431" t="s">
        <v>18</v>
      </c>
      <c r="F431" t="s">
        <v>23</v>
      </c>
      <c r="G431" t="s">
        <v>24</v>
      </c>
      <c r="H431">
        <v>6</v>
      </c>
      <c r="I431" s="1">
        <v>470.36</v>
      </c>
      <c r="J431" s="1">
        <f t="shared" si="44"/>
        <v>2539.944</v>
      </c>
      <c r="K431" s="1">
        <f t="shared" si="45"/>
        <v>282.21600000000001</v>
      </c>
      <c r="L431" s="1">
        <v>2822.16</v>
      </c>
      <c r="M431" s="1">
        <f t="shared" si="46"/>
        <v>507.98879999999997</v>
      </c>
      <c r="N431" s="1">
        <f t="shared" si="47"/>
        <v>3330.1487999999999</v>
      </c>
      <c r="S431" t="str">
        <f t="shared" si="42"/>
        <v>Sindh</v>
      </c>
      <c r="W431" t="str">
        <f t="shared" si="43"/>
        <v>South</v>
      </c>
      <c r="AB431" t="str">
        <f t="shared" si="48"/>
        <v>PK-SD</v>
      </c>
    </row>
    <row r="432" spans="1:28" x14ac:dyDescent="0.25">
      <c r="A432" s="2">
        <v>45029</v>
      </c>
      <c r="B432" t="s">
        <v>43</v>
      </c>
      <c r="C432" t="s">
        <v>59</v>
      </c>
      <c r="D432" t="s">
        <v>66</v>
      </c>
      <c r="E432" t="s">
        <v>41</v>
      </c>
      <c r="F432" t="s">
        <v>32</v>
      </c>
      <c r="G432" t="s">
        <v>49</v>
      </c>
      <c r="H432">
        <v>12</v>
      </c>
      <c r="I432" s="1">
        <v>2489.14</v>
      </c>
      <c r="J432" s="1">
        <f t="shared" si="44"/>
        <v>26882.712</v>
      </c>
      <c r="K432" s="1">
        <f t="shared" si="45"/>
        <v>2986.9680000000003</v>
      </c>
      <c r="L432" s="1">
        <v>29869.68</v>
      </c>
      <c r="M432" s="1">
        <f t="shared" si="46"/>
        <v>5376.5424000000003</v>
      </c>
      <c r="N432" s="1">
        <f t="shared" si="47"/>
        <v>35246.222399999999</v>
      </c>
      <c r="S432" t="str">
        <f t="shared" si="42"/>
        <v>Khyber Pakhtunkhwa</v>
      </c>
      <c r="W432" t="str">
        <f t="shared" si="43"/>
        <v>North</v>
      </c>
      <c r="AB432" t="str">
        <f t="shared" si="48"/>
        <v>Khyber Pakhtunkhwa</v>
      </c>
    </row>
    <row r="433" spans="1:28" x14ac:dyDescent="0.25">
      <c r="A433" s="2">
        <v>45157</v>
      </c>
      <c r="B433" t="s">
        <v>38</v>
      </c>
      <c r="C433" t="s">
        <v>54</v>
      </c>
      <c r="D433" t="s">
        <v>12</v>
      </c>
      <c r="E433" t="s">
        <v>18</v>
      </c>
      <c r="F433" t="s">
        <v>23</v>
      </c>
      <c r="G433" t="s">
        <v>47</v>
      </c>
      <c r="H433">
        <v>14</v>
      </c>
      <c r="I433" s="1">
        <v>1729.16</v>
      </c>
      <c r="J433" s="1">
        <f t="shared" si="44"/>
        <v>21787.416000000001</v>
      </c>
      <c r="K433" s="1">
        <f t="shared" si="45"/>
        <v>2420.8240000000001</v>
      </c>
      <c r="L433" s="1">
        <v>24208.240000000002</v>
      </c>
      <c r="M433" s="1">
        <f t="shared" si="46"/>
        <v>4357.4832000000006</v>
      </c>
      <c r="N433" s="1">
        <f t="shared" si="47"/>
        <v>28565.7232</v>
      </c>
      <c r="S433" t="str">
        <f t="shared" si="42"/>
        <v>Sindh</v>
      </c>
      <c r="W433" t="str">
        <f t="shared" si="43"/>
        <v>South</v>
      </c>
      <c r="AB433" t="str">
        <f t="shared" si="48"/>
        <v>PK-SD</v>
      </c>
    </row>
    <row r="434" spans="1:28" x14ac:dyDescent="0.25">
      <c r="A434" s="2">
        <v>45276</v>
      </c>
      <c r="B434" t="s">
        <v>10</v>
      </c>
      <c r="C434" t="s">
        <v>56</v>
      </c>
      <c r="D434" t="s">
        <v>12</v>
      </c>
      <c r="E434" t="s">
        <v>18</v>
      </c>
      <c r="F434" t="s">
        <v>19</v>
      </c>
      <c r="G434" t="s">
        <v>48</v>
      </c>
      <c r="H434">
        <v>2</v>
      </c>
      <c r="I434" s="1">
        <v>2789.92</v>
      </c>
      <c r="J434" s="1">
        <f t="shared" si="44"/>
        <v>5021.8560000000007</v>
      </c>
      <c r="K434" s="1">
        <f t="shared" si="45"/>
        <v>557.98400000000004</v>
      </c>
      <c r="L434" s="1">
        <v>5579.84</v>
      </c>
      <c r="M434" s="1">
        <f t="shared" si="46"/>
        <v>1004.3712</v>
      </c>
      <c r="N434" s="1">
        <f t="shared" si="47"/>
        <v>6584.2111999999997</v>
      </c>
      <c r="S434" t="str">
        <f t="shared" si="42"/>
        <v>Sindh</v>
      </c>
      <c r="W434" t="str">
        <f t="shared" si="43"/>
        <v>South</v>
      </c>
      <c r="AB434" t="str">
        <f t="shared" si="48"/>
        <v>PK-SD</v>
      </c>
    </row>
    <row r="435" spans="1:28" x14ac:dyDescent="0.25">
      <c r="A435" s="2">
        <v>45072</v>
      </c>
      <c r="B435" t="s">
        <v>34</v>
      </c>
      <c r="C435" t="s">
        <v>57</v>
      </c>
      <c r="D435" t="s">
        <v>22</v>
      </c>
      <c r="E435" t="s">
        <v>13</v>
      </c>
      <c r="F435" t="s">
        <v>23</v>
      </c>
      <c r="G435" t="s">
        <v>24</v>
      </c>
      <c r="H435">
        <v>17</v>
      </c>
      <c r="I435" s="1">
        <v>3244.79</v>
      </c>
      <c r="J435" s="1">
        <f t="shared" si="44"/>
        <v>49645.287000000004</v>
      </c>
      <c r="K435" s="1">
        <f t="shared" si="45"/>
        <v>5516.143</v>
      </c>
      <c r="L435" s="1">
        <v>55161.43</v>
      </c>
      <c r="M435" s="1">
        <f t="shared" si="46"/>
        <v>9929.0573999999997</v>
      </c>
      <c r="N435" s="1">
        <f t="shared" si="47"/>
        <v>65090.487399999998</v>
      </c>
      <c r="S435" t="str">
        <f t="shared" si="42"/>
        <v>Balochistan</v>
      </c>
      <c r="W435" t="str">
        <f t="shared" si="43"/>
        <v>West</v>
      </c>
      <c r="AB435" t="str">
        <f t="shared" si="48"/>
        <v>PK-BA</v>
      </c>
    </row>
    <row r="436" spans="1:28" x14ac:dyDescent="0.25">
      <c r="A436" s="2">
        <v>44971</v>
      </c>
      <c r="B436" t="s">
        <v>21</v>
      </c>
      <c r="C436" t="s">
        <v>62</v>
      </c>
      <c r="D436" t="s">
        <v>65</v>
      </c>
      <c r="E436" t="s">
        <v>64</v>
      </c>
      <c r="F436" t="s">
        <v>19</v>
      </c>
      <c r="G436" t="s">
        <v>20</v>
      </c>
      <c r="H436">
        <v>20</v>
      </c>
      <c r="I436" s="1">
        <v>2155.17</v>
      </c>
      <c r="J436" s="1">
        <f t="shared" si="44"/>
        <v>38793.060000000005</v>
      </c>
      <c r="K436" s="1">
        <f t="shared" si="45"/>
        <v>4310.34</v>
      </c>
      <c r="L436" s="1">
        <v>43103.4</v>
      </c>
      <c r="M436" s="1">
        <f t="shared" si="46"/>
        <v>7758.6120000000001</v>
      </c>
      <c r="N436" s="1">
        <f t="shared" si="47"/>
        <v>50862.012000000002</v>
      </c>
      <c r="S436" t="str">
        <f t="shared" si="42"/>
        <v>Punjab</v>
      </c>
      <c r="W436" t="str">
        <f t="shared" si="43"/>
        <v>East</v>
      </c>
      <c r="AB436" t="str">
        <f t="shared" si="48"/>
        <v>PK-PB</v>
      </c>
    </row>
    <row r="437" spans="1:28" x14ac:dyDescent="0.25">
      <c r="A437" s="2">
        <v>45115</v>
      </c>
      <c r="B437" t="s">
        <v>40</v>
      </c>
      <c r="C437" t="s">
        <v>17</v>
      </c>
      <c r="D437" t="s">
        <v>65</v>
      </c>
      <c r="E437" t="s">
        <v>64</v>
      </c>
      <c r="F437" t="s">
        <v>27</v>
      </c>
      <c r="G437" t="s">
        <v>44</v>
      </c>
      <c r="H437">
        <v>13</v>
      </c>
      <c r="I437" s="1">
        <v>2526.1999999999998</v>
      </c>
      <c r="J437" s="1">
        <f t="shared" si="44"/>
        <v>29556.54</v>
      </c>
      <c r="K437" s="1">
        <f t="shared" si="45"/>
        <v>3284.06</v>
      </c>
      <c r="L437" s="1">
        <v>32840.6</v>
      </c>
      <c r="M437" s="1">
        <f t="shared" si="46"/>
        <v>5911.3079999999991</v>
      </c>
      <c r="N437" s="1">
        <f t="shared" si="47"/>
        <v>38751.907999999996</v>
      </c>
      <c r="S437" t="str">
        <f t="shared" si="42"/>
        <v>Punjab</v>
      </c>
      <c r="W437" t="str">
        <f t="shared" si="43"/>
        <v>East</v>
      </c>
      <c r="AB437" t="str">
        <f t="shared" si="48"/>
        <v>PK-PB</v>
      </c>
    </row>
    <row r="438" spans="1:28" x14ac:dyDescent="0.25">
      <c r="A438" s="2">
        <v>44950</v>
      </c>
      <c r="B438" t="s">
        <v>34</v>
      </c>
      <c r="C438" t="s">
        <v>55</v>
      </c>
      <c r="D438" t="s">
        <v>66</v>
      </c>
      <c r="E438" t="s">
        <v>41</v>
      </c>
      <c r="F438" t="s">
        <v>32</v>
      </c>
      <c r="G438" t="s">
        <v>36</v>
      </c>
      <c r="H438">
        <v>11</v>
      </c>
      <c r="I438" s="1">
        <v>1995.21</v>
      </c>
      <c r="J438" s="1">
        <f t="shared" si="44"/>
        <v>19752.579000000002</v>
      </c>
      <c r="K438" s="1">
        <f t="shared" si="45"/>
        <v>2194.7310000000002</v>
      </c>
      <c r="L438" s="1">
        <v>21947.31</v>
      </c>
      <c r="M438" s="1">
        <f t="shared" si="46"/>
        <v>3950.5158000000001</v>
      </c>
      <c r="N438" s="1">
        <f t="shared" si="47"/>
        <v>25897.825800000002</v>
      </c>
      <c r="S438" t="str">
        <f t="shared" si="42"/>
        <v>Khyber Pakhtunkhwa</v>
      </c>
      <c r="W438" t="str">
        <f t="shared" si="43"/>
        <v>North</v>
      </c>
      <c r="AB438" t="str">
        <f t="shared" si="48"/>
        <v>Khyber Pakhtunkhwa</v>
      </c>
    </row>
    <row r="439" spans="1:28" x14ac:dyDescent="0.25">
      <c r="A439" s="2">
        <v>44968</v>
      </c>
      <c r="B439" t="s">
        <v>40</v>
      </c>
      <c r="C439" t="s">
        <v>35</v>
      </c>
      <c r="D439" t="s">
        <v>65</v>
      </c>
      <c r="E439" t="s">
        <v>64</v>
      </c>
      <c r="F439" t="s">
        <v>19</v>
      </c>
      <c r="G439" t="s">
        <v>20</v>
      </c>
      <c r="H439">
        <v>4</v>
      </c>
      <c r="I439" s="1">
        <v>1139.74</v>
      </c>
      <c r="J439" s="1">
        <f t="shared" si="44"/>
        <v>4103.0640000000003</v>
      </c>
      <c r="K439" s="1">
        <f t="shared" si="45"/>
        <v>455.89600000000002</v>
      </c>
      <c r="L439" s="1">
        <v>4558.96</v>
      </c>
      <c r="M439" s="1">
        <f t="shared" si="46"/>
        <v>820.61279999999999</v>
      </c>
      <c r="N439" s="1">
        <f t="shared" si="47"/>
        <v>5379.5727999999999</v>
      </c>
      <c r="S439" t="str">
        <f t="shared" si="42"/>
        <v>Punjab</v>
      </c>
      <c r="W439" t="str">
        <f t="shared" si="43"/>
        <v>East</v>
      </c>
      <c r="AB439" t="str">
        <f t="shared" si="48"/>
        <v>PK-PB</v>
      </c>
    </row>
    <row r="440" spans="1:28" x14ac:dyDescent="0.25">
      <c r="A440" s="2">
        <v>45137</v>
      </c>
      <c r="B440" t="s">
        <v>43</v>
      </c>
      <c r="C440" t="s">
        <v>61</v>
      </c>
      <c r="D440" t="s">
        <v>65</v>
      </c>
      <c r="E440" t="s">
        <v>64</v>
      </c>
      <c r="F440" t="s">
        <v>14</v>
      </c>
      <c r="G440" t="s">
        <v>51</v>
      </c>
      <c r="H440">
        <v>4</v>
      </c>
      <c r="I440" s="1">
        <v>3015.93</v>
      </c>
      <c r="J440" s="1">
        <f t="shared" si="44"/>
        <v>10857.348</v>
      </c>
      <c r="K440" s="1">
        <f t="shared" si="45"/>
        <v>1206.3720000000001</v>
      </c>
      <c r="L440" s="1">
        <v>12063.72</v>
      </c>
      <c r="M440" s="1">
        <f t="shared" si="46"/>
        <v>2171.4695999999999</v>
      </c>
      <c r="N440" s="1">
        <f t="shared" si="47"/>
        <v>14235.1896</v>
      </c>
      <c r="S440" t="str">
        <f t="shared" si="42"/>
        <v>Punjab</v>
      </c>
      <c r="W440" t="str">
        <f t="shared" si="43"/>
        <v>East</v>
      </c>
      <c r="AB440" t="str">
        <f t="shared" si="48"/>
        <v>PK-PB</v>
      </c>
    </row>
    <row r="441" spans="1:28" x14ac:dyDescent="0.25">
      <c r="A441" s="2">
        <v>45026</v>
      </c>
      <c r="B441" t="s">
        <v>40</v>
      </c>
      <c r="C441" t="s">
        <v>56</v>
      </c>
      <c r="D441" t="s">
        <v>12</v>
      </c>
      <c r="E441" t="s">
        <v>18</v>
      </c>
      <c r="F441" t="s">
        <v>23</v>
      </c>
      <c r="G441" t="s">
        <v>37</v>
      </c>
      <c r="H441">
        <v>4</v>
      </c>
      <c r="I441" s="1">
        <v>3831.39</v>
      </c>
      <c r="J441" s="1">
        <f t="shared" si="44"/>
        <v>13793.003999999999</v>
      </c>
      <c r="K441" s="1">
        <f t="shared" si="45"/>
        <v>1532.556</v>
      </c>
      <c r="L441" s="1">
        <v>15325.56</v>
      </c>
      <c r="M441" s="1">
        <f t="shared" si="46"/>
        <v>2758.6007999999997</v>
      </c>
      <c r="N441" s="1">
        <f t="shared" si="47"/>
        <v>18084.160799999998</v>
      </c>
      <c r="S441" t="str">
        <f t="shared" si="42"/>
        <v>Sindh</v>
      </c>
      <c r="W441" t="str">
        <f t="shared" si="43"/>
        <v>South</v>
      </c>
      <c r="AB441" t="str">
        <f t="shared" si="48"/>
        <v>PK-SD</v>
      </c>
    </row>
    <row r="442" spans="1:28" x14ac:dyDescent="0.25">
      <c r="A442" s="2">
        <v>45077</v>
      </c>
      <c r="B442" t="s">
        <v>10</v>
      </c>
      <c r="C442" t="s">
        <v>26</v>
      </c>
      <c r="D442" t="s">
        <v>12</v>
      </c>
      <c r="E442" t="s">
        <v>18</v>
      </c>
      <c r="F442" t="s">
        <v>23</v>
      </c>
      <c r="G442" t="s">
        <v>24</v>
      </c>
      <c r="H442">
        <v>7</v>
      </c>
      <c r="I442" s="1">
        <v>105.05</v>
      </c>
      <c r="J442" s="1">
        <f t="shared" si="44"/>
        <v>661.81500000000005</v>
      </c>
      <c r="K442" s="1">
        <f t="shared" si="45"/>
        <v>73.535000000000011</v>
      </c>
      <c r="L442" s="1">
        <v>735.35</v>
      </c>
      <c r="M442" s="1">
        <f t="shared" si="46"/>
        <v>132.363</v>
      </c>
      <c r="N442" s="1">
        <f t="shared" si="47"/>
        <v>867.71299999999997</v>
      </c>
      <c r="S442" t="str">
        <f t="shared" si="42"/>
        <v>Sindh</v>
      </c>
      <c r="W442" t="str">
        <f t="shared" si="43"/>
        <v>South</v>
      </c>
      <c r="AB442" t="str">
        <f t="shared" si="48"/>
        <v>PK-SD</v>
      </c>
    </row>
    <row r="443" spans="1:28" x14ac:dyDescent="0.25">
      <c r="A443" s="2">
        <v>45110</v>
      </c>
      <c r="B443" t="s">
        <v>16</v>
      </c>
      <c r="C443" t="s">
        <v>35</v>
      </c>
      <c r="D443" t="s">
        <v>65</v>
      </c>
      <c r="E443" t="s">
        <v>64</v>
      </c>
      <c r="F443" t="s">
        <v>19</v>
      </c>
      <c r="G443" t="s">
        <v>48</v>
      </c>
      <c r="H443">
        <v>11</v>
      </c>
      <c r="I443" s="1">
        <v>2416.1799999999998</v>
      </c>
      <c r="J443" s="1">
        <f t="shared" si="44"/>
        <v>23920.182000000001</v>
      </c>
      <c r="K443" s="1">
        <f t="shared" si="45"/>
        <v>2657.7980000000002</v>
      </c>
      <c r="L443" s="1">
        <v>26577.98</v>
      </c>
      <c r="M443" s="1">
        <f t="shared" si="46"/>
        <v>4784.0364</v>
      </c>
      <c r="N443" s="1">
        <f t="shared" si="47"/>
        <v>31362.0164</v>
      </c>
      <c r="S443" t="str">
        <f t="shared" si="42"/>
        <v>Punjab</v>
      </c>
      <c r="W443" t="str">
        <f t="shared" si="43"/>
        <v>East</v>
      </c>
      <c r="AB443" t="str">
        <f t="shared" si="48"/>
        <v>PK-PB</v>
      </c>
    </row>
    <row r="444" spans="1:28" x14ac:dyDescent="0.25">
      <c r="A444" s="2">
        <v>44941</v>
      </c>
      <c r="B444" t="s">
        <v>31</v>
      </c>
      <c r="C444" t="s">
        <v>35</v>
      </c>
      <c r="D444" t="s">
        <v>65</v>
      </c>
      <c r="E444" t="s">
        <v>64</v>
      </c>
      <c r="F444" t="s">
        <v>19</v>
      </c>
      <c r="G444" t="s">
        <v>48</v>
      </c>
      <c r="H444">
        <v>1</v>
      </c>
      <c r="I444" s="1">
        <v>549.14</v>
      </c>
      <c r="J444" s="1">
        <f t="shared" si="44"/>
        <v>494.226</v>
      </c>
      <c r="K444" s="1">
        <f t="shared" si="45"/>
        <v>54.914000000000001</v>
      </c>
      <c r="L444" s="1">
        <v>549.14</v>
      </c>
      <c r="M444" s="1">
        <f t="shared" si="46"/>
        <v>98.845199999999991</v>
      </c>
      <c r="N444" s="1">
        <f t="shared" si="47"/>
        <v>647.98519999999996</v>
      </c>
      <c r="S444" t="str">
        <f t="shared" si="42"/>
        <v>Punjab</v>
      </c>
      <c r="W444" t="str">
        <f t="shared" si="43"/>
        <v>East</v>
      </c>
      <c r="AB444" t="str">
        <f t="shared" si="48"/>
        <v>PK-PB</v>
      </c>
    </row>
    <row r="445" spans="1:28" x14ac:dyDescent="0.25">
      <c r="A445" s="2">
        <v>45076</v>
      </c>
      <c r="B445" t="s">
        <v>31</v>
      </c>
      <c r="C445" t="s">
        <v>55</v>
      </c>
      <c r="D445" t="s">
        <v>66</v>
      </c>
      <c r="E445" t="s">
        <v>41</v>
      </c>
      <c r="F445" t="s">
        <v>27</v>
      </c>
      <c r="G445" t="s">
        <v>28</v>
      </c>
      <c r="H445">
        <v>10</v>
      </c>
      <c r="I445" s="1">
        <v>3771.5</v>
      </c>
      <c r="J445" s="1">
        <f t="shared" si="44"/>
        <v>33943.5</v>
      </c>
      <c r="K445" s="1">
        <f t="shared" si="45"/>
        <v>3771.5</v>
      </c>
      <c r="L445" s="1">
        <v>37715</v>
      </c>
      <c r="M445" s="1">
        <f t="shared" si="46"/>
        <v>6788.7</v>
      </c>
      <c r="N445" s="1">
        <f t="shared" si="47"/>
        <v>44503.7</v>
      </c>
      <c r="S445" t="str">
        <f t="shared" si="42"/>
        <v>Khyber Pakhtunkhwa</v>
      </c>
      <c r="W445" t="str">
        <f t="shared" si="43"/>
        <v>North</v>
      </c>
      <c r="AB445" t="str">
        <f t="shared" si="48"/>
        <v>Khyber Pakhtunkhwa</v>
      </c>
    </row>
    <row r="446" spans="1:28" x14ac:dyDescent="0.25">
      <c r="A446" s="2">
        <v>45213</v>
      </c>
      <c r="B446" t="s">
        <v>16</v>
      </c>
      <c r="C446" t="s">
        <v>35</v>
      </c>
      <c r="D446" t="s">
        <v>65</v>
      </c>
      <c r="E446" t="s">
        <v>64</v>
      </c>
      <c r="F446" t="s">
        <v>14</v>
      </c>
      <c r="G446" t="s">
        <v>51</v>
      </c>
      <c r="H446">
        <v>13</v>
      </c>
      <c r="I446" s="1">
        <v>956.49</v>
      </c>
      <c r="J446" s="1">
        <f t="shared" si="44"/>
        <v>11190.933000000001</v>
      </c>
      <c r="K446" s="1">
        <f t="shared" si="45"/>
        <v>1243.4370000000001</v>
      </c>
      <c r="L446" s="1">
        <v>12434.37</v>
      </c>
      <c r="M446" s="1">
        <f t="shared" si="46"/>
        <v>2238.1866</v>
      </c>
      <c r="N446" s="1">
        <f t="shared" si="47"/>
        <v>14672.5566</v>
      </c>
      <c r="S446" t="str">
        <f t="shared" si="42"/>
        <v>Punjab</v>
      </c>
      <c r="W446" t="str">
        <f t="shared" si="43"/>
        <v>East</v>
      </c>
      <c r="AB446" t="str">
        <f t="shared" si="48"/>
        <v>PK-PB</v>
      </c>
    </row>
    <row r="447" spans="1:28" x14ac:dyDescent="0.25">
      <c r="A447" s="2">
        <v>44956</v>
      </c>
      <c r="B447" t="s">
        <v>21</v>
      </c>
      <c r="C447" t="s">
        <v>54</v>
      </c>
      <c r="D447" t="s">
        <v>12</v>
      </c>
      <c r="E447" t="s">
        <v>18</v>
      </c>
      <c r="F447" t="s">
        <v>14</v>
      </c>
      <c r="G447" t="s">
        <v>45</v>
      </c>
      <c r="H447">
        <v>19</v>
      </c>
      <c r="I447" s="1">
        <v>3575.92</v>
      </c>
      <c r="J447" s="1">
        <f t="shared" si="44"/>
        <v>61148.231999999996</v>
      </c>
      <c r="K447" s="1">
        <f t="shared" si="45"/>
        <v>6794.2479999999996</v>
      </c>
      <c r="L447" s="1">
        <v>67942.48</v>
      </c>
      <c r="M447" s="1">
        <f t="shared" si="46"/>
        <v>12229.6464</v>
      </c>
      <c r="N447" s="1">
        <f t="shared" si="47"/>
        <v>80172.126399999994</v>
      </c>
      <c r="S447" t="str">
        <f t="shared" si="42"/>
        <v>Sindh</v>
      </c>
      <c r="W447" t="str">
        <f t="shared" si="43"/>
        <v>South</v>
      </c>
      <c r="AB447" t="str">
        <f t="shared" si="48"/>
        <v>PK-SD</v>
      </c>
    </row>
    <row r="448" spans="1:28" x14ac:dyDescent="0.25">
      <c r="A448" s="2">
        <v>45095</v>
      </c>
      <c r="B448" t="s">
        <v>40</v>
      </c>
      <c r="C448" t="s">
        <v>60</v>
      </c>
      <c r="D448" t="s">
        <v>12</v>
      </c>
      <c r="E448" t="s">
        <v>18</v>
      </c>
      <c r="F448" t="s">
        <v>32</v>
      </c>
      <c r="G448" t="s">
        <v>49</v>
      </c>
      <c r="H448">
        <v>8</v>
      </c>
      <c r="I448" s="1">
        <v>3971.12</v>
      </c>
      <c r="J448" s="1">
        <f t="shared" si="44"/>
        <v>28592.063999999998</v>
      </c>
      <c r="K448" s="1">
        <f t="shared" si="45"/>
        <v>3176.8960000000002</v>
      </c>
      <c r="L448" s="1">
        <v>31768.959999999999</v>
      </c>
      <c r="M448" s="1">
        <f t="shared" si="46"/>
        <v>5718.4128000000001</v>
      </c>
      <c r="N448" s="1">
        <f t="shared" si="47"/>
        <v>37487.372799999997</v>
      </c>
      <c r="S448" t="str">
        <f t="shared" si="42"/>
        <v>Sindh</v>
      </c>
      <c r="W448" t="str">
        <f t="shared" si="43"/>
        <v>South</v>
      </c>
      <c r="AB448" t="str">
        <f t="shared" si="48"/>
        <v>PK-SD</v>
      </c>
    </row>
    <row r="449" spans="1:28" x14ac:dyDescent="0.25">
      <c r="A449" s="2">
        <v>45160</v>
      </c>
      <c r="B449" t="s">
        <v>29</v>
      </c>
      <c r="C449" t="s">
        <v>55</v>
      </c>
      <c r="D449" t="s">
        <v>66</v>
      </c>
      <c r="E449" t="s">
        <v>41</v>
      </c>
      <c r="F449" t="s">
        <v>23</v>
      </c>
      <c r="G449" t="s">
        <v>39</v>
      </c>
      <c r="H449">
        <v>14</v>
      </c>
      <c r="I449" s="1">
        <v>3631.62</v>
      </c>
      <c r="J449" s="1">
        <f t="shared" si="44"/>
        <v>45758.412000000004</v>
      </c>
      <c r="K449" s="1">
        <f t="shared" si="45"/>
        <v>5084.268</v>
      </c>
      <c r="L449" s="1">
        <v>50842.68</v>
      </c>
      <c r="M449" s="1">
        <f t="shared" si="46"/>
        <v>9151.6823999999997</v>
      </c>
      <c r="N449" s="1">
        <f t="shared" si="47"/>
        <v>59994.362399999998</v>
      </c>
      <c r="S449" t="str">
        <f t="shared" si="42"/>
        <v>Khyber Pakhtunkhwa</v>
      </c>
      <c r="W449" t="str">
        <f t="shared" si="43"/>
        <v>North</v>
      </c>
      <c r="AB449" t="str">
        <f t="shared" si="48"/>
        <v>Khyber Pakhtunkhwa</v>
      </c>
    </row>
    <row r="450" spans="1:28" x14ac:dyDescent="0.25">
      <c r="A450" s="2">
        <v>45047</v>
      </c>
      <c r="B450" t="s">
        <v>38</v>
      </c>
      <c r="C450" t="s">
        <v>11</v>
      </c>
      <c r="D450" t="s">
        <v>22</v>
      </c>
      <c r="E450" t="s">
        <v>13</v>
      </c>
      <c r="F450" t="s">
        <v>14</v>
      </c>
      <c r="G450" t="s">
        <v>45</v>
      </c>
      <c r="H450">
        <v>18</v>
      </c>
      <c r="I450" s="1">
        <v>2589.64</v>
      </c>
      <c r="J450" s="1">
        <f t="shared" si="44"/>
        <v>41952.167999999998</v>
      </c>
      <c r="K450" s="1">
        <f t="shared" si="45"/>
        <v>4661.3519999999999</v>
      </c>
      <c r="L450" s="1">
        <v>46613.52</v>
      </c>
      <c r="M450" s="1">
        <f t="shared" si="46"/>
        <v>8390.4335999999985</v>
      </c>
      <c r="N450" s="1">
        <f t="shared" si="47"/>
        <v>55003.953599999993</v>
      </c>
      <c r="S450" t="str">
        <f t="shared" ref="S450:S513" si="49">VLOOKUP(C450,$Q$2:$R$15,2,FALSE)</f>
        <v>Balochistan</v>
      </c>
      <c r="W450" t="str">
        <f t="shared" ref="W450:W513" si="50">VLOOKUP(D450,$U$2:$V$5,2,FALSE)</f>
        <v>West</v>
      </c>
      <c r="AB450" t="str">
        <f t="shared" si="48"/>
        <v>PK-BA</v>
      </c>
    </row>
    <row r="451" spans="1:28" x14ac:dyDescent="0.25">
      <c r="A451" s="2">
        <v>45173</v>
      </c>
      <c r="B451" t="s">
        <v>29</v>
      </c>
      <c r="C451" t="s">
        <v>60</v>
      </c>
      <c r="D451" t="s">
        <v>12</v>
      </c>
      <c r="E451" t="s">
        <v>18</v>
      </c>
      <c r="F451" t="s">
        <v>27</v>
      </c>
      <c r="G451" t="s">
        <v>44</v>
      </c>
      <c r="H451">
        <v>2</v>
      </c>
      <c r="I451" s="1">
        <v>2713.34</v>
      </c>
      <c r="J451" s="1">
        <f t="shared" ref="J451:J514" si="51">L451*90%</f>
        <v>4884.0120000000006</v>
      </c>
      <c r="K451" s="1">
        <f t="shared" ref="K451:K514" si="52">L451*10%</f>
        <v>542.66800000000001</v>
      </c>
      <c r="L451" s="1">
        <v>5426.68</v>
      </c>
      <c r="M451" s="1">
        <f t="shared" ref="M451:M514" si="53">L451*18%</f>
        <v>976.80240000000003</v>
      </c>
      <c r="N451" s="1">
        <f t="shared" ref="N451:N514" si="54">L451+M451</f>
        <v>6403.4824000000008</v>
      </c>
      <c r="S451" t="str">
        <f t="shared" si="49"/>
        <v>Sindh</v>
      </c>
      <c r="W451" t="str">
        <f t="shared" si="50"/>
        <v>South</v>
      </c>
      <c r="AB451" t="str">
        <f t="shared" ref="AB451:AB514" si="55">VLOOKUP(D451,$Z$2:$AA$5,2,FALSE)</f>
        <v>PK-SD</v>
      </c>
    </row>
    <row r="452" spans="1:28" x14ac:dyDescent="0.25">
      <c r="A452" s="2">
        <v>45259</v>
      </c>
      <c r="B452" t="s">
        <v>31</v>
      </c>
      <c r="C452" t="s">
        <v>54</v>
      </c>
      <c r="D452" t="s">
        <v>12</v>
      </c>
      <c r="E452" t="s">
        <v>18</v>
      </c>
      <c r="F452" t="s">
        <v>19</v>
      </c>
      <c r="G452" t="s">
        <v>20</v>
      </c>
      <c r="H452">
        <v>17</v>
      </c>
      <c r="I452" s="1">
        <v>1294.56</v>
      </c>
      <c r="J452" s="1">
        <f t="shared" si="51"/>
        <v>19806.768</v>
      </c>
      <c r="K452" s="1">
        <f t="shared" si="52"/>
        <v>2200.752</v>
      </c>
      <c r="L452" s="1">
        <v>22007.52</v>
      </c>
      <c r="M452" s="1">
        <f t="shared" si="53"/>
        <v>3961.3535999999999</v>
      </c>
      <c r="N452" s="1">
        <f t="shared" si="54"/>
        <v>25968.873599999999</v>
      </c>
      <c r="S452" t="str">
        <f t="shared" si="49"/>
        <v>Sindh</v>
      </c>
      <c r="W452" t="str">
        <f t="shared" si="50"/>
        <v>South</v>
      </c>
      <c r="AB452" t="str">
        <f t="shared" si="55"/>
        <v>PK-SD</v>
      </c>
    </row>
    <row r="453" spans="1:28" x14ac:dyDescent="0.25">
      <c r="A453" s="2">
        <v>45229</v>
      </c>
      <c r="B453" t="s">
        <v>29</v>
      </c>
      <c r="C453" t="s">
        <v>26</v>
      </c>
      <c r="D453" t="s">
        <v>12</v>
      </c>
      <c r="E453" t="s">
        <v>18</v>
      </c>
      <c r="F453" t="s">
        <v>19</v>
      </c>
      <c r="G453" t="s">
        <v>20</v>
      </c>
      <c r="H453">
        <v>8</v>
      </c>
      <c r="I453" s="1">
        <v>1171.53</v>
      </c>
      <c r="J453" s="1">
        <f t="shared" si="51"/>
        <v>8435.0159999999996</v>
      </c>
      <c r="K453" s="1">
        <f t="shared" si="52"/>
        <v>937.22400000000005</v>
      </c>
      <c r="L453" s="1">
        <v>9372.24</v>
      </c>
      <c r="M453" s="1">
        <f t="shared" si="53"/>
        <v>1687.0031999999999</v>
      </c>
      <c r="N453" s="1">
        <f t="shared" si="54"/>
        <v>11059.243199999999</v>
      </c>
      <c r="S453" t="str">
        <f t="shared" si="49"/>
        <v>Sindh</v>
      </c>
      <c r="W453" t="str">
        <f t="shared" si="50"/>
        <v>South</v>
      </c>
      <c r="AB453" t="str">
        <f t="shared" si="55"/>
        <v>PK-SD</v>
      </c>
    </row>
    <row r="454" spans="1:28" x14ac:dyDescent="0.25">
      <c r="A454" s="2">
        <v>44943</v>
      </c>
      <c r="B454" t="s">
        <v>38</v>
      </c>
      <c r="C454" t="s">
        <v>58</v>
      </c>
      <c r="D454" t="s">
        <v>12</v>
      </c>
      <c r="E454" t="s">
        <v>18</v>
      </c>
      <c r="F454" t="s">
        <v>23</v>
      </c>
      <c r="G454" t="s">
        <v>47</v>
      </c>
      <c r="H454">
        <v>15</v>
      </c>
      <c r="I454" s="1">
        <v>4060.63</v>
      </c>
      <c r="J454" s="1">
        <f t="shared" si="51"/>
        <v>54818.504999999997</v>
      </c>
      <c r="K454" s="1">
        <f t="shared" si="52"/>
        <v>6090.9449999999997</v>
      </c>
      <c r="L454" s="1">
        <v>60909.45</v>
      </c>
      <c r="M454" s="1">
        <f t="shared" si="53"/>
        <v>10963.700999999999</v>
      </c>
      <c r="N454" s="1">
        <f t="shared" si="54"/>
        <v>71873.150999999998</v>
      </c>
      <c r="S454" t="str">
        <f t="shared" si="49"/>
        <v>Sindh</v>
      </c>
      <c r="W454" t="str">
        <f t="shared" si="50"/>
        <v>South</v>
      </c>
      <c r="AB454" t="str">
        <f t="shared" si="55"/>
        <v>PK-SD</v>
      </c>
    </row>
    <row r="455" spans="1:28" x14ac:dyDescent="0.25">
      <c r="A455" s="2">
        <v>45028</v>
      </c>
      <c r="B455" t="s">
        <v>31</v>
      </c>
      <c r="C455" t="s">
        <v>11</v>
      </c>
      <c r="D455" t="s">
        <v>22</v>
      </c>
      <c r="E455" t="s">
        <v>13</v>
      </c>
      <c r="F455" t="s">
        <v>27</v>
      </c>
      <c r="G455" t="s">
        <v>28</v>
      </c>
      <c r="H455">
        <v>4</v>
      </c>
      <c r="I455" s="1">
        <v>442.23</v>
      </c>
      <c r="J455" s="1">
        <f t="shared" si="51"/>
        <v>1592.028</v>
      </c>
      <c r="K455" s="1">
        <f t="shared" si="52"/>
        <v>176.89200000000002</v>
      </c>
      <c r="L455" s="1">
        <v>1768.92</v>
      </c>
      <c r="M455" s="1">
        <f t="shared" si="53"/>
        <v>318.40559999999999</v>
      </c>
      <c r="N455" s="1">
        <f t="shared" si="54"/>
        <v>2087.3256000000001</v>
      </c>
      <c r="S455" t="str">
        <f t="shared" si="49"/>
        <v>Balochistan</v>
      </c>
      <c r="W455" t="str">
        <f t="shared" si="50"/>
        <v>West</v>
      </c>
      <c r="AB455" t="str">
        <f t="shared" si="55"/>
        <v>PK-BA</v>
      </c>
    </row>
    <row r="456" spans="1:28" x14ac:dyDescent="0.25">
      <c r="A456" s="2">
        <v>45260</v>
      </c>
      <c r="B456" t="s">
        <v>38</v>
      </c>
      <c r="C456" t="s">
        <v>11</v>
      </c>
      <c r="D456" t="s">
        <v>22</v>
      </c>
      <c r="E456" t="s">
        <v>13</v>
      </c>
      <c r="F456" t="s">
        <v>19</v>
      </c>
      <c r="G456" t="s">
        <v>30</v>
      </c>
      <c r="H456">
        <v>5</v>
      </c>
      <c r="I456" s="1">
        <v>3725.36</v>
      </c>
      <c r="J456" s="1">
        <f t="shared" si="51"/>
        <v>16764.12</v>
      </c>
      <c r="K456" s="1">
        <f t="shared" si="52"/>
        <v>1862.68</v>
      </c>
      <c r="L456" s="1">
        <v>18626.8</v>
      </c>
      <c r="M456" s="1">
        <f t="shared" si="53"/>
        <v>3352.8239999999996</v>
      </c>
      <c r="N456" s="1">
        <f t="shared" si="54"/>
        <v>21979.624</v>
      </c>
      <c r="S456" t="str">
        <f t="shared" si="49"/>
        <v>Balochistan</v>
      </c>
      <c r="W456" t="str">
        <f t="shared" si="50"/>
        <v>West</v>
      </c>
      <c r="AB456" t="str">
        <f t="shared" si="55"/>
        <v>PK-BA</v>
      </c>
    </row>
    <row r="457" spans="1:28" x14ac:dyDescent="0.25">
      <c r="A457" s="2">
        <v>44940</v>
      </c>
      <c r="B457" t="s">
        <v>38</v>
      </c>
      <c r="C457" t="s">
        <v>35</v>
      </c>
      <c r="D457" t="s">
        <v>65</v>
      </c>
      <c r="E457" t="s">
        <v>64</v>
      </c>
      <c r="F457" t="s">
        <v>23</v>
      </c>
      <c r="G457" t="s">
        <v>24</v>
      </c>
      <c r="H457">
        <v>20</v>
      </c>
      <c r="I457" s="1">
        <v>2974.89</v>
      </c>
      <c r="J457" s="1">
        <f t="shared" si="51"/>
        <v>53548.020000000004</v>
      </c>
      <c r="K457" s="1">
        <f t="shared" si="52"/>
        <v>5949.7800000000007</v>
      </c>
      <c r="L457" s="1">
        <v>59497.8</v>
      </c>
      <c r="M457" s="1">
        <f t="shared" si="53"/>
        <v>10709.603999999999</v>
      </c>
      <c r="N457" s="1">
        <f t="shared" si="54"/>
        <v>70207.40400000001</v>
      </c>
      <c r="S457" t="str">
        <f t="shared" si="49"/>
        <v>Punjab</v>
      </c>
      <c r="W457" t="str">
        <f t="shared" si="50"/>
        <v>East</v>
      </c>
      <c r="AB457" t="str">
        <f t="shared" si="55"/>
        <v>PK-PB</v>
      </c>
    </row>
    <row r="458" spans="1:28" x14ac:dyDescent="0.25">
      <c r="A458" s="2">
        <v>45110</v>
      </c>
      <c r="B458" t="s">
        <v>38</v>
      </c>
      <c r="C458" t="s">
        <v>55</v>
      </c>
      <c r="D458" t="s">
        <v>66</v>
      </c>
      <c r="E458" t="s">
        <v>41</v>
      </c>
      <c r="F458" t="s">
        <v>23</v>
      </c>
      <c r="G458" t="s">
        <v>47</v>
      </c>
      <c r="H458">
        <v>1</v>
      </c>
      <c r="I458" s="1">
        <v>1717.6</v>
      </c>
      <c r="J458" s="1">
        <f t="shared" si="51"/>
        <v>1545.84</v>
      </c>
      <c r="K458" s="1">
        <f t="shared" si="52"/>
        <v>171.76</v>
      </c>
      <c r="L458" s="1">
        <v>1717.6</v>
      </c>
      <c r="M458" s="1">
        <f t="shared" si="53"/>
        <v>309.16799999999995</v>
      </c>
      <c r="N458" s="1">
        <f t="shared" si="54"/>
        <v>2026.7679999999998</v>
      </c>
      <c r="S458" t="str">
        <f t="shared" si="49"/>
        <v>Khyber Pakhtunkhwa</v>
      </c>
      <c r="W458" t="str">
        <f t="shared" si="50"/>
        <v>North</v>
      </c>
      <c r="AB458" t="str">
        <f t="shared" si="55"/>
        <v>Khyber Pakhtunkhwa</v>
      </c>
    </row>
    <row r="459" spans="1:28" x14ac:dyDescent="0.25">
      <c r="A459" s="2">
        <v>44991</v>
      </c>
      <c r="B459" t="s">
        <v>34</v>
      </c>
      <c r="C459" t="s">
        <v>26</v>
      </c>
      <c r="D459" t="s">
        <v>12</v>
      </c>
      <c r="E459" t="s">
        <v>18</v>
      </c>
      <c r="F459" t="s">
        <v>14</v>
      </c>
      <c r="G459" t="s">
        <v>53</v>
      </c>
      <c r="H459">
        <v>5</v>
      </c>
      <c r="I459" s="1">
        <v>2849.56</v>
      </c>
      <c r="J459" s="1">
        <f t="shared" si="51"/>
        <v>12823.02</v>
      </c>
      <c r="K459" s="1">
        <f t="shared" si="52"/>
        <v>1424.78</v>
      </c>
      <c r="L459" s="1">
        <v>14247.8</v>
      </c>
      <c r="M459" s="1">
        <f t="shared" si="53"/>
        <v>2564.6039999999998</v>
      </c>
      <c r="N459" s="1">
        <f t="shared" si="54"/>
        <v>16812.403999999999</v>
      </c>
      <c r="S459" t="str">
        <f t="shared" si="49"/>
        <v>Sindh</v>
      </c>
      <c r="W459" t="str">
        <f t="shared" si="50"/>
        <v>South</v>
      </c>
      <c r="AB459" t="str">
        <f t="shared" si="55"/>
        <v>PK-SD</v>
      </c>
    </row>
    <row r="460" spans="1:28" x14ac:dyDescent="0.25">
      <c r="A460" s="2">
        <v>45190</v>
      </c>
      <c r="B460" t="s">
        <v>10</v>
      </c>
      <c r="C460" t="s">
        <v>60</v>
      </c>
      <c r="D460" t="s">
        <v>12</v>
      </c>
      <c r="E460" t="s">
        <v>18</v>
      </c>
      <c r="F460" t="s">
        <v>19</v>
      </c>
      <c r="G460" t="s">
        <v>20</v>
      </c>
      <c r="H460">
        <v>18</v>
      </c>
      <c r="I460" s="1">
        <v>4150.7700000000004</v>
      </c>
      <c r="J460" s="1">
        <f t="shared" si="51"/>
        <v>67242.474000000002</v>
      </c>
      <c r="K460" s="1">
        <f t="shared" si="52"/>
        <v>7471.3860000000004</v>
      </c>
      <c r="L460" s="1">
        <v>74713.86</v>
      </c>
      <c r="M460" s="1">
        <f t="shared" si="53"/>
        <v>13448.4948</v>
      </c>
      <c r="N460" s="1">
        <f t="shared" si="54"/>
        <v>88162.354800000001</v>
      </c>
      <c r="S460" t="str">
        <f t="shared" si="49"/>
        <v>Sindh</v>
      </c>
      <c r="W460" t="str">
        <f t="shared" si="50"/>
        <v>South</v>
      </c>
      <c r="AB460" t="str">
        <f t="shared" si="55"/>
        <v>PK-SD</v>
      </c>
    </row>
    <row r="461" spans="1:28" x14ac:dyDescent="0.25">
      <c r="A461" s="2">
        <v>45134</v>
      </c>
      <c r="B461" t="s">
        <v>34</v>
      </c>
      <c r="C461" t="s">
        <v>59</v>
      </c>
      <c r="D461" t="s">
        <v>66</v>
      </c>
      <c r="E461" t="s">
        <v>41</v>
      </c>
      <c r="F461" t="s">
        <v>19</v>
      </c>
      <c r="G461" t="s">
        <v>52</v>
      </c>
      <c r="H461">
        <v>18</v>
      </c>
      <c r="I461" s="1">
        <v>2490.14</v>
      </c>
      <c r="J461" s="1">
        <f t="shared" si="51"/>
        <v>40340.267999999996</v>
      </c>
      <c r="K461" s="1">
        <f t="shared" si="52"/>
        <v>4482.2519999999995</v>
      </c>
      <c r="L461" s="1">
        <v>44822.52</v>
      </c>
      <c r="M461" s="1">
        <f t="shared" si="53"/>
        <v>8068.0535999999993</v>
      </c>
      <c r="N461" s="1">
        <f t="shared" si="54"/>
        <v>52890.573599999996</v>
      </c>
      <c r="S461" t="str">
        <f t="shared" si="49"/>
        <v>Khyber Pakhtunkhwa</v>
      </c>
      <c r="W461" t="str">
        <f t="shared" si="50"/>
        <v>North</v>
      </c>
      <c r="AB461" t="str">
        <f t="shared" si="55"/>
        <v>Khyber Pakhtunkhwa</v>
      </c>
    </row>
    <row r="462" spans="1:28" x14ac:dyDescent="0.25">
      <c r="A462" s="2">
        <v>44945</v>
      </c>
      <c r="B462" t="s">
        <v>34</v>
      </c>
      <c r="C462" t="s">
        <v>61</v>
      </c>
      <c r="D462" t="s">
        <v>65</v>
      </c>
      <c r="E462" t="s">
        <v>64</v>
      </c>
      <c r="F462" t="s">
        <v>19</v>
      </c>
      <c r="G462" t="s">
        <v>20</v>
      </c>
      <c r="H462">
        <v>17</v>
      </c>
      <c r="I462" s="1">
        <v>500.54</v>
      </c>
      <c r="J462" s="1">
        <f t="shared" si="51"/>
        <v>7658.2620000000006</v>
      </c>
      <c r="K462" s="1">
        <f t="shared" si="52"/>
        <v>850.91800000000012</v>
      </c>
      <c r="L462" s="1">
        <v>8509.18</v>
      </c>
      <c r="M462" s="1">
        <f t="shared" si="53"/>
        <v>1531.6523999999999</v>
      </c>
      <c r="N462" s="1">
        <f t="shared" si="54"/>
        <v>10040.832399999999</v>
      </c>
      <c r="S462" t="str">
        <f t="shared" si="49"/>
        <v>Punjab</v>
      </c>
      <c r="W462" t="str">
        <f t="shared" si="50"/>
        <v>East</v>
      </c>
      <c r="AB462" t="str">
        <f t="shared" si="55"/>
        <v>PK-PB</v>
      </c>
    </row>
    <row r="463" spans="1:28" x14ac:dyDescent="0.25">
      <c r="A463" s="2">
        <v>45091</v>
      </c>
      <c r="B463" t="s">
        <v>43</v>
      </c>
      <c r="C463" t="s">
        <v>58</v>
      </c>
      <c r="D463" t="s">
        <v>12</v>
      </c>
      <c r="E463" t="s">
        <v>18</v>
      </c>
      <c r="F463" t="s">
        <v>32</v>
      </c>
      <c r="G463" t="s">
        <v>49</v>
      </c>
      <c r="H463">
        <v>19</v>
      </c>
      <c r="I463" s="1">
        <v>1067.94</v>
      </c>
      <c r="J463" s="1">
        <f t="shared" si="51"/>
        <v>18261.774000000001</v>
      </c>
      <c r="K463" s="1">
        <f t="shared" si="52"/>
        <v>2029.0860000000002</v>
      </c>
      <c r="L463" s="1">
        <v>20290.86</v>
      </c>
      <c r="M463" s="1">
        <f t="shared" si="53"/>
        <v>3652.3548000000001</v>
      </c>
      <c r="N463" s="1">
        <f t="shared" si="54"/>
        <v>23943.214800000002</v>
      </c>
      <c r="S463" t="str">
        <f t="shared" si="49"/>
        <v>Sindh</v>
      </c>
      <c r="W463" t="str">
        <f t="shared" si="50"/>
        <v>South</v>
      </c>
      <c r="AB463" t="str">
        <f t="shared" si="55"/>
        <v>PK-SD</v>
      </c>
    </row>
    <row r="464" spans="1:28" x14ac:dyDescent="0.25">
      <c r="A464" s="2">
        <v>45244</v>
      </c>
      <c r="B464" t="s">
        <v>43</v>
      </c>
      <c r="C464" t="s">
        <v>62</v>
      </c>
      <c r="D464" t="s">
        <v>65</v>
      </c>
      <c r="E464" t="s">
        <v>64</v>
      </c>
      <c r="F464" t="s">
        <v>27</v>
      </c>
      <c r="G464" t="s">
        <v>44</v>
      </c>
      <c r="H464">
        <v>7</v>
      </c>
      <c r="I464" s="1">
        <v>2264.87</v>
      </c>
      <c r="J464" s="1">
        <f t="shared" si="51"/>
        <v>14268.681</v>
      </c>
      <c r="K464" s="1">
        <f t="shared" si="52"/>
        <v>1585.4090000000001</v>
      </c>
      <c r="L464" s="1">
        <v>15854.09</v>
      </c>
      <c r="M464" s="1">
        <f t="shared" si="53"/>
        <v>2853.7361999999998</v>
      </c>
      <c r="N464" s="1">
        <f t="shared" si="54"/>
        <v>18707.8262</v>
      </c>
      <c r="S464" t="str">
        <f t="shared" si="49"/>
        <v>Punjab</v>
      </c>
      <c r="W464" t="str">
        <f t="shared" si="50"/>
        <v>East</v>
      </c>
      <c r="AB464" t="str">
        <f t="shared" si="55"/>
        <v>PK-PB</v>
      </c>
    </row>
    <row r="465" spans="1:28" x14ac:dyDescent="0.25">
      <c r="A465" s="2">
        <v>44969</v>
      </c>
      <c r="B465" t="s">
        <v>16</v>
      </c>
      <c r="C465" t="s">
        <v>61</v>
      </c>
      <c r="D465" t="s">
        <v>65</v>
      </c>
      <c r="E465" t="s">
        <v>64</v>
      </c>
      <c r="F465" t="s">
        <v>27</v>
      </c>
      <c r="G465" t="s">
        <v>42</v>
      </c>
      <c r="H465">
        <v>18</v>
      </c>
      <c r="I465" s="1">
        <v>2584.0700000000002</v>
      </c>
      <c r="J465" s="1">
        <f t="shared" si="51"/>
        <v>41861.934000000001</v>
      </c>
      <c r="K465" s="1">
        <f t="shared" si="52"/>
        <v>4651.326</v>
      </c>
      <c r="L465" s="1">
        <v>46513.26</v>
      </c>
      <c r="M465" s="1">
        <f t="shared" si="53"/>
        <v>8372.3868000000002</v>
      </c>
      <c r="N465" s="1">
        <f t="shared" si="54"/>
        <v>54885.646800000002</v>
      </c>
      <c r="S465" t="str">
        <f t="shared" si="49"/>
        <v>Punjab</v>
      </c>
      <c r="W465" t="str">
        <f t="shared" si="50"/>
        <v>East</v>
      </c>
      <c r="AB465" t="str">
        <f t="shared" si="55"/>
        <v>PK-PB</v>
      </c>
    </row>
    <row r="466" spans="1:28" x14ac:dyDescent="0.25">
      <c r="A466" s="2">
        <v>45091</v>
      </c>
      <c r="B466" t="s">
        <v>43</v>
      </c>
      <c r="C466" t="s">
        <v>54</v>
      </c>
      <c r="D466" t="s">
        <v>12</v>
      </c>
      <c r="E466" t="s">
        <v>18</v>
      </c>
      <c r="F466" t="s">
        <v>19</v>
      </c>
      <c r="G466" t="s">
        <v>48</v>
      </c>
      <c r="H466">
        <v>13</v>
      </c>
      <c r="I466" s="1">
        <v>4621.13</v>
      </c>
      <c r="J466" s="1">
        <f t="shared" si="51"/>
        <v>54067.221000000005</v>
      </c>
      <c r="K466" s="1">
        <f t="shared" si="52"/>
        <v>6007.469000000001</v>
      </c>
      <c r="L466" s="1">
        <v>60074.69</v>
      </c>
      <c r="M466" s="1">
        <f t="shared" si="53"/>
        <v>10813.4442</v>
      </c>
      <c r="N466" s="1">
        <f t="shared" si="54"/>
        <v>70888.1342</v>
      </c>
      <c r="S466" t="str">
        <f t="shared" si="49"/>
        <v>Sindh</v>
      </c>
      <c r="W466" t="str">
        <f t="shared" si="50"/>
        <v>South</v>
      </c>
      <c r="AB466" t="str">
        <f t="shared" si="55"/>
        <v>PK-SD</v>
      </c>
    </row>
    <row r="467" spans="1:28" x14ac:dyDescent="0.25">
      <c r="A467" s="2">
        <v>45181</v>
      </c>
      <c r="B467" t="s">
        <v>16</v>
      </c>
      <c r="C467" t="s">
        <v>61</v>
      </c>
      <c r="D467" t="s">
        <v>65</v>
      </c>
      <c r="E467" t="s">
        <v>64</v>
      </c>
      <c r="F467" t="s">
        <v>27</v>
      </c>
      <c r="G467" t="s">
        <v>28</v>
      </c>
      <c r="H467">
        <v>16</v>
      </c>
      <c r="I467" s="1">
        <v>4826.2</v>
      </c>
      <c r="J467" s="1">
        <f t="shared" si="51"/>
        <v>69497.279999999999</v>
      </c>
      <c r="K467" s="1">
        <f t="shared" si="52"/>
        <v>7721.92</v>
      </c>
      <c r="L467" s="1">
        <v>77219.199999999997</v>
      </c>
      <c r="M467" s="1">
        <f t="shared" si="53"/>
        <v>13899.455999999998</v>
      </c>
      <c r="N467" s="1">
        <f t="shared" si="54"/>
        <v>91118.655999999988</v>
      </c>
      <c r="S467" t="str">
        <f t="shared" si="49"/>
        <v>Punjab</v>
      </c>
      <c r="W467" t="str">
        <f t="shared" si="50"/>
        <v>East</v>
      </c>
      <c r="AB467" t="str">
        <f t="shared" si="55"/>
        <v>PK-PB</v>
      </c>
    </row>
    <row r="468" spans="1:28" x14ac:dyDescent="0.25">
      <c r="A468" s="2">
        <v>45082</v>
      </c>
      <c r="B468" t="s">
        <v>29</v>
      </c>
      <c r="C468" t="s">
        <v>57</v>
      </c>
      <c r="D468" t="s">
        <v>22</v>
      </c>
      <c r="E468" t="s">
        <v>13</v>
      </c>
      <c r="F468" t="s">
        <v>32</v>
      </c>
      <c r="G468" t="s">
        <v>36</v>
      </c>
      <c r="H468">
        <v>5</v>
      </c>
      <c r="I468" s="1">
        <v>4773.5600000000004</v>
      </c>
      <c r="J468" s="1">
        <f t="shared" si="51"/>
        <v>21481.02</v>
      </c>
      <c r="K468" s="1">
        <f t="shared" si="52"/>
        <v>2386.7800000000002</v>
      </c>
      <c r="L468" s="1">
        <v>23867.8</v>
      </c>
      <c r="M468" s="1">
        <f t="shared" si="53"/>
        <v>4296.2039999999997</v>
      </c>
      <c r="N468" s="1">
        <f t="shared" si="54"/>
        <v>28164.004000000001</v>
      </c>
      <c r="S468" t="str">
        <f t="shared" si="49"/>
        <v>Balochistan</v>
      </c>
      <c r="W468" t="str">
        <f t="shared" si="50"/>
        <v>West</v>
      </c>
      <c r="AB468" t="str">
        <f t="shared" si="55"/>
        <v>PK-BA</v>
      </c>
    </row>
    <row r="469" spans="1:28" x14ac:dyDescent="0.25">
      <c r="A469" s="2">
        <v>45075</v>
      </c>
      <c r="B469" t="s">
        <v>43</v>
      </c>
      <c r="C469" t="s">
        <v>55</v>
      </c>
      <c r="D469" t="s">
        <v>66</v>
      </c>
      <c r="E469" t="s">
        <v>41</v>
      </c>
      <c r="F469" t="s">
        <v>27</v>
      </c>
      <c r="G469" t="s">
        <v>44</v>
      </c>
      <c r="H469">
        <v>9</v>
      </c>
      <c r="I469" s="1">
        <v>3220.44</v>
      </c>
      <c r="J469" s="1">
        <f t="shared" si="51"/>
        <v>26085.563999999998</v>
      </c>
      <c r="K469" s="1">
        <f t="shared" si="52"/>
        <v>2898.3960000000002</v>
      </c>
      <c r="L469" s="1">
        <v>28983.96</v>
      </c>
      <c r="M469" s="1">
        <f t="shared" si="53"/>
        <v>5217.1127999999999</v>
      </c>
      <c r="N469" s="1">
        <f t="shared" si="54"/>
        <v>34201.072800000002</v>
      </c>
      <c r="S469" t="str">
        <f t="shared" si="49"/>
        <v>Khyber Pakhtunkhwa</v>
      </c>
      <c r="W469" t="str">
        <f t="shared" si="50"/>
        <v>North</v>
      </c>
      <c r="AB469" t="str">
        <f t="shared" si="55"/>
        <v>Khyber Pakhtunkhwa</v>
      </c>
    </row>
    <row r="470" spans="1:28" x14ac:dyDescent="0.25">
      <c r="A470" s="2">
        <v>44953</v>
      </c>
      <c r="B470" t="s">
        <v>43</v>
      </c>
      <c r="C470" t="s">
        <v>56</v>
      </c>
      <c r="D470" t="s">
        <v>12</v>
      </c>
      <c r="E470" t="s">
        <v>18</v>
      </c>
      <c r="F470" t="s">
        <v>27</v>
      </c>
      <c r="G470" t="s">
        <v>42</v>
      </c>
      <c r="H470">
        <v>15</v>
      </c>
      <c r="I470" s="1">
        <v>4945.79</v>
      </c>
      <c r="J470" s="1">
        <f t="shared" si="51"/>
        <v>66768.165000000008</v>
      </c>
      <c r="K470" s="1">
        <f t="shared" si="52"/>
        <v>7418.6850000000013</v>
      </c>
      <c r="L470" s="1">
        <v>74186.850000000006</v>
      </c>
      <c r="M470" s="1">
        <f t="shared" si="53"/>
        <v>13353.633</v>
      </c>
      <c r="N470" s="1">
        <f t="shared" si="54"/>
        <v>87540.483000000007</v>
      </c>
      <c r="S470" t="str">
        <f t="shared" si="49"/>
        <v>Sindh</v>
      </c>
      <c r="W470" t="str">
        <f t="shared" si="50"/>
        <v>South</v>
      </c>
      <c r="AB470" t="str">
        <f t="shared" si="55"/>
        <v>PK-SD</v>
      </c>
    </row>
    <row r="471" spans="1:28" x14ac:dyDescent="0.25">
      <c r="A471" s="2">
        <v>44965</v>
      </c>
      <c r="B471" t="s">
        <v>25</v>
      </c>
      <c r="C471" t="s">
        <v>17</v>
      </c>
      <c r="D471" t="s">
        <v>65</v>
      </c>
      <c r="E471" t="s">
        <v>64</v>
      </c>
      <c r="F471" t="s">
        <v>23</v>
      </c>
      <c r="G471" t="s">
        <v>47</v>
      </c>
      <c r="H471">
        <v>14</v>
      </c>
      <c r="I471" s="1">
        <v>2355.56</v>
      </c>
      <c r="J471" s="1">
        <f t="shared" si="51"/>
        <v>29680.055999999997</v>
      </c>
      <c r="K471" s="1">
        <f t="shared" si="52"/>
        <v>3297.7839999999997</v>
      </c>
      <c r="L471" s="1">
        <v>32977.839999999997</v>
      </c>
      <c r="M471" s="1">
        <f t="shared" si="53"/>
        <v>5936.011199999999</v>
      </c>
      <c r="N471" s="1">
        <f t="shared" si="54"/>
        <v>38913.851199999997</v>
      </c>
      <c r="S471" t="str">
        <f t="shared" si="49"/>
        <v>Punjab</v>
      </c>
      <c r="W471" t="str">
        <f t="shared" si="50"/>
        <v>East</v>
      </c>
      <c r="AB471" t="str">
        <f t="shared" si="55"/>
        <v>PK-PB</v>
      </c>
    </row>
    <row r="472" spans="1:28" x14ac:dyDescent="0.25">
      <c r="A472" s="2">
        <v>45277</v>
      </c>
      <c r="B472" t="s">
        <v>16</v>
      </c>
      <c r="C472" t="s">
        <v>35</v>
      </c>
      <c r="D472" t="s">
        <v>65</v>
      </c>
      <c r="E472" t="s">
        <v>64</v>
      </c>
      <c r="F472" t="s">
        <v>23</v>
      </c>
      <c r="G472" t="s">
        <v>37</v>
      </c>
      <c r="H472">
        <v>4</v>
      </c>
      <c r="I472" s="1">
        <v>4412.41</v>
      </c>
      <c r="J472" s="1">
        <f t="shared" si="51"/>
        <v>15884.675999999999</v>
      </c>
      <c r="K472" s="1">
        <f t="shared" si="52"/>
        <v>1764.9639999999999</v>
      </c>
      <c r="L472" s="1">
        <v>17649.64</v>
      </c>
      <c r="M472" s="1">
        <f t="shared" si="53"/>
        <v>3176.9351999999999</v>
      </c>
      <c r="N472" s="1">
        <f t="shared" si="54"/>
        <v>20826.575199999999</v>
      </c>
      <c r="S472" t="str">
        <f t="shared" si="49"/>
        <v>Punjab</v>
      </c>
      <c r="W472" t="str">
        <f t="shared" si="50"/>
        <v>East</v>
      </c>
      <c r="AB472" t="str">
        <f t="shared" si="55"/>
        <v>PK-PB</v>
      </c>
    </row>
    <row r="473" spans="1:28" x14ac:dyDescent="0.25">
      <c r="A473" s="2">
        <v>45011</v>
      </c>
      <c r="B473" t="s">
        <v>38</v>
      </c>
      <c r="C473" t="s">
        <v>58</v>
      </c>
      <c r="D473" t="s">
        <v>12</v>
      </c>
      <c r="E473" t="s">
        <v>18</v>
      </c>
      <c r="F473" t="s">
        <v>19</v>
      </c>
      <c r="G473" t="s">
        <v>48</v>
      </c>
      <c r="H473">
        <v>5</v>
      </c>
      <c r="I473" s="1">
        <v>355.6</v>
      </c>
      <c r="J473" s="1">
        <f t="shared" si="51"/>
        <v>1600.2</v>
      </c>
      <c r="K473" s="1">
        <f t="shared" si="52"/>
        <v>177.8</v>
      </c>
      <c r="L473" s="1">
        <v>1778</v>
      </c>
      <c r="M473" s="1">
        <f t="shared" si="53"/>
        <v>320.03999999999996</v>
      </c>
      <c r="N473" s="1">
        <f t="shared" si="54"/>
        <v>2098.04</v>
      </c>
      <c r="S473" t="str">
        <f t="shared" si="49"/>
        <v>Sindh</v>
      </c>
      <c r="W473" t="str">
        <f t="shared" si="50"/>
        <v>South</v>
      </c>
      <c r="AB473" t="str">
        <f t="shared" si="55"/>
        <v>PK-SD</v>
      </c>
    </row>
    <row r="474" spans="1:28" x14ac:dyDescent="0.25">
      <c r="A474" s="2">
        <v>45168</v>
      </c>
      <c r="B474" t="s">
        <v>25</v>
      </c>
      <c r="C474" t="s">
        <v>11</v>
      </c>
      <c r="D474" t="s">
        <v>22</v>
      </c>
      <c r="E474" t="s">
        <v>13</v>
      </c>
      <c r="F474" t="s">
        <v>32</v>
      </c>
      <c r="G474" t="s">
        <v>33</v>
      </c>
      <c r="H474">
        <v>12</v>
      </c>
      <c r="I474" s="1">
        <v>4405.1899999999996</v>
      </c>
      <c r="J474" s="1">
        <f t="shared" si="51"/>
        <v>47576.052000000003</v>
      </c>
      <c r="K474" s="1">
        <f t="shared" si="52"/>
        <v>5286.2280000000001</v>
      </c>
      <c r="L474" s="1">
        <v>52862.28</v>
      </c>
      <c r="M474" s="1">
        <f t="shared" si="53"/>
        <v>9515.2103999999999</v>
      </c>
      <c r="N474" s="1">
        <f t="shared" si="54"/>
        <v>62377.490399999995</v>
      </c>
      <c r="S474" t="str">
        <f t="shared" si="49"/>
        <v>Balochistan</v>
      </c>
      <c r="W474" t="str">
        <f t="shared" si="50"/>
        <v>West</v>
      </c>
      <c r="AB474" t="str">
        <f t="shared" si="55"/>
        <v>PK-BA</v>
      </c>
    </row>
    <row r="475" spans="1:28" x14ac:dyDescent="0.25">
      <c r="A475" s="2">
        <v>45123</v>
      </c>
      <c r="B475" t="s">
        <v>16</v>
      </c>
      <c r="C475" t="s">
        <v>26</v>
      </c>
      <c r="D475" t="s">
        <v>12</v>
      </c>
      <c r="E475" t="s">
        <v>18</v>
      </c>
      <c r="F475" t="s">
        <v>27</v>
      </c>
      <c r="G475" t="s">
        <v>42</v>
      </c>
      <c r="H475">
        <v>9</v>
      </c>
      <c r="I475" s="1">
        <v>877.89</v>
      </c>
      <c r="J475" s="1">
        <f t="shared" si="51"/>
        <v>7110.9090000000006</v>
      </c>
      <c r="K475" s="1">
        <f t="shared" si="52"/>
        <v>790.10100000000011</v>
      </c>
      <c r="L475" s="1">
        <v>7901.01</v>
      </c>
      <c r="M475" s="1">
        <f t="shared" si="53"/>
        <v>1422.1818000000001</v>
      </c>
      <c r="N475" s="1">
        <f t="shared" si="54"/>
        <v>9323.1918000000005</v>
      </c>
      <c r="S475" t="str">
        <f t="shared" si="49"/>
        <v>Sindh</v>
      </c>
      <c r="W475" t="str">
        <f t="shared" si="50"/>
        <v>South</v>
      </c>
      <c r="AB475" t="str">
        <f t="shared" si="55"/>
        <v>PK-SD</v>
      </c>
    </row>
    <row r="476" spans="1:28" x14ac:dyDescent="0.25">
      <c r="A476" s="2">
        <v>45195</v>
      </c>
      <c r="B476" t="s">
        <v>16</v>
      </c>
      <c r="C476" t="s">
        <v>63</v>
      </c>
      <c r="D476" t="s">
        <v>65</v>
      </c>
      <c r="E476" t="s">
        <v>64</v>
      </c>
      <c r="F476" t="s">
        <v>23</v>
      </c>
      <c r="G476" t="s">
        <v>37</v>
      </c>
      <c r="H476">
        <v>1</v>
      </c>
      <c r="I476" s="1">
        <v>2970.66</v>
      </c>
      <c r="J476" s="1">
        <f t="shared" si="51"/>
        <v>2673.5940000000001</v>
      </c>
      <c r="K476" s="1">
        <f t="shared" si="52"/>
        <v>297.06599999999997</v>
      </c>
      <c r="L476" s="1">
        <v>2970.66</v>
      </c>
      <c r="M476" s="1">
        <f t="shared" si="53"/>
        <v>534.71879999999999</v>
      </c>
      <c r="N476" s="1">
        <f t="shared" si="54"/>
        <v>3505.3788</v>
      </c>
      <c r="S476" t="str">
        <f t="shared" si="49"/>
        <v>Punjab</v>
      </c>
      <c r="W476" t="str">
        <f t="shared" si="50"/>
        <v>East</v>
      </c>
      <c r="AB476" t="str">
        <f t="shared" si="55"/>
        <v>PK-PB</v>
      </c>
    </row>
    <row r="477" spans="1:28" x14ac:dyDescent="0.25">
      <c r="A477" s="2">
        <v>44940</v>
      </c>
      <c r="B477" t="s">
        <v>34</v>
      </c>
      <c r="C477" t="s">
        <v>11</v>
      </c>
      <c r="D477" t="s">
        <v>22</v>
      </c>
      <c r="E477" t="s">
        <v>13</v>
      </c>
      <c r="F477" t="s">
        <v>14</v>
      </c>
      <c r="G477" t="s">
        <v>51</v>
      </c>
      <c r="H477">
        <v>15</v>
      </c>
      <c r="I477" s="1">
        <v>3579.98</v>
      </c>
      <c r="J477" s="1">
        <f t="shared" si="51"/>
        <v>48329.729999999996</v>
      </c>
      <c r="K477" s="1">
        <f t="shared" si="52"/>
        <v>5369.97</v>
      </c>
      <c r="L477" s="1">
        <v>53699.7</v>
      </c>
      <c r="M477" s="1">
        <f t="shared" si="53"/>
        <v>9665.9459999999999</v>
      </c>
      <c r="N477" s="1">
        <f t="shared" si="54"/>
        <v>63365.645999999993</v>
      </c>
      <c r="S477" t="str">
        <f t="shared" si="49"/>
        <v>Balochistan</v>
      </c>
      <c r="W477" t="str">
        <f t="shared" si="50"/>
        <v>West</v>
      </c>
      <c r="AB477" t="str">
        <f t="shared" si="55"/>
        <v>PK-BA</v>
      </c>
    </row>
    <row r="478" spans="1:28" x14ac:dyDescent="0.25">
      <c r="A478" s="2">
        <v>45204</v>
      </c>
      <c r="B478" t="s">
        <v>43</v>
      </c>
      <c r="C478" t="s">
        <v>63</v>
      </c>
      <c r="D478" t="s">
        <v>65</v>
      </c>
      <c r="E478" t="s">
        <v>64</v>
      </c>
      <c r="F478" t="s">
        <v>32</v>
      </c>
      <c r="G478" t="s">
        <v>36</v>
      </c>
      <c r="H478">
        <v>9</v>
      </c>
      <c r="I478" s="1">
        <v>1605.02</v>
      </c>
      <c r="J478" s="1">
        <f t="shared" si="51"/>
        <v>13000.662</v>
      </c>
      <c r="K478" s="1">
        <f t="shared" si="52"/>
        <v>1444.518</v>
      </c>
      <c r="L478" s="1">
        <v>14445.18</v>
      </c>
      <c r="M478" s="1">
        <f t="shared" si="53"/>
        <v>2600.1324</v>
      </c>
      <c r="N478" s="1">
        <f t="shared" si="54"/>
        <v>17045.312399999999</v>
      </c>
      <c r="S478" t="str">
        <f t="shared" si="49"/>
        <v>Punjab</v>
      </c>
      <c r="W478" t="str">
        <f t="shared" si="50"/>
        <v>East</v>
      </c>
      <c r="AB478" t="str">
        <f t="shared" si="55"/>
        <v>PK-PB</v>
      </c>
    </row>
    <row r="479" spans="1:28" x14ac:dyDescent="0.25">
      <c r="A479" s="2">
        <v>45230</v>
      </c>
      <c r="B479" t="s">
        <v>10</v>
      </c>
      <c r="C479" t="s">
        <v>56</v>
      </c>
      <c r="D479" t="s">
        <v>12</v>
      </c>
      <c r="E479" t="s">
        <v>18</v>
      </c>
      <c r="F479" t="s">
        <v>32</v>
      </c>
      <c r="G479" t="s">
        <v>33</v>
      </c>
      <c r="H479">
        <v>12</v>
      </c>
      <c r="I479" s="1">
        <v>1982.64</v>
      </c>
      <c r="J479" s="1">
        <f t="shared" si="51"/>
        <v>21412.512000000002</v>
      </c>
      <c r="K479" s="1">
        <f t="shared" si="52"/>
        <v>2379.1680000000001</v>
      </c>
      <c r="L479" s="1">
        <v>23791.68</v>
      </c>
      <c r="M479" s="1">
        <f t="shared" si="53"/>
        <v>4282.5024000000003</v>
      </c>
      <c r="N479" s="1">
        <f t="shared" si="54"/>
        <v>28074.182400000002</v>
      </c>
      <c r="S479" t="str">
        <f t="shared" si="49"/>
        <v>Sindh</v>
      </c>
      <c r="W479" t="str">
        <f t="shared" si="50"/>
        <v>South</v>
      </c>
      <c r="AB479" t="str">
        <f t="shared" si="55"/>
        <v>PK-SD</v>
      </c>
    </row>
    <row r="480" spans="1:28" x14ac:dyDescent="0.25">
      <c r="A480" s="2">
        <v>45034</v>
      </c>
      <c r="B480" t="s">
        <v>40</v>
      </c>
      <c r="C480" t="s">
        <v>63</v>
      </c>
      <c r="D480" t="s">
        <v>65</v>
      </c>
      <c r="E480" t="s">
        <v>64</v>
      </c>
      <c r="F480" t="s">
        <v>19</v>
      </c>
      <c r="G480" t="s">
        <v>52</v>
      </c>
      <c r="H480">
        <v>20</v>
      </c>
      <c r="I480" s="1">
        <v>3195.53</v>
      </c>
      <c r="J480" s="1">
        <f t="shared" si="51"/>
        <v>57519.54</v>
      </c>
      <c r="K480" s="1">
        <f t="shared" si="52"/>
        <v>6391.06</v>
      </c>
      <c r="L480" s="1">
        <v>63910.6</v>
      </c>
      <c r="M480" s="1">
        <f t="shared" si="53"/>
        <v>11503.907999999999</v>
      </c>
      <c r="N480" s="1">
        <f t="shared" si="54"/>
        <v>75414.508000000002</v>
      </c>
      <c r="S480" t="str">
        <f t="shared" si="49"/>
        <v>Punjab</v>
      </c>
      <c r="W480" t="str">
        <f t="shared" si="50"/>
        <v>East</v>
      </c>
      <c r="AB480" t="str">
        <f t="shared" si="55"/>
        <v>PK-PB</v>
      </c>
    </row>
    <row r="481" spans="1:28" x14ac:dyDescent="0.25">
      <c r="A481" s="2">
        <v>45116</v>
      </c>
      <c r="B481" t="s">
        <v>43</v>
      </c>
      <c r="C481" t="s">
        <v>35</v>
      </c>
      <c r="D481" t="s">
        <v>65</v>
      </c>
      <c r="E481" t="s">
        <v>64</v>
      </c>
      <c r="F481" t="s">
        <v>27</v>
      </c>
      <c r="G481" t="s">
        <v>44</v>
      </c>
      <c r="H481">
        <v>20</v>
      </c>
      <c r="I481" s="1">
        <v>1580.59</v>
      </c>
      <c r="J481" s="1">
        <f t="shared" si="51"/>
        <v>28450.62</v>
      </c>
      <c r="K481" s="1">
        <f t="shared" si="52"/>
        <v>3161.1800000000003</v>
      </c>
      <c r="L481" s="1">
        <v>31611.8</v>
      </c>
      <c r="M481" s="1">
        <f t="shared" si="53"/>
        <v>5690.1239999999998</v>
      </c>
      <c r="N481" s="1">
        <f t="shared" si="54"/>
        <v>37301.923999999999</v>
      </c>
      <c r="S481" t="str">
        <f t="shared" si="49"/>
        <v>Punjab</v>
      </c>
      <c r="W481" t="str">
        <f t="shared" si="50"/>
        <v>East</v>
      </c>
      <c r="AB481" t="str">
        <f t="shared" si="55"/>
        <v>PK-PB</v>
      </c>
    </row>
    <row r="482" spans="1:28" x14ac:dyDescent="0.25">
      <c r="A482" s="2">
        <v>45224</v>
      </c>
      <c r="B482" t="s">
        <v>25</v>
      </c>
      <c r="C482" t="s">
        <v>62</v>
      </c>
      <c r="D482" t="s">
        <v>65</v>
      </c>
      <c r="E482" t="s">
        <v>64</v>
      </c>
      <c r="F482" t="s">
        <v>32</v>
      </c>
      <c r="G482" t="s">
        <v>49</v>
      </c>
      <c r="H482">
        <v>6</v>
      </c>
      <c r="I482" s="1">
        <v>809.57</v>
      </c>
      <c r="J482" s="1">
        <f t="shared" si="51"/>
        <v>4371.6779999999999</v>
      </c>
      <c r="K482" s="1">
        <f t="shared" si="52"/>
        <v>485.74200000000002</v>
      </c>
      <c r="L482" s="1">
        <v>4857.42</v>
      </c>
      <c r="M482" s="1">
        <f t="shared" si="53"/>
        <v>874.3356</v>
      </c>
      <c r="N482" s="1">
        <f t="shared" si="54"/>
        <v>5731.7556000000004</v>
      </c>
      <c r="S482" t="str">
        <f t="shared" si="49"/>
        <v>Punjab</v>
      </c>
      <c r="W482" t="str">
        <f t="shared" si="50"/>
        <v>East</v>
      </c>
      <c r="AB482" t="str">
        <f t="shared" si="55"/>
        <v>PK-PB</v>
      </c>
    </row>
    <row r="483" spans="1:28" x14ac:dyDescent="0.25">
      <c r="A483" s="2">
        <v>44978</v>
      </c>
      <c r="B483" t="s">
        <v>34</v>
      </c>
      <c r="C483" t="s">
        <v>59</v>
      </c>
      <c r="D483" t="s">
        <v>66</v>
      </c>
      <c r="E483" t="s">
        <v>41</v>
      </c>
      <c r="F483" t="s">
        <v>19</v>
      </c>
      <c r="G483" t="s">
        <v>30</v>
      </c>
      <c r="H483">
        <v>6</v>
      </c>
      <c r="I483" s="1">
        <v>1221.52</v>
      </c>
      <c r="J483" s="1">
        <f t="shared" si="51"/>
        <v>6596.2079999999996</v>
      </c>
      <c r="K483" s="1">
        <f t="shared" si="52"/>
        <v>732.91200000000003</v>
      </c>
      <c r="L483" s="1">
        <v>7329.12</v>
      </c>
      <c r="M483" s="1">
        <f t="shared" si="53"/>
        <v>1319.2415999999998</v>
      </c>
      <c r="N483" s="1">
        <f t="shared" si="54"/>
        <v>8648.3616000000002</v>
      </c>
      <c r="S483" t="str">
        <f t="shared" si="49"/>
        <v>Khyber Pakhtunkhwa</v>
      </c>
      <c r="W483" t="str">
        <f t="shared" si="50"/>
        <v>North</v>
      </c>
      <c r="AB483" t="str">
        <f t="shared" si="55"/>
        <v>Khyber Pakhtunkhwa</v>
      </c>
    </row>
    <row r="484" spans="1:28" x14ac:dyDescent="0.25">
      <c r="A484" s="2">
        <v>45143</v>
      </c>
      <c r="B484" t="s">
        <v>21</v>
      </c>
      <c r="C484" t="s">
        <v>57</v>
      </c>
      <c r="D484" t="s">
        <v>22</v>
      </c>
      <c r="E484" t="s">
        <v>13</v>
      </c>
      <c r="F484" t="s">
        <v>14</v>
      </c>
      <c r="G484" t="s">
        <v>15</v>
      </c>
      <c r="H484">
        <v>4</v>
      </c>
      <c r="I484" s="1">
        <v>2457.5</v>
      </c>
      <c r="J484" s="1">
        <f t="shared" si="51"/>
        <v>8847</v>
      </c>
      <c r="K484" s="1">
        <f t="shared" si="52"/>
        <v>983</v>
      </c>
      <c r="L484" s="1">
        <v>9830</v>
      </c>
      <c r="M484" s="1">
        <f t="shared" si="53"/>
        <v>1769.3999999999999</v>
      </c>
      <c r="N484" s="1">
        <f t="shared" si="54"/>
        <v>11599.4</v>
      </c>
      <c r="S484" t="str">
        <f t="shared" si="49"/>
        <v>Balochistan</v>
      </c>
      <c r="W484" t="str">
        <f t="shared" si="50"/>
        <v>West</v>
      </c>
      <c r="AB484" t="str">
        <f t="shared" si="55"/>
        <v>PK-BA</v>
      </c>
    </row>
    <row r="485" spans="1:28" x14ac:dyDescent="0.25">
      <c r="A485" s="2">
        <v>45145</v>
      </c>
      <c r="B485" t="s">
        <v>21</v>
      </c>
      <c r="C485" t="s">
        <v>62</v>
      </c>
      <c r="D485" t="s">
        <v>65</v>
      </c>
      <c r="E485" t="s">
        <v>64</v>
      </c>
      <c r="F485" t="s">
        <v>19</v>
      </c>
      <c r="G485" t="s">
        <v>52</v>
      </c>
      <c r="H485">
        <v>12</v>
      </c>
      <c r="I485" s="1">
        <v>2820.88</v>
      </c>
      <c r="J485" s="1">
        <f t="shared" si="51"/>
        <v>30465.503999999997</v>
      </c>
      <c r="K485" s="1">
        <f t="shared" si="52"/>
        <v>3385.056</v>
      </c>
      <c r="L485" s="1">
        <v>33850.559999999998</v>
      </c>
      <c r="M485" s="1">
        <f t="shared" si="53"/>
        <v>6093.1007999999993</v>
      </c>
      <c r="N485" s="1">
        <f t="shared" si="54"/>
        <v>39943.660799999998</v>
      </c>
      <c r="S485" t="str">
        <f t="shared" si="49"/>
        <v>Punjab</v>
      </c>
      <c r="W485" t="str">
        <f t="shared" si="50"/>
        <v>East</v>
      </c>
      <c r="AB485" t="str">
        <f t="shared" si="55"/>
        <v>PK-PB</v>
      </c>
    </row>
    <row r="486" spans="1:28" x14ac:dyDescent="0.25">
      <c r="A486" s="2">
        <v>45054</v>
      </c>
      <c r="B486" t="s">
        <v>40</v>
      </c>
      <c r="C486" t="s">
        <v>26</v>
      </c>
      <c r="D486" t="s">
        <v>12</v>
      </c>
      <c r="E486" t="s">
        <v>18</v>
      </c>
      <c r="F486" t="s">
        <v>19</v>
      </c>
      <c r="G486" t="s">
        <v>20</v>
      </c>
      <c r="H486">
        <v>10</v>
      </c>
      <c r="I486" s="1">
        <v>1512.64</v>
      </c>
      <c r="J486" s="1">
        <f t="shared" si="51"/>
        <v>13613.76</v>
      </c>
      <c r="K486" s="1">
        <f t="shared" si="52"/>
        <v>1512.64</v>
      </c>
      <c r="L486" s="1">
        <v>15126.4</v>
      </c>
      <c r="M486" s="1">
        <f t="shared" si="53"/>
        <v>2722.752</v>
      </c>
      <c r="N486" s="1">
        <f t="shared" si="54"/>
        <v>17849.151999999998</v>
      </c>
      <c r="S486" t="str">
        <f t="shared" si="49"/>
        <v>Sindh</v>
      </c>
      <c r="W486" t="str">
        <f t="shared" si="50"/>
        <v>South</v>
      </c>
      <c r="AB486" t="str">
        <f t="shared" si="55"/>
        <v>PK-SD</v>
      </c>
    </row>
    <row r="487" spans="1:28" x14ac:dyDescent="0.25">
      <c r="A487" s="2">
        <v>45034</v>
      </c>
      <c r="B487" t="s">
        <v>31</v>
      </c>
      <c r="C487" t="s">
        <v>58</v>
      </c>
      <c r="D487" t="s">
        <v>12</v>
      </c>
      <c r="E487" t="s">
        <v>18</v>
      </c>
      <c r="F487" t="s">
        <v>27</v>
      </c>
      <c r="G487" t="s">
        <v>28</v>
      </c>
      <c r="H487">
        <v>5</v>
      </c>
      <c r="I487" s="1">
        <v>3199.14</v>
      </c>
      <c r="J487" s="1">
        <f t="shared" si="51"/>
        <v>14396.130000000001</v>
      </c>
      <c r="K487" s="1">
        <f t="shared" si="52"/>
        <v>1599.5700000000002</v>
      </c>
      <c r="L487" s="1">
        <v>15995.7</v>
      </c>
      <c r="M487" s="1">
        <f t="shared" si="53"/>
        <v>2879.2260000000001</v>
      </c>
      <c r="N487" s="1">
        <f t="shared" si="54"/>
        <v>18874.925999999999</v>
      </c>
      <c r="S487" t="str">
        <f t="shared" si="49"/>
        <v>Sindh</v>
      </c>
      <c r="W487" t="str">
        <f t="shared" si="50"/>
        <v>South</v>
      </c>
      <c r="AB487" t="str">
        <f t="shared" si="55"/>
        <v>PK-SD</v>
      </c>
    </row>
    <row r="488" spans="1:28" x14ac:dyDescent="0.25">
      <c r="A488" s="2">
        <v>45251</v>
      </c>
      <c r="B488" t="s">
        <v>10</v>
      </c>
      <c r="C488" t="s">
        <v>35</v>
      </c>
      <c r="D488" t="s">
        <v>65</v>
      </c>
      <c r="E488" t="s">
        <v>64</v>
      </c>
      <c r="F488" t="s">
        <v>32</v>
      </c>
      <c r="G488" t="s">
        <v>50</v>
      </c>
      <c r="H488">
        <v>11</v>
      </c>
      <c r="I488" s="1">
        <v>4315</v>
      </c>
      <c r="J488" s="1">
        <f t="shared" si="51"/>
        <v>42718.5</v>
      </c>
      <c r="K488" s="1">
        <f t="shared" si="52"/>
        <v>4746.5</v>
      </c>
      <c r="L488" s="1">
        <v>47465</v>
      </c>
      <c r="M488" s="1">
        <f t="shared" si="53"/>
        <v>8543.6999999999989</v>
      </c>
      <c r="N488" s="1">
        <f t="shared" si="54"/>
        <v>56008.7</v>
      </c>
      <c r="S488" t="str">
        <f t="shared" si="49"/>
        <v>Punjab</v>
      </c>
      <c r="W488" t="str">
        <f t="shared" si="50"/>
        <v>East</v>
      </c>
      <c r="AB488" t="str">
        <f t="shared" si="55"/>
        <v>PK-PB</v>
      </c>
    </row>
    <row r="489" spans="1:28" x14ac:dyDescent="0.25">
      <c r="A489" s="2">
        <v>45235</v>
      </c>
      <c r="B489" t="s">
        <v>16</v>
      </c>
      <c r="C489" t="s">
        <v>11</v>
      </c>
      <c r="D489" t="s">
        <v>22</v>
      </c>
      <c r="E489" t="s">
        <v>13</v>
      </c>
      <c r="F489" t="s">
        <v>27</v>
      </c>
      <c r="G489" t="s">
        <v>44</v>
      </c>
      <c r="H489">
        <v>9</v>
      </c>
      <c r="I489" s="1">
        <v>2118.17</v>
      </c>
      <c r="J489" s="1">
        <f t="shared" si="51"/>
        <v>17157.177</v>
      </c>
      <c r="K489" s="1">
        <f t="shared" si="52"/>
        <v>1906.3530000000001</v>
      </c>
      <c r="L489" s="1">
        <v>19063.53</v>
      </c>
      <c r="M489" s="1">
        <f t="shared" si="53"/>
        <v>3431.4353999999998</v>
      </c>
      <c r="N489" s="1">
        <f t="shared" si="54"/>
        <v>22494.965399999997</v>
      </c>
      <c r="S489" t="str">
        <f t="shared" si="49"/>
        <v>Balochistan</v>
      </c>
      <c r="W489" t="str">
        <f t="shared" si="50"/>
        <v>West</v>
      </c>
      <c r="AB489" t="str">
        <f t="shared" si="55"/>
        <v>PK-BA</v>
      </c>
    </row>
    <row r="490" spans="1:28" x14ac:dyDescent="0.25">
      <c r="A490" s="2">
        <v>44930</v>
      </c>
      <c r="B490" t="s">
        <v>43</v>
      </c>
      <c r="C490" t="s">
        <v>58</v>
      </c>
      <c r="D490" t="s">
        <v>12</v>
      </c>
      <c r="E490" t="s">
        <v>18</v>
      </c>
      <c r="F490" t="s">
        <v>19</v>
      </c>
      <c r="G490" t="s">
        <v>30</v>
      </c>
      <c r="H490">
        <v>18</v>
      </c>
      <c r="I490" s="1">
        <v>1042.99</v>
      </c>
      <c r="J490" s="1">
        <f t="shared" si="51"/>
        <v>16896.438000000002</v>
      </c>
      <c r="K490" s="1">
        <f t="shared" si="52"/>
        <v>1877.3820000000001</v>
      </c>
      <c r="L490" s="1">
        <v>18773.82</v>
      </c>
      <c r="M490" s="1">
        <f t="shared" si="53"/>
        <v>3379.2875999999997</v>
      </c>
      <c r="N490" s="1">
        <f t="shared" si="54"/>
        <v>22153.107599999999</v>
      </c>
      <c r="S490" t="str">
        <f t="shared" si="49"/>
        <v>Sindh</v>
      </c>
      <c r="W490" t="str">
        <f t="shared" si="50"/>
        <v>South</v>
      </c>
      <c r="AB490" t="str">
        <f t="shared" si="55"/>
        <v>PK-SD</v>
      </c>
    </row>
    <row r="491" spans="1:28" x14ac:dyDescent="0.25">
      <c r="A491" s="2">
        <v>45247</v>
      </c>
      <c r="B491" t="s">
        <v>16</v>
      </c>
      <c r="C491" t="s">
        <v>61</v>
      </c>
      <c r="D491" t="s">
        <v>65</v>
      </c>
      <c r="E491" t="s">
        <v>64</v>
      </c>
      <c r="F491" t="s">
        <v>32</v>
      </c>
      <c r="G491" t="s">
        <v>50</v>
      </c>
      <c r="H491">
        <v>6</v>
      </c>
      <c r="I491" s="1">
        <v>4707.38</v>
      </c>
      <c r="J491" s="1">
        <f t="shared" si="51"/>
        <v>25419.851999999999</v>
      </c>
      <c r="K491" s="1">
        <f t="shared" si="52"/>
        <v>2824.4279999999999</v>
      </c>
      <c r="L491" s="1">
        <v>28244.28</v>
      </c>
      <c r="M491" s="1">
        <f t="shared" si="53"/>
        <v>5083.9703999999992</v>
      </c>
      <c r="N491" s="1">
        <f t="shared" si="54"/>
        <v>33328.250399999997</v>
      </c>
      <c r="S491" t="str">
        <f t="shared" si="49"/>
        <v>Punjab</v>
      </c>
      <c r="W491" t="str">
        <f t="shared" si="50"/>
        <v>East</v>
      </c>
      <c r="AB491" t="str">
        <f t="shared" si="55"/>
        <v>PK-PB</v>
      </c>
    </row>
    <row r="492" spans="1:28" x14ac:dyDescent="0.25">
      <c r="A492" s="2">
        <v>45246</v>
      </c>
      <c r="B492" t="s">
        <v>29</v>
      </c>
      <c r="C492" t="s">
        <v>11</v>
      </c>
      <c r="D492" t="s">
        <v>22</v>
      </c>
      <c r="E492" t="s">
        <v>13</v>
      </c>
      <c r="F492" t="s">
        <v>27</v>
      </c>
      <c r="G492" t="s">
        <v>44</v>
      </c>
      <c r="H492">
        <v>8</v>
      </c>
      <c r="I492" s="1">
        <v>360.87</v>
      </c>
      <c r="J492" s="1">
        <f t="shared" si="51"/>
        <v>2598.2640000000001</v>
      </c>
      <c r="K492" s="1">
        <f t="shared" si="52"/>
        <v>288.69600000000003</v>
      </c>
      <c r="L492" s="1">
        <v>2886.96</v>
      </c>
      <c r="M492" s="1">
        <f t="shared" si="53"/>
        <v>519.65279999999996</v>
      </c>
      <c r="N492" s="1">
        <f t="shared" si="54"/>
        <v>3406.6127999999999</v>
      </c>
      <c r="S492" t="str">
        <f t="shared" si="49"/>
        <v>Balochistan</v>
      </c>
      <c r="W492" t="str">
        <f t="shared" si="50"/>
        <v>West</v>
      </c>
      <c r="AB492" t="str">
        <f t="shared" si="55"/>
        <v>PK-BA</v>
      </c>
    </row>
    <row r="493" spans="1:28" x14ac:dyDescent="0.25">
      <c r="A493" s="2">
        <v>44965</v>
      </c>
      <c r="B493" t="s">
        <v>25</v>
      </c>
      <c r="C493" t="s">
        <v>56</v>
      </c>
      <c r="D493" t="s">
        <v>12</v>
      </c>
      <c r="E493" t="s">
        <v>18</v>
      </c>
      <c r="F493" t="s">
        <v>19</v>
      </c>
      <c r="G493" t="s">
        <v>48</v>
      </c>
      <c r="H493">
        <v>12</v>
      </c>
      <c r="I493" s="1">
        <v>2519.65</v>
      </c>
      <c r="J493" s="1">
        <f t="shared" si="51"/>
        <v>27212.22</v>
      </c>
      <c r="K493" s="1">
        <f t="shared" si="52"/>
        <v>3023.58</v>
      </c>
      <c r="L493" s="1">
        <v>30235.8</v>
      </c>
      <c r="M493" s="1">
        <f t="shared" si="53"/>
        <v>5442.4439999999995</v>
      </c>
      <c r="N493" s="1">
        <f t="shared" si="54"/>
        <v>35678.243999999999</v>
      </c>
      <c r="S493" t="str">
        <f t="shared" si="49"/>
        <v>Sindh</v>
      </c>
      <c r="W493" t="str">
        <f t="shared" si="50"/>
        <v>South</v>
      </c>
      <c r="AB493" t="str">
        <f t="shared" si="55"/>
        <v>PK-SD</v>
      </c>
    </row>
    <row r="494" spans="1:28" x14ac:dyDescent="0.25">
      <c r="A494" s="2">
        <v>45116</v>
      </c>
      <c r="B494" t="s">
        <v>21</v>
      </c>
      <c r="C494" t="s">
        <v>58</v>
      </c>
      <c r="D494" t="s">
        <v>12</v>
      </c>
      <c r="E494" t="s">
        <v>18</v>
      </c>
      <c r="F494" t="s">
        <v>19</v>
      </c>
      <c r="G494" t="s">
        <v>30</v>
      </c>
      <c r="H494">
        <v>7</v>
      </c>
      <c r="I494" s="1">
        <v>2861.67</v>
      </c>
      <c r="J494" s="1">
        <f t="shared" si="51"/>
        <v>18028.521000000001</v>
      </c>
      <c r="K494" s="1">
        <f t="shared" si="52"/>
        <v>2003.1689999999999</v>
      </c>
      <c r="L494" s="1">
        <v>20031.689999999999</v>
      </c>
      <c r="M494" s="1">
        <f t="shared" si="53"/>
        <v>3605.7041999999997</v>
      </c>
      <c r="N494" s="1">
        <f t="shared" si="54"/>
        <v>23637.394199999999</v>
      </c>
      <c r="S494" t="str">
        <f t="shared" si="49"/>
        <v>Sindh</v>
      </c>
      <c r="W494" t="str">
        <f t="shared" si="50"/>
        <v>South</v>
      </c>
      <c r="AB494" t="str">
        <f t="shared" si="55"/>
        <v>PK-SD</v>
      </c>
    </row>
    <row r="495" spans="1:28" x14ac:dyDescent="0.25">
      <c r="A495" s="2">
        <v>45104</v>
      </c>
      <c r="B495" t="s">
        <v>21</v>
      </c>
      <c r="C495" t="s">
        <v>26</v>
      </c>
      <c r="D495" t="s">
        <v>12</v>
      </c>
      <c r="E495" t="s">
        <v>18</v>
      </c>
      <c r="F495" t="s">
        <v>27</v>
      </c>
      <c r="G495" t="s">
        <v>42</v>
      </c>
      <c r="H495">
        <v>11</v>
      </c>
      <c r="I495" s="1">
        <v>4896.83</v>
      </c>
      <c r="J495" s="1">
        <f t="shared" si="51"/>
        <v>48478.616999999998</v>
      </c>
      <c r="K495" s="1">
        <f t="shared" si="52"/>
        <v>5386.5129999999999</v>
      </c>
      <c r="L495" s="1">
        <v>53865.13</v>
      </c>
      <c r="M495" s="1">
        <f t="shared" si="53"/>
        <v>9695.7233999999989</v>
      </c>
      <c r="N495" s="1">
        <f t="shared" si="54"/>
        <v>63560.853399999993</v>
      </c>
      <c r="S495" t="str">
        <f t="shared" si="49"/>
        <v>Sindh</v>
      </c>
      <c r="W495" t="str">
        <f t="shared" si="50"/>
        <v>South</v>
      </c>
      <c r="AB495" t="str">
        <f t="shared" si="55"/>
        <v>PK-SD</v>
      </c>
    </row>
    <row r="496" spans="1:28" x14ac:dyDescent="0.25">
      <c r="A496" s="2">
        <v>45091</v>
      </c>
      <c r="B496" t="s">
        <v>16</v>
      </c>
      <c r="C496" t="s">
        <v>35</v>
      </c>
      <c r="D496" t="s">
        <v>65</v>
      </c>
      <c r="E496" t="s">
        <v>64</v>
      </c>
      <c r="F496" t="s">
        <v>32</v>
      </c>
      <c r="G496" t="s">
        <v>36</v>
      </c>
      <c r="H496">
        <v>15</v>
      </c>
      <c r="I496" s="1">
        <v>4180.6099999999997</v>
      </c>
      <c r="J496" s="1">
        <f t="shared" si="51"/>
        <v>56438.235000000001</v>
      </c>
      <c r="K496" s="1">
        <f t="shared" si="52"/>
        <v>6270.9150000000009</v>
      </c>
      <c r="L496" s="1">
        <v>62709.15</v>
      </c>
      <c r="M496" s="1">
        <f t="shared" si="53"/>
        <v>11287.646999999999</v>
      </c>
      <c r="N496" s="1">
        <f t="shared" si="54"/>
        <v>73996.797000000006</v>
      </c>
      <c r="S496" t="str">
        <f t="shared" si="49"/>
        <v>Punjab</v>
      </c>
      <c r="W496" t="str">
        <f t="shared" si="50"/>
        <v>East</v>
      </c>
      <c r="AB496" t="str">
        <f t="shared" si="55"/>
        <v>PK-PB</v>
      </c>
    </row>
    <row r="497" spans="1:28" x14ac:dyDescent="0.25">
      <c r="A497" s="2">
        <v>45271</v>
      </c>
      <c r="B497" t="s">
        <v>31</v>
      </c>
      <c r="C497" t="s">
        <v>61</v>
      </c>
      <c r="D497" t="s">
        <v>65</v>
      </c>
      <c r="E497" t="s">
        <v>64</v>
      </c>
      <c r="F497" t="s">
        <v>27</v>
      </c>
      <c r="G497" t="s">
        <v>28</v>
      </c>
      <c r="H497">
        <v>2</v>
      </c>
      <c r="I497" s="1">
        <v>3747.71</v>
      </c>
      <c r="J497" s="1">
        <f t="shared" si="51"/>
        <v>6745.8780000000006</v>
      </c>
      <c r="K497" s="1">
        <f t="shared" si="52"/>
        <v>749.54200000000003</v>
      </c>
      <c r="L497" s="1">
        <v>7495.42</v>
      </c>
      <c r="M497" s="1">
        <f t="shared" si="53"/>
        <v>1349.1756</v>
      </c>
      <c r="N497" s="1">
        <f t="shared" si="54"/>
        <v>8844.5956000000006</v>
      </c>
      <c r="S497" t="str">
        <f t="shared" si="49"/>
        <v>Punjab</v>
      </c>
      <c r="W497" t="str">
        <f t="shared" si="50"/>
        <v>East</v>
      </c>
      <c r="AB497" t="str">
        <f t="shared" si="55"/>
        <v>PK-PB</v>
      </c>
    </row>
    <row r="498" spans="1:28" x14ac:dyDescent="0.25">
      <c r="A498" s="2">
        <v>45153</v>
      </c>
      <c r="B498" t="s">
        <v>40</v>
      </c>
      <c r="C498" t="s">
        <v>61</v>
      </c>
      <c r="D498" t="s">
        <v>65</v>
      </c>
      <c r="E498" t="s">
        <v>64</v>
      </c>
      <c r="F498" t="s">
        <v>19</v>
      </c>
      <c r="G498" t="s">
        <v>48</v>
      </c>
      <c r="H498">
        <v>3</v>
      </c>
      <c r="I498" s="1">
        <v>2792.38</v>
      </c>
      <c r="J498" s="1">
        <f t="shared" si="51"/>
        <v>7539.4259999999995</v>
      </c>
      <c r="K498" s="1">
        <f t="shared" si="52"/>
        <v>837.71399999999994</v>
      </c>
      <c r="L498" s="1">
        <v>8377.14</v>
      </c>
      <c r="M498" s="1">
        <f t="shared" si="53"/>
        <v>1507.8851999999999</v>
      </c>
      <c r="N498" s="1">
        <f t="shared" si="54"/>
        <v>9885.0252</v>
      </c>
      <c r="S498" t="str">
        <f t="shared" si="49"/>
        <v>Punjab</v>
      </c>
      <c r="W498" t="str">
        <f t="shared" si="50"/>
        <v>East</v>
      </c>
      <c r="AB498" t="str">
        <f t="shared" si="55"/>
        <v>PK-PB</v>
      </c>
    </row>
    <row r="499" spans="1:28" x14ac:dyDescent="0.25">
      <c r="A499" s="2">
        <v>45264</v>
      </c>
      <c r="B499" t="s">
        <v>29</v>
      </c>
      <c r="C499" t="s">
        <v>26</v>
      </c>
      <c r="D499" t="s">
        <v>12</v>
      </c>
      <c r="E499" t="s">
        <v>18</v>
      </c>
      <c r="F499" t="s">
        <v>32</v>
      </c>
      <c r="G499" t="s">
        <v>36</v>
      </c>
      <c r="H499">
        <v>17</v>
      </c>
      <c r="I499" s="1">
        <v>683.31</v>
      </c>
      <c r="J499" s="1">
        <f t="shared" si="51"/>
        <v>10454.643</v>
      </c>
      <c r="K499" s="1">
        <f t="shared" si="52"/>
        <v>1161.6270000000002</v>
      </c>
      <c r="L499" s="1">
        <v>11616.27</v>
      </c>
      <c r="M499" s="1">
        <f t="shared" si="53"/>
        <v>2090.9286000000002</v>
      </c>
      <c r="N499" s="1">
        <f t="shared" si="54"/>
        <v>13707.1986</v>
      </c>
      <c r="S499" t="str">
        <f t="shared" si="49"/>
        <v>Sindh</v>
      </c>
      <c r="W499" t="str">
        <f t="shared" si="50"/>
        <v>South</v>
      </c>
      <c r="AB499" t="str">
        <f t="shared" si="55"/>
        <v>PK-SD</v>
      </c>
    </row>
    <row r="500" spans="1:28" x14ac:dyDescent="0.25">
      <c r="A500" s="2">
        <v>44929</v>
      </c>
      <c r="B500" t="s">
        <v>31</v>
      </c>
      <c r="C500" t="s">
        <v>26</v>
      </c>
      <c r="D500" t="s">
        <v>12</v>
      </c>
      <c r="E500" t="s">
        <v>18</v>
      </c>
      <c r="F500" t="s">
        <v>23</v>
      </c>
      <c r="G500" t="s">
        <v>39</v>
      </c>
      <c r="H500">
        <v>20</v>
      </c>
      <c r="I500" s="1">
        <v>3463.6</v>
      </c>
      <c r="J500" s="1">
        <f t="shared" si="51"/>
        <v>62344.800000000003</v>
      </c>
      <c r="K500" s="1">
        <f t="shared" si="52"/>
        <v>6927.2000000000007</v>
      </c>
      <c r="L500" s="1">
        <v>69272</v>
      </c>
      <c r="M500" s="1">
        <f t="shared" si="53"/>
        <v>12468.96</v>
      </c>
      <c r="N500" s="1">
        <f t="shared" si="54"/>
        <v>81740.959999999992</v>
      </c>
      <c r="S500" t="str">
        <f t="shared" si="49"/>
        <v>Sindh</v>
      </c>
      <c r="W500" t="str">
        <f t="shared" si="50"/>
        <v>South</v>
      </c>
      <c r="AB500" t="str">
        <f t="shared" si="55"/>
        <v>PK-SD</v>
      </c>
    </row>
    <row r="501" spans="1:28" x14ac:dyDescent="0.25">
      <c r="A501" s="2">
        <v>45183</v>
      </c>
      <c r="B501" t="s">
        <v>25</v>
      </c>
      <c r="C501" t="s">
        <v>57</v>
      </c>
      <c r="D501" t="s">
        <v>22</v>
      </c>
      <c r="E501" t="s">
        <v>13</v>
      </c>
      <c r="F501" t="s">
        <v>19</v>
      </c>
      <c r="G501" t="s">
        <v>52</v>
      </c>
      <c r="H501">
        <v>9</v>
      </c>
      <c r="I501" s="1">
        <v>1609.98</v>
      </c>
      <c r="J501" s="1">
        <f t="shared" si="51"/>
        <v>13040.838</v>
      </c>
      <c r="K501" s="1">
        <f t="shared" si="52"/>
        <v>1448.982</v>
      </c>
      <c r="L501" s="1">
        <v>14489.82</v>
      </c>
      <c r="M501" s="1">
        <f t="shared" si="53"/>
        <v>2608.1675999999998</v>
      </c>
      <c r="N501" s="1">
        <f t="shared" si="54"/>
        <v>17097.9876</v>
      </c>
      <c r="S501" t="str">
        <f t="shared" si="49"/>
        <v>Balochistan</v>
      </c>
      <c r="W501" t="str">
        <f t="shared" si="50"/>
        <v>West</v>
      </c>
      <c r="AB501" t="str">
        <f t="shared" si="55"/>
        <v>PK-BA</v>
      </c>
    </row>
    <row r="502" spans="1:28" x14ac:dyDescent="0.25">
      <c r="A502" s="2">
        <v>45113</v>
      </c>
      <c r="B502" t="s">
        <v>16</v>
      </c>
      <c r="C502" t="s">
        <v>26</v>
      </c>
      <c r="D502" t="s">
        <v>12</v>
      </c>
      <c r="E502" t="s">
        <v>18</v>
      </c>
      <c r="F502" t="s">
        <v>19</v>
      </c>
      <c r="G502" t="s">
        <v>48</v>
      </c>
      <c r="H502">
        <v>4</v>
      </c>
      <c r="I502" s="1">
        <v>2836.34</v>
      </c>
      <c r="J502" s="1">
        <f t="shared" si="51"/>
        <v>10210.824000000001</v>
      </c>
      <c r="K502" s="1">
        <f t="shared" si="52"/>
        <v>1134.5360000000001</v>
      </c>
      <c r="L502" s="1">
        <v>11345.36</v>
      </c>
      <c r="M502" s="1">
        <f t="shared" si="53"/>
        <v>2042.1648</v>
      </c>
      <c r="N502" s="1">
        <f t="shared" si="54"/>
        <v>13387.524800000001</v>
      </c>
      <c r="S502" t="str">
        <f t="shared" si="49"/>
        <v>Sindh</v>
      </c>
      <c r="W502" t="str">
        <f t="shared" si="50"/>
        <v>South</v>
      </c>
      <c r="AB502" t="str">
        <f t="shared" si="55"/>
        <v>PK-SD</v>
      </c>
    </row>
    <row r="503" spans="1:28" x14ac:dyDescent="0.25">
      <c r="A503" s="2">
        <v>44956</v>
      </c>
      <c r="B503" t="s">
        <v>38</v>
      </c>
      <c r="C503" t="s">
        <v>35</v>
      </c>
      <c r="D503" t="s">
        <v>65</v>
      </c>
      <c r="E503" t="s">
        <v>64</v>
      </c>
      <c r="F503" t="s">
        <v>32</v>
      </c>
      <c r="G503" t="s">
        <v>49</v>
      </c>
      <c r="H503">
        <v>18</v>
      </c>
      <c r="I503" s="1">
        <v>3238.98</v>
      </c>
      <c r="J503" s="1">
        <f t="shared" si="51"/>
        <v>52471.476000000002</v>
      </c>
      <c r="K503" s="1">
        <f t="shared" si="52"/>
        <v>5830.1640000000007</v>
      </c>
      <c r="L503" s="1">
        <v>58301.64</v>
      </c>
      <c r="M503" s="1">
        <f t="shared" si="53"/>
        <v>10494.295199999999</v>
      </c>
      <c r="N503" s="1">
        <f t="shared" si="54"/>
        <v>68795.935199999993</v>
      </c>
      <c r="S503" t="str">
        <f t="shared" si="49"/>
        <v>Punjab</v>
      </c>
      <c r="W503" t="str">
        <f t="shared" si="50"/>
        <v>East</v>
      </c>
      <c r="AB503" t="str">
        <f t="shared" si="55"/>
        <v>PK-PB</v>
      </c>
    </row>
    <row r="504" spans="1:28" x14ac:dyDescent="0.25">
      <c r="A504" s="2">
        <v>45152</v>
      </c>
      <c r="B504" t="s">
        <v>25</v>
      </c>
      <c r="C504" t="s">
        <v>57</v>
      </c>
      <c r="D504" t="s">
        <v>22</v>
      </c>
      <c r="E504" t="s">
        <v>13</v>
      </c>
      <c r="F504" t="s">
        <v>14</v>
      </c>
      <c r="G504" t="s">
        <v>51</v>
      </c>
      <c r="H504">
        <v>20</v>
      </c>
      <c r="I504" s="1">
        <v>2791.25</v>
      </c>
      <c r="J504" s="1">
        <f t="shared" si="51"/>
        <v>50242.5</v>
      </c>
      <c r="K504" s="1">
        <f t="shared" si="52"/>
        <v>5582.5</v>
      </c>
      <c r="L504" s="1">
        <v>55825</v>
      </c>
      <c r="M504" s="1">
        <f t="shared" si="53"/>
        <v>10048.5</v>
      </c>
      <c r="N504" s="1">
        <f t="shared" si="54"/>
        <v>65873.5</v>
      </c>
      <c r="S504" t="str">
        <f t="shared" si="49"/>
        <v>Balochistan</v>
      </c>
      <c r="W504" t="str">
        <f t="shared" si="50"/>
        <v>West</v>
      </c>
      <c r="AB504" t="str">
        <f t="shared" si="55"/>
        <v>PK-BA</v>
      </c>
    </row>
    <row r="505" spans="1:28" x14ac:dyDescent="0.25">
      <c r="A505" s="2">
        <v>45276</v>
      </c>
      <c r="B505" t="s">
        <v>16</v>
      </c>
      <c r="C505" t="s">
        <v>60</v>
      </c>
      <c r="D505" t="s">
        <v>12</v>
      </c>
      <c r="E505" t="s">
        <v>18</v>
      </c>
      <c r="F505" t="s">
        <v>23</v>
      </c>
      <c r="G505" t="s">
        <v>24</v>
      </c>
      <c r="H505">
        <v>1</v>
      </c>
      <c r="I505" s="1">
        <v>3165.04</v>
      </c>
      <c r="J505" s="1">
        <f t="shared" si="51"/>
        <v>2848.5360000000001</v>
      </c>
      <c r="K505" s="1">
        <f t="shared" si="52"/>
        <v>316.50400000000002</v>
      </c>
      <c r="L505" s="1">
        <v>3165.04</v>
      </c>
      <c r="M505" s="1">
        <f t="shared" si="53"/>
        <v>569.70719999999994</v>
      </c>
      <c r="N505" s="1">
        <f t="shared" si="54"/>
        <v>3734.7471999999998</v>
      </c>
      <c r="S505" t="str">
        <f t="shared" si="49"/>
        <v>Sindh</v>
      </c>
      <c r="W505" t="str">
        <f t="shared" si="50"/>
        <v>South</v>
      </c>
      <c r="AB505" t="str">
        <f t="shared" si="55"/>
        <v>PK-SD</v>
      </c>
    </row>
    <row r="506" spans="1:28" x14ac:dyDescent="0.25">
      <c r="A506" s="2">
        <v>45206</v>
      </c>
      <c r="B506" t="s">
        <v>16</v>
      </c>
      <c r="C506" t="s">
        <v>11</v>
      </c>
      <c r="D506" t="s">
        <v>22</v>
      </c>
      <c r="E506" t="s">
        <v>13</v>
      </c>
      <c r="F506" t="s">
        <v>19</v>
      </c>
      <c r="G506" t="s">
        <v>20</v>
      </c>
      <c r="H506">
        <v>14</v>
      </c>
      <c r="I506" s="1">
        <v>3414.59</v>
      </c>
      <c r="J506" s="1">
        <f t="shared" si="51"/>
        <v>43023.834000000003</v>
      </c>
      <c r="K506" s="1">
        <f t="shared" si="52"/>
        <v>4780.4260000000004</v>
      </c>
      <c r="L506" s="1">
        <v>47804.26</v>
      </c>
      <c r="M506" s="1">
        <f t="shared" si="53"/>
        <v>8604.7667999999994</v>
      </c>
      <c r="N506" s="1">
        <f t="shared" si="54"/>
        <v>56409.0268</v>
      </c>
      <c r="S506" t="str">
        <f t="shared" si="49"/>
        <v>Balochistan</v>
      </c>
      <c r="W506" t="str">
        <f t="shared" si="50"/>
        <v>West</v>
      </c>
      <c r="AB506" t="str">
        <f t="shared" si="55"/>
        <v>PK-BA</v>
      </c>
    </row>
    <row r="507" spans="1:28" x14ac:dyDescent="0.25">
      <c r="A507" s="2">
        <v>45210</v>
      </c>
      <c r="B507" t="s">
        <v>34</v>
      </c>
      <c r="C507" t="s">
        <v>59</v>
      </c>
      <c r="D507" t="s">
        <v>66</v>
      </c>
      <c r="E507" t="s">
        <v>41</v>
      </c>
      <c r="F507" t="s">
        <v>32</v>
      </c>
      <c r="G507" t="s">
        <v>49</v>
      </c>
      <c r="H507">
        <v>4</v>
      </c>
      <c r="I507" s="1">
        <v>3896.69</v>
      </c>
      <c r="J507" s="1">
        <f t="shared" si="51"/>
        <v>14028.084000000001</v>
      </c>
      <c r="K507" s="1">
        <f t="shared" si="52"/>
        <v>1558.6760000000002</v>
      </c>
      <c r="L507" s="1">
        <v>15586.76</v>
      </c>
      <c r="M507" s="1">
        <f t="shared" si="53"/>
        <v>2805.6167999999998</v>
      </c>
      <c r="N507" s="1">
        <f t="shared" si="54"/>
        <v>18392.376799999998</v>
      </c>
      <c r="S507" t="str">
        <f t="shared" si="49"/>
        <v>Khyber Pakhtunkhwa</v>
      </c>
      <c r="W507" t="str">
        <f t="shared" si="50"/>
        <v>North</v>
      </c>
      <c r="AB507" t="str">
        <f t="shared" si="55"/>
        <v>Khyber Pakhtunkhwa</v>
      </c>
    </row>
    <row r="508" spans="1:28" x14ac:dyDescent="0.25">
      <c r="A508" s="2">
        <v>45165</v>
      </c>
      <c r="B508" t="s">
        <v>25</v>
      </c>
      <c r="C508" t="s">
        <v>55</v>
      </c>
      <c r="D508" t="s">
        <v>66</v>
      </c>
      <c r="E508" t="s">
        <v>41</v>
      </c>
      <c r="F508" t="s">
        <v>23</v>
      </c>
      <c r="G508" t="s">
        <v>47</v>
      </c>
      <c r="H508">
        <v>5</v>
      </c>
      <c r="I508" s="1">
        <v>2024.36</v>
      </c>
      <c r="J508" s="1">
        <f t="shared" si="51"/>
        <v>9109.619999999999</v>
      </c>
      <c r="K508" s="1">
        <f t="shared" si="52"/>
        <v>1012.18</v>
      </c>
      <c r="L508" s="1">
        <v>10121.799999999999</v>
      </c>
      <c r="M508" s="1">
        <f t="shared" si="53"/>
        <v>1821.9239999999998</v>
      </c>
      <c r="N508" s="1">
        <f t="shared" si="54"/>
        <v>11943.723999999998</v>
      </c>
      <c r="S508" t="str">
        <f t="shared" si="49"/>
        <v>Khyber Pakhtunkhwa</v>
      </c>
      <c r="W508" t="str">
        <f t="shared" si="50"/>
        <v>North</v>
      </c>
      <c r="AB508" t="str">
        <f t="shared" si="55"/>
        <v>Khyber Pakhtunkhwa</v>
      </c>
    </row>
    <row r="509" spans="1:28" x14ac:dyDescent="0.25">
      <c r="A509" s="2">
        <v>45148</v>
      </c>
      <c r="B509" t="s">
        <v>29</v>
      </c>
      <c r="C509" t="s">
        <v>58</v>
      </c>
      <c r="D509" t="s">
        <v>12</v>
      </c>
      <c r="E509" t="s">
        <v>18</v>
      </c>
      <c r="F509" t="s">
        <v>23</v>
      </c>
      <c r="G509" t="s">
        <v>24</v>
      </c>
      <c r="H509">
        <v>17</v>
      </c>
      <c r="I509" s="1">
        <v>102.62</v>
      </c>
      <c r="J509" s="1">
        <f t="shared" si="51"/>
        <v>1570.086</v>
      </c>
      <c r="K509" s="1">
        <f t="shared" si="52"/>
        <v>174.45400000000001</v>
      </c>
      <c r="L509" s="1">
        <v>1744.54</v>
      </c>
      <c r="M509" s="1">
        <f t="shared" si="53"/>
        <v>314.0172</v>
      </c>
      <c r="N509" s="1">
        <f t="shared" si="54"/>
        <v>2058.5572000000002</v>
      </c>
      <c r="S509" t="str">
        <f t="shared" si="49"/>
        <v>Sindh</v>
      </c>
      <c r="W509" t="str">
        <f t="shared" si="50"/>
        <v>South</v>
      </c>
      <c r="AB509" t="str">
        <f t="shared" si="55"/>
        <v>PK-SD</v>
      </c>
    </row>
    <row r="510" spans="1:28" x14ac:dyDescent="0.25">
      <c r="A510" s="2">
        <v>44985</v>
      </c>
      <c r="B510" t="s">
        <v>25</v>
      </c>
      <c r="C510" t="s">
        <v>60</v>
      </c>
      <c r="D510" t="s">
        <v>12</v>
      </c>
      <c r="E510" t="s">
        <v>18</v>
      </c>
      <c r="F510" t="s">
        <v>19</v>
      </c>
      <c r="G510" t="s">
        <v>20</v>
      </c>
      <c r="H510">
        <v>7</v>
      </c>
      <c r="I510" s="1">
        <v>146.52000000000001</v>
      </c>
      <c r="J510" s="1">
        <f t="shared" si="51"/>
        <v>923.07600000000014</v>
      </c>
      <c r="K510" s="1">
        <f t="shared" si="52"/>
        <v>102.56400000000002</v>
      </c>
      <c r="L510" s="1">
        <v>1025.6400000000001</v>
      </c>
      <c r="M510" s="1">
        <f t="shared" si="53"/>
        <v>184.61520000000002</v>
      </c>
      <c r="N510" s="1">
        <f t="shared" si="54"/>
        <v>1210.2552000000001</v>
      </c>
      <c r="S510" t="str">
        <f t="shared" si="49"/>
        <v>Sindh</v>
      </c>
      <c r="W510" t="str">
        <f t="shared" si="50"/>
        <v>South</v>
      </c>
      <c r="AB510" t="str">
        <f t="shared" si="55"/>
        <v>PK-SD</v>
      </c>
    </row>
    <row r="511" spans="1:28" x14ac:dyDescent="0.25">
      <c r="A511" s="2">
        <v>45273</v>
      </c>
      <c r="B511" t="s">
        <v>29</v>
      </c>
      <c r="C511" t="s">
        <v>58</v>
      </c>
      <c r="D511" t="s">
        <v>12</v>
      </c>
      <c r="E511" t="s">
        <v>18</v>
      </c>
      <c r="F511" t="s">
        <v>14</v>
      </c>
      <c r="G511" t="s">
        <v>51</v>
      </c>
      <c r="H511">
        <v>2</v>
      </c>
      <c r="I511" s="1">
        <v>4248</v>
      </c>
      <c r="J511" s="1">
        <f t="shared" si="51"/>
        <v>7646.4000000000005</v>
      </c>
      <c r="K511" s="1">
        <f t="shared" si="52"/>
        <v>849.6</v>
      </c>
      <c r="L511" s="1">
        <v>8496</v>
      </c>
      <c r="M511" s="1">
        <f t="shared" si="53"/>
        <v>1529.28</v>
      </c>
      <c r="N511" s="1">
        <f t="shared" si="54"/>
        <v>10025.280000000001</v>
      </c>
      <c r="S511" t="str">
        <f t="shared" si="49"/>
        <v>Sindh</v>
      </c>
      <c r="W511" t="str">
        <f t="shared" si="50"/>
        <v>South</v>
      </c>
      <c r="AB511" t="str">
        <f t="shared" si="55"/>
        <v>PK-SD</v>
      </c>
    </row>
    <row r="512" spans="1:28" x14ac:dyDescent="0.25">
      <c r="A512" s="2">
        <v>44986</v>
      </c>
      <c r="B512" t="s">
        <v>43</v>
      </c>
      <c r="C512" t="s">
        <v>11</v>
      </c>
      <c r="D512" t="s">
        <v>22</v>
      </c>
      <c r="E512" t="s">
        <v>13</v>
      </c>
      <c r="F512" t="s">
        <v>23</v>
      </c>
      <c r="G512" t="s">
        <v>24</v>
      </c>
      <c r="H512">
        <v>8</v>
      </c>
      <c r="I512" s="1">
        <v>3075.58</v>
      </c>
      <c r="J512" s="1">
        <f t="shared" si="51"/>
        <v>22144.175999999999</v>
      </c>
      <c r="K512" s="1">
        <f t="shared" si="52"/>
        <v>2460.4639999999999</v>
      </c>
      <c r="L512" s="1">
        <v>24604.639999999999</v>
      </c>
      <c r="M512" s="1">
        <f t="shared" si="53"/>
        <v>4428.8351999999995</v>
      </c>
      <c r="N512" s="1">
        <f t="shared" si="54"/>
        <v>29033.475200000001</v>
      </c>
      <c r="S512" t="str">
        <f t="shared" si="49"/>
        <v>Balochistan</v>
      </c>
      <c r="W512" t="str">
        <f t="shared" si="50"/>
        <v>West</v>
      </c>
      <c r="AB512" t="str">
        <f t="shared" si="55"/>
        <v>PK-BA</v>
      </c>
    </row>
    <row r="513" spans="1:28" x14ac:dyDescent="0.25">
      <c r="A513" s="2">
        <v>44985</v>
      </c>
      <c r="B513" t="s">
        <v>31</v>
      </c>
      <c r="C513" t="s">
        <v>26</v>
      </c>
      <c r="D513" t="s">
        <v>12</v>
      </c>
      <c r="E513" t="s">
        <v>18</v>
      </c>
      <c r="F513" t="s">
        <v>27</v>
      </c>
      <c r="G513" t="s">
        <v>28</v>
      </c>
      <c r="H513">
        <v>13</v>
      </c>
      <c r="I513" s="1">
        <v>1246.1400000000001</v>
      </c>
      <c r="J513" s="1">
        <f t="shared" si="51"/>
        <v>14579.838</v>
      </c>
      <c r="K513" s="1">
        <f t="shared" si="52"/>
        <v>1619.982</v>
      </c>
      <c r="L513" s="1">
        <v>16199.82</v>
      </c>
      <c r="M513" s="1">
        <f t="shared" si="53"/>
        <v>2915.9675999999999</v>
      </c>
      <c r="N513" s="1">
        <f t="shared" si="54"/>
        <v>19115.7876</v>
      </c>
      <c r="S513" t="str">
        <f t="shared" si="49"/>
        <v>Sindh</v>
      </c>
      <c r="W513" t="str">
        <f t="shared" si="50"/>
        <v>South</v>
      </c>
      <c r="AB513" t="str">
        <f t="shared" si="55"/>
        <v>PK-SD</v>
      </c>
    </row>
    <row r="514" spans="1:28" x14ac:dyDescent="0.25">
      <c r="A514" s="2">
        <v>45171</v>
      </c>
      <c r="B514" t="s">
        <v>40</v>
      </c>
      <c r="C514" t="s">
        <v>17</v>
      </c>
      <c r="D514" t="s">
        <v>65</v>
      </c>
      <c r="E514" t="s">
        <v>64</v>
      </c>
      <c r="F514" t="s">
        <v>32</v>
      </c>
      <c r="G514" t="s">
        <v>33</v>
      </c>
      <c r="H514">
        <v>16</v>
      </c>
      <c r="I514" s="1">
        <v>3942.95</v>
      </c>
      <c r="J514" s="1">
        <f t="shared" si="51"/>
        <v>56778.479999999996</v>
      </c>
      <c r="K514" s="1">
        <f t="shared" si="52"/>
        <v>6308.72</v>
      </c>
      <c r="L514" s="1">
        <v>63087.199999999997</v>
      </c>
      <c r="M514" s="1">
        <f t="shared" si="53"/>
        <v>11355.696</v>
      </c>
      <c r="N514" s="1">
        <f t="shared" si="54"/>
        <v>74442.895999999993</v>
      </c>
      <c r="S514" t="str">
        <f t="shared" ref="S514:S577" si="56">VLOOKUP(C514,$Q$2:$R$15,2,FALSE)</f>
        <v>Punjab</v>
      </c>
      <c r="W514" t="str">
        <f t="shared" ref="W514:W577" si="57">VLOOKUP(D514,$U$2:$V$5,2,FALSE)</f>
        <v>East</v>
      </c>
      <c r="AB514" t="str">
        <f t="shared" si="55"/>
        <v>PK-PB</v>
      </c>
    </row>
    <row r="515" spans="1:28" x14ac:dyDescent="0.25">
      <c r="A515" s="2">
        <v>44996</v>
      </c>
      <c r="B515" t="s">
        <v>43</v>
      </c>
      <c r="C515" t="s">
        <v>26</v>
      </c>
      <c r="D515" t="s">
        <v>12</v>
      </c>
      <c r="E515" t="s">
        <v>18</v>
      </c>
      <c r="F515" t="s">
        <v>19</v>
      </c>
      <c r="G515" t="s">
        <v>52</v>
      </c>
      <c r="H515">
        <v>1</v>
      </c>
      <c r="I515" s="1">
        <v>936.56</v>
      </c>
      <c r="J515" s="1">
        <f t="shared" ref="J515:J578" si="58">L515*90%</f>
        <v>842.904</v>
      </c>
      <c r="K515" s="1">
        <f t="shared" ref="K515:K578" si="59">L515*10%</f>
        <v>93.656000000000006</v>
      </c>
      <c r="L515" s="1">
        <v>936.56</v>
      </c>
      <c r="M515" s="1">
        <f t="shared" ref="M515:M578" si="60">L515*18%</f>
        <v>168.58079999999998</v>
      </c>
      <c r="N515" s="1">
        <f t="shared" ref="N515:N578" si="61">L515+M515</f>
        <v>1105.1407999999999</v>
      </c>
      <c r="S515" t="str">
        <f t="shared" si="56"/>
        <v>Sindh</v>
      </c>
      <c r="W515" t="str">
        <f t="shared" si="57"/>
        <v>South</v>
      </c>
      <c r="AB515" t="str">
        <f t="shared" ref="AB515:AB578" si="62">VLOOKUP(D515,$Z$2:$AA$5,2,FALSE)</f>
        <v>PK-SD</v>
      </c>
    </row>
    <row r="516" spans="1:28" x14ac:dyDescent="0.25">
      <c r="A516" s="2">
        <v>45243</v>
      </c>
      <c r="B516" t="s">
        <v>34</v>
      </c>
      <c r="C516" t="s">
        <v>58</v>
      </c>
      <c r="D516" t="s">
        <v>12</v>
      </c>
      <c r="E516" t="s">
        <v>18</v>
      </c>
      <c r="F516" t="s">
        <v>23</v>
      </c>
      <c r="G516" t="s">
        <v>24</v>
      </c>
      <c r="H516">
        <v>7</v>
      </c>
      <c r="I516" s="1">
        <v>1628.68</v>
      </c>
      <c r="J516" s="1">
        <f t="shared" si="58"/>
        <v>10260.684000000001</v>
      </c>
      <c r="K516" s="1">
        <f t="shared" si="59"/>
        <v>1140.076</v>
      </c>
      <c r="L516" s="1">
        <v>11400.76</v>
      </c>
      <c r="M516" s="1">
        <f t="shared" si="60"/>
        <v>2052.1367999999998</v>
      </c>
      <c r="N516" s="1">
        <f t="shared" si="61"/>
        <v>13452.8968</v>
      </c>
      <c r="S516" t="str">
        <f t="shared" si="56"/>
        <v>Sindh</v>
      </c>
      <c r="W516" t="str">
        <f t="shared" si="57"/>
        <v>South</v>
      </c>
      <c r="AB516" t="str">
        <f t="shared" si="62"/>
        <v>PK-SD</v>
      </c>
    </row>
    <row r="517" spans="1:28" x14ac:dyDescent="0.25">
      <c r="A517" s="2">
        <v>45138</v>
      </c>
      <c r="B517" t="s">
        <v>38</v>
      </c>
      <c r="C517" t="s">
        <v>60</v>
      </c>
      <c r="D517" t="s">
        <v>12</v>
      </c>
      <c r="E517" t="s">
        <v>18</v>
      </c>
      <c r="F517" t="s">
        <v>19</v>
      </c>
      <c r="G517" t="s">
        <v>30</v>
      </c>
      <c r="H517">
        <v>10</v>
      </c>
      <c r="I517" s="1">
        <v>3400.28</v>
      </c>
      <c r="J517" s="1">
        <f t="shared" si="58"/>
        <v>30602.520000000004</v>
      </c>
      <c r="K517" s="1">
        <f t="shared" si="59"/>
        <v>3400.2800000000007</v>
      </c>
      <c r="L517" s="1">
        <v>34002.800000000003</v>
      </c>
      <c r="M517" s="1">
        <f t="shared" si="60"/>
        <v>6120.5039999999999</v>
      </c>
      <c r="N517" s="1">
        <f t="shared" si="61"/>
        <v>40123.304000000004</v>
      </c>
      <c r="S517" t="str">
        <f t="shared" si="56"/>
        <v>Sindh</v>
      </c>
      <c r="W517" t="str">
        <f t="shared" si="57"/>
        <v>South</v>
      </c>
      <c r="AB517" t="str">
        <f t="shared" si="62"/>
        <v>PK-SD</v>
      </c>
    </row>
    <row r="518" spans="1:28" x14ac:dyDescent="0.25">
      <c r="A518" s="2">
        <v>45022</v>
      </c>
      <c r="B518" t="s">
        <v>29</v>
      </c>
      <c r="C518" t="s">
        <v>62</v>
      </c>
      <c r="D518" t="s">
        <v>65</v>
      </c>
      <c r="E518" t="s">
        <v>64</v>
      </c>
      <c r="F518" t="s">
        <v>19</v>
      </c>
      <c r="G518" t="s">
        <v>48</v>
      </c>
      <c r="H518">
        <v>18</v>
      </c>
      <c r="I518" s="1">
        <v>2722.99</v>
      </c>
      <c r="J518" s="1">
        <f t="shared" si="58"/>
        <v>44112.438000000002</v>
      </c>
      <c r="K518" s="1">
        <f t="shared" si="59"/>
        <v>4901.3820000000005</v>
      </c>
      <c r="L518" s="1">
        <v>49013.82</v>
      </c>
      <c r="M518" s="1">
        <f t="shared" si="60"/>
        <v>8822.4876000000004</v>
      </c>
      <c r="N518" s="1">
        <f t="shared" si="61"/>
        <v>57836.3076</v>
      </c>
      <c r="S518" t="str">
        <f t="shared" si="56"/>
        <v>Punjab</v>
      </c>
      <c r="W518" t="str">
        <f t="shared" si="57"/>
        <v>East</v>
      </c>
      <c r="AB518" t="str">
        <f t="shared" si="62"/>
        <v>PK-PB</v>
      </c>
    </row>
    <row r="519" spans="1:28" x14ac:dyDescent="0.25">
      <c r="A519" s="2">
        <v>45052</v>
      </c>
      <c r="B519" t="s">
        <v>21</v>
      </c>
      <c r="C519" t="s">
        <v>54</v>
      </c>
      <c r="D519" t="s">
        <v>12</v>
      </c>
      <c r="E519" t="s">
        <v>18</v>
      </c>
      <c r="F519" t="s">
        <v>27</v>
      </c>
      <c r="G519" t="s">
        <v>44</v>
      </c>
      <c r="H519">
        <v>8</v>
      </c>
      <c r="I519" s="1">
        <v>4612.53</v>
      </c>
      <c r="J519" s="1">
        <f t="shared" si="58"/>
        <v>33210.216</v>
      </c>
      <c r="K519" s="1">
        <f t="shared" si="59"/>
        <v>3690.0239999999999</v>
      </c>
      <c r="L519" s="1">
        <v>36900.239999999998</v>
      </c>
      <c r="M519" s="1">
        <f t="shared" si="60"/>
        <v>6642.0431999999992</v>
      </c>
      <c r="N519" s="1">
        <f t="shared" si="61"/>
        <v>43542.283199999998</v>
      </c>
      <c r="S519" t="str">
        <f t="shared" si="56"/>
        <v>Sindh</v>
      </c>
      <c r="W519" t="str">
        <f t="shared" si="57"/>
        <v>South</v>
      </c>
      <c r="AB519" t="str">
        <f t="shared" si="62"/>
        <v>PK-SD</v>
      </c>
    </row>
    <row r="520" spans="1:28" x14ac:dyDescent="0.25">
      <c r="A520" s="2">
        <v>45065</v>
      </c>
      <c r="B520" t="s">
        <v>29</v>
      </c>
      <c r="C520" t="s">
        <v>11</v>
      </c>
      <c r="D520" t="s">
        <v>22</v>
      </c>
      <c r="E520" t="s">
        <v>13</v>
      </c>
      <c r="F520" t="s">
        <v>27</v>
      </c>
      <c r="G520" t="s">
        <v>28</v>
      </c>
      <c r="H520">
        <v>13</v>
      </c>
      <c r="I520" s="1">
        <v>2040.1</v>
      </c>
      <c r="J520" s="1">
        <f t="shared" si="58"/>
        <v>23869.17</v>
      </c>
      <c r="K520" s="1">
        <f t="shared" si="59"/>
        <v>2652.13</v>
      </c>
      <c r="L520" s="1">
        <v>26521.3</v>
      </c>
      <c r="M520" s="1">
        <f t="shared" si="60"/>
        <v>4773.8339999999998</v>
      </c>
      <c r="N520" s="1">
        <f t="shared" si="61"/>
        <v>31295.133999999998</v>
      </c>
      <c r="S520" t="str">
        <f t="shared" si="56"/>
        <v>Balochistan</v>
      </c>
      <c r="W520" t="str">
        <f t="shared" si="57"/>
        <v>West</v>
      </c>
      <c r="AB520" t="str">
        <f t="shared" si="62"/>
        <v>PK-BA</v>
      </c>
    </row>
    <row r="521" spans="1:28" x14ac:dyDescent="0.25">
      <c r="A521" s="2">
        <v>45037</v>
      </c>
      <c r="B521" t="s">
        <v>31</v>
      </c>
      <c r="C521" t="s">
        <v>62</v>
      </c>
      <c r="D521" t="s">
        <v>65</v>
      </c>
      <c r="E521" t="s">
        <v>64</v>
      </c>
      <c r="F521" t="s">
        <v>32</v>
      </c>
      <c r="G521" t="s">
        <v>50</v>
      </c>
      <c r="H521">
        <v>17</v>
      </c>
      <c r="I521" s="1">
        <v>1122.98</v>
      </c>
      <c r="J521" s="1">
        <f t="shared" si="58"/>
        <v>17181.594000000001</v>
      </c>
      <c r="K521" s="1">
        <f t="shared" si="59"/>
        <v>1909.066</v>
      </c>
      <c r="L521" s="1">
        <v>19090.66</v>
      </c>
      <c r="M521" s="1">
        <f t="shared" si="60"/>
        <v>3436.3188</v>
      </c>
      <c r="N521" s="1">
        <f t="shared" si="61"/>
        <v>22526.978800000001</v>
      </c>
      <c r="S521" t="str">
        <f t="shared" si="56"/>
        <v>Punjab</v>
      </c>
      <c r="W521" t="str">
        <f t="shared" si="57"/>
        <v>East</v>
      </c>
      <c r="AB521" t="str">
        <f t="shared" si="62"/>
        <v>PK-PB</v>
      </c>
    </row>
    <row r="522" spans="1:28" x14ac:dyDescent="0.25">
      <c r="A522" s="2">
        <v>45234</v>
      </c>
      <c r="B522" t="s">
        <v>25</v>
      </c>
      <c r="C522" t="s">
        <v>11</v>
      </c>
      <c r="D522" t="s">
        <v>22</v>
      </c>
      <c r="E522" t="s">
        <v>13</v>
      </c>
      <c r="F522" t="s">
        <v>27</v>
      </c>
      <c r="G522" t="s">
        <v>28</v>
      </c>
      <c r="H522">
        <v>16</v>
      </c>
      <c r="I522" s="1">
        <v>2458.6</v>
      </c>
      <c r="J522" s="1">
        <f t="shared" si="58"/>
        <v>35403.839999999997</v>
      </c>
      <c r="K522" s="1">
        <f t="shared" si="59"/>
        <v>3933.76</v>
      </c>
      <c r="L522" s="1">
        <v>39337.599999999999</v>
      </c>
      <c r="M522" s="1">
        <f t="shared" si="60"/>
        <v>7080.7679999999991</v>
      </c>
      <c r="N522" s="1">
        <f t="shared" si="61"/>
        <v>46418.367999999995</v>
      </c>
      <c r="S522" t="str">
        <f t="shared" si="56"/>
        <v>Balochistan</v>
      </c>
      <c r="W522" t="str">
        <f t="shared" si="57"/>
        <v>West</v>
      </c>
      <c r="AB522" t="str">
        <f t="shared" si="62"/>
        <v>PK-BA</v>
      </c>
    </row>
    <row r="523" spans="1:28" x14ac:dyDescent="0.25">
      <c r="A523" s="2">
        <v>45197</v>
      </c>
      <c r="B523" t="s">
        <v>43</v>
      </c>
      <c r="C523" t="s">
        <v>11</v>
      </c>
      <c r="D523" t="s">
        <v>22</v>
      </c>
      <c r="E523" t="s">
        <v>13</v>
      </c>
      <c r="F523" t="s">
        <v>14</v>
      </c>
      <c r="G523" t="s">
        <v>45</v>
      </c>
      <c r="H523">
        <v>9</v>
      </c>
      <c r="I523" s="1">
        <v>3195.18</v>
      </c>
      <c r="J523" s="1">
        <f t="shared" si="58"/>
        <v>25880.957999999999</v>
      </c>
      <c r="K523" s="1">
        <f t="shared" si="59"/>
        <v>2875.6620000000003</v>
      </c>
      <c r="L523" s="1">
        <v>28756.62</v>
      </c>
      <c r="M523" s="1">
        <f t="shared" si="60"/>
        <v>5176.1915999999992</v>
      </c>
      <c r="N523" s="1">
        <f t="shared" si="61"/>
        <v>33932.811600000001</v>
      </c>
      <c r="S523" t="str">
        <f t="shared" si="56"/>
        <v>Balochistan</v>
      </c>
      <c r="W523" t="str">
        <f t="shared" si="57"/>
        <v>West</v>
      </c>
      <c r="AB523" t="str">
        <f t="shared" si="62"/>
        <v>PK-BA</v>
      </c>
    </row>
    <row r="524" spans="1:28" x14ac:dyDescent="0.25">
      <c r="A524" s="2">
        <v>45203</v>
      </c>
      <c r="B524" t="s">
        <v>25</v>
      </c>
      <c r="C524" t="s">
        <v>17</v>
      </c>
      <c r="D524" t="s">
        <v>65</v>
      </c>
      <c r="E524" t="s">
        <v>64</v>
      </c>
      <c r="F524" t="s">
        <v>14</v>
      </c>
      <c r="G524" t="s">
        <v>51</v>
      </c>
      <c r="H524">
        <v>3</v>
      </c>
      <c r="I524" s="1">
        <v>384.96</v>
      </c>
      <c r="J524" s="1">
        <f t="shared" si="58"/>
        <v>1039.3920000000001</v>
      </c>
      <c r="K524" s="1">
        <f t="shared" si="59"/>
        <v>115.48800000000001</v>
      </c>
      <c r="L524" s="1">
        <v>1154.8800000000001</v>
      </c>
      <c r="M524" s="1">
        <f t="shared" si="60"/>
        <v>207.8784</v>
      </c>
      <c r="N524" s="1">
        <f t="shared" si="61"/>
        <v>1362.7584000000002</v>
      </c>
      <c r="S524" t="str">
        <f t="shared" si="56"/>
        <v>Punjab</v>
      </c>
      <c r="W524" t="str">
        <f t="shared" si="57"/>
        <v>East</v>
      </c>
      <c r="AB524" t="str">
        <f t="shared" si="62"/>
        <v>PK-PB</v>
      </c>
    </row>
    <row r="525" spans="1:28" x14ac:dyDescent="0.25">
      <c r="A525" s="2">
        <v>44980</v>
      </c>
      <c r="B525" t="s">
        <v>34</v>
      </c>
      <c r="C525" t="s">
        <v>11</v>
      </c>
      <c r="D525" t="s">
        <v>22</v>
      </c>
      <c r="E525" t="s">
        <v>13</v>
      </c>
      <c r="F525" t="s">
        <v>27</v>
      </c>
      <c r="G525" t="s">
        <v>42</v>
      </c>
      <c r="H525">
        <v>4</v>
      </c>
      <c r="I525" s="1">
        <v>3714.59</v>
      </c>
      <c r="J525" s="1">
        <f t="shared" si="58"/>
        <v>13372.524000000001</v>
      </c>
      <c r="K525" s="1">
        <f t="shared" si="59"/>
        <v>1485.8360000000002</v>
      </c>
      <c r="L525" s="1">
        <v>14858.36</v>
      </c>
      <c r="M525" s="1">
        <f t="shared" si="60"/>
        <v>2674.5048000000002</v>
      </c>
      <c r="N525" s="1">
        <f t="shared" si="61"/>
        <v>17532.864799999999</v>
      </c>
      <c r="S525" t="str">
        <f t="shared" si="56"/>
        <v>Balochistan</v>
      </c>
      <c r="W525" t="str">
        <f t="shared" si="57"/>
        <v>West</v>
      </c>
      <c r="AB525" t="str">
        <f t="shared" si="62"/>
        <v>PK-BA</v>
      </c>
    </row>
    <row r="526" spans="1:28" x14ac:dyDescent="0.25">
      <c r="A526" s="2">
        <v>45096</v>
      </c>
      <c r="B526" t="s">
        <v>43</v>
      </c>
      <c r="C526" t="s">
        <v>54</v>
      </c>
      <c r="D526" t="s">
        <v>12</v>
      </c>
      <c r="E526" t="s">
        <v>18</v>
      </c>
      <c r="F526" t="s">
        <v>27</v>
      </c>
      <c r="G526" t="s">
        <v>46</v>
      </c>
      <c r="H526">
        <v>9</v>
      </c>
      <c r="I526" s="1">
        <v>1765.86</v>
      </c>
      <c r="J526" s="1">
        <f t="shared" si="58"/>
        <v>14303.466</v>
      </c>
      <c r="K526" s="1">
        <f t="shared" si="59"/>
        <v>1589.2740000000001</v>
      </c>
      <c r="L526" s="1">
        <v>15892.74</v>
      </c>
      <c r="M526" s="1">
        <f t="shared" si="60"/>
        <v>2860.6931999999997</v>
      </c>
      <c r="N526" s="1">
        <f t="shared" si="61"/>
        <v>18753.433199999999</v>
      </c>
      <c r="S526" t="str">
        <f t="shared" si="56"/>
        <v>Sindh</v>
      </c>
      <c r="W526" t="str">
        <f t="shared" si="57"/>
        <v>South</v>
      </c>
      <c r="AB526" t="str">
        <f t="shared" si="62"/>
        <v>PK-SD</v>
      </c>
    </row>
    <row r="527" spans="1:28" x14ac:dyDescent="0.25">
      <c r="A527" s="2">
        <v>45114</v>
      </c>
      <c r="B527" t="s">
        <v>10</v>
      </c>
      <c r="C527" t="s">
        <v>35</v>
      </c>
      <c r="D527" t="s">
        <v>65</v>
      </c>
      <c r="E527" t="s">
        <v>64</v>
      </c>
      <c r="F527" t="s">
        <v>27</v>
      </c>
      <c r="G527" t="s">
        <v>42</v>
      </c>
      <c r="H527">
        <v>8</v>
      </c>
      <c r="I527" s="1">
        <v>3069.86</v>
      </c>
      <c r="J527" s="1">
        <f t="shared" si="58"/>
        <v>22102.992000000002</v>
      </c>
      <c r="K527" s="1">
        <f t="shared" si="59"/>
        <v>2455.8880000000004</v>
      </c>
      <c r="L527" s="1">
        <v>24558.880000000001</v>
      </c>
      <c r="M527" s="1">
        <f t="shared" si="60"/>
        <v>4420.5983999999999</v>
      </c>
      <c r="N527" s="1">
        <f t="shared" si="61"/>
        <v>28979.4784</v>
      </c>
      <c r="S527" t="str">
        <f t="shared" si="56"/>
        <v>Punjab</v>
      </c>
      <c r="W527" t="str">
        <f t="shared" si="57"/>
        <v>East</v>
      </c>
      <c r="AB527" t="str">
        <f t="shared" si="62"/>
        <v>PK-PB</v>
      </c>
    </row>
    <row r="528" spans="1:28" x14ac:dyDescent="0.25">
      <c r="A528" s="2">
        <v>45157</v>
      </c>
      <c r="B528" t="s">
        <v>38</v>
      </c>
      <c r="C528" t="s">
        <v>61</v>
      </c>
      <c r="D528" t="s">
        <v>65</v>
      </c>
      <c r="E528" t="s">
        <v>64</v>
      </c>
      <c r="F528" t="s">
        <v>14</v>
      </c>
      <c r="G528" t="s">
        <v>15</v>
      </c>
      <c r="H528">
        <v>9</v>
      </c>
      <c r="I528" s="1">
        <v>1720.47</v>
      </c>
      <c r="J528" s="1">
        <f t="shared" si="58"/>
        <v>13935.807000000001</v>
      </c>
      <c r="K528" s="1">
        <f t="shared" si="59"/>
        <v>1548.423</v>
      </c>
      <c r="L528" s="1">
        <v>15484.23</v>
      </c>
      <c r="M528" s="1">
        <f t="shared" si="60"/>
        <v>2787.1614</v>
      </c>
      <c r="N528" s="1">
        <f t="shared" si="61"/>
        <v>18271.3914</v>
      </c>
      <c r="S528" t="str">
        <f t="shared" si="56"/>
        <v>Punjab</v>
      </c>
      <c r="W528" t="str">
        <f t="shared" si="57"/>
        <v>East</v>
      </c>
      <c r="AB528" t="str">
        <f t="shared" si="62"/>
        <v>PK-PB</v>
      </c>
    </row>
    <row r="529" spans="1:28" x14ac:dyDescent="0.25">
      <c r="A529" s="2">
        <v>45125</v>
      </c>
      <c r="B529" t="s">
        <v>29</v>
      </c>
      <c r="C529" t="s">
        <v>57</v>
      </c>
      <c r="D529" t="s">
        <v>22</v>
      </c>
      <c r="E529" t="s">
        <v>13</v>
      </c>
      <c r="F529" t="s">
        <v>23</v>
      </c>
      <c r="G529" t="s">
        <v>37</v>
      </c>
      <c r="H529">
        <v>7</v>
      </c>
      <c r="I529" s="1">
        <v>3416.74</v>
      </c>
      <c r="J529" s="1">
        <f t="shared" si="58"/>
        <v>21525.462</v>
      </c>
      <c r="K529" s="1">
        <f t="shared" si="59"/>
        <v>2391.7180000000003</v>
      </c>
      <c r="L529" s="1">
        <v>23917.18</v>
      </c>
      <c r="M529" s="1">
        <f t="shared" si="60"/>
        <v>4305.0923999999995</v>
      </c>
      <c r="N529" s="1">
        <f t="shared" si="61"/>
        <v>28222.272400000002</v>
      </c>
      <c r="S529" t="str">
        <f t="shared" si="56"/>
        <v>Balochistan</v>
      </c>
      <c r="W529" t="str">
        <f t="shared" si="57"/>
        <v>West</v>
      </c>
      <c r="AB529" t="str">
        <f t="shared" si="62"/>
        <v>PK-BA</v>
      </c>
    </row>
    <row r="530" spans="1:28" x14ac:dyDescent="0.25">
      <c r="A530" s="2">
        <v>45186</v>
      </c>
      <c r="B530" t="s">
        <v>38</v>
      </c>
      <c r="C530" t="s">
        <v>57</v>
      </c>
      <c r="D530" t="s">
        <v>22</v>
      </c>
      <c r="E530" t="s">
        <v>13</v>
      </c>
      <c r="F530" t="s">
        <v>14</v>
      </c>
      <c r="G530" t="s">
        <v>15</v>
      </c>
      <c r="H530">
        <v>7</v>
      </c>
      <c r="I530" s="1">
        <v>4741.12</v>
      </c>
      <c r="J530" s="1">
        <f t="shared" si="58"/>
        <v>29869.055999999997</v>
      </c>
      <c r="K530" s="1">
        <f t="shared" si="59"/>
        <v>3318.7839999999997</v>
      </c>
      <c r="L530" s="1">
        <v>33187.839999999997</v>
      </c>
      <c r="M530" s="1">
        <f t="shared" si="60"/>
        <v>5973.8111999999992</v>
      </c>
      <c r="N530" s="1">
        <f t="shared" si="61"/>
        <v>39161.651199999993</v>
      </c>
      <c r="S530" t="str">
        <f t="shared" si="56"/>
        <v>Balochistan</v>
      </c>
      <c r="W530" t="str">
        <f t="shared" si="57"/>
        <v>West</v>
      </c>
      <c r="AB530" t="str">
        <f t="shared" si="62"/>
        <v>PK-BA</v>
      </c>
    </row>
    <row r="531" spans="1:28" x14ac:dyDescent="0.25">
      <c r="A531" s="2">
        <v>45087</v>
      </c>
      <c r="B531" t="s">
        <v>40</v>
      </c>
      <c r="C531" t="s">
        <v>61</v>
      </c>
      <c r="D531" t="s">
        <v>65</v>
      </c>
      <c r="E531" t="s">
        <v>64</v>
      </c>
      <c r="F531" t="s">
        <v>23</v>
      </c>
      <c r="G531" t="s">
        <v>39</v>
      </c>
      <c r="H531">
        <v>20</v>
      </c>
      <c r="I531" s="1">
        <v>2721.24</v>
      </c>
      <c r="J531" s="1">
        <f t="shared" si="58"/>
        <v>48982.320000000007</v>
      </c>
      <c r="K531" s="1">
        <f t="shared" si="59"/>
        <v>5442.4800000000005</v>
      </c>
      <c r="L531" s="1">
        <v>54424.800000000003</v>
      </c>
      <c r="M531" s="1">
        <f t="shared" si="60"/>
        <v>9796.4639999999999</v>
      </c>
      <c r="N531" s="1">
        <f t="shared" si="61"/>
        <v>64221.264000000003</v>
      </c>
      <c r="S531" t="str">
        <f t="shared" si="56"/>
        <v>Punjab</v>
      </c>
      <c r="W531" t="str">
        <f t="shared" si="57"/>
        <v>East</v>
      </c>
      <c r="AB531" t="str">
        <f t="shared" si="62"/>
        <v>PK-PB</v>
      </c>
    </row>
    <row r="532" spans="1:28" x14ac:dyDescent="0.25">
      <c r="A532" s="2">
        <v>45131</v>
      </c>
      <c r="B532" t="s">
        <v>34</v>
      </c>
      <c r="C532" t="s">
        <v>35</v>
      </c>
      <c r="D532" t="s">
        <v>65</v>
      </c>
      <c r="E532" t="s">
        <v>64</v>
      </c>
      <c r="F532" t="s">
        <v>32</v>
      </c>
      <c r="G532" t="s">
        <v>36</v>
      </c>
      <c r="H532">
        <v>4</v>
      </c>
      <c r="I532" s="1">
        <v>3751.49</v>
      </c>
      <c r="J532" s="1">
        <f t="shared" si="58"/>
        <v>13505.364</v>
      </c>
      <c r="K532" s="1">
        <f t="shared" si="59"/>
        <v>1500.596</v>
      </c>
      <c r="L532" s="1">
        <v>15005.96</v>
      </c>
      <c r="M532" s="1">
        <f t="shared" si="60"/>
        <v>2701.0727999999999</v>
      </c>
      <c r="N532" s="1">
        <f t="shared" si="61"/>
        <v>17707.032800000001</v>
      </c>
      <c r="S532" t="str">
        <f t="shared" si="56"/>
        <v>Punjab</v>
      </c>
      <c r="W532" t="str">
        <f t="shared" si="57"/>
        <v>East</v>
      </c>
      <c r="AB532" t="str">
        <f t="shared" si="62"/>
        <v>PK-PB</v>
      </c>
    </row>
    <row r="533" spans="1:28" x14ac:dyDescent="0.25">
      <c r="A533" s="2">
        <v>45037</v>
      </c>
      <c r="B533" t="s">
        <v>43</v>
      </c>
      <c r="C533" t="s">
        <v>62</v>
      </c>
      <c r="D533" t="s">
        <v>65</v>
      </c>
      <c r="E533" t="s">
        <v>64</v>
      </c>
      <c r="F533" t="s">
        <v>23</v>
      </c>
      <c r="G533" t="s">
        <v>47</v>
      </c>
      <c r="H533">
        <v>19</v>
      </c>
      <c r="I533" s="1">
        <v>4513.6000000000004</v>
      </c>
      <c r="J533" s="1">
        <f t="shared" si="58"/>
        <v>77182.559999999998</v>
      </c>
      <c r="K533" s="1">
        <f t="shared" si="59"/>
        <v>8575.84</v>
      </c>
      <c r="L533" s="1">
        <v>85758.399999999994</v>
      </c>
      <c r="M533" s="1">
        <f t="shared" si="60"/>
        <v>15436.511999999999</v>
      </c>
      <c r="N533" s="1">
        <f t="shared" si="61"/>
        <v>101194.912</v>
      </c>
      <c r="S533" t="str">
        <f t="shared" si="56"/>
        <v>Punjab</v>
      </c>
      <c r="W533" t="str">
        <f t="shared" si="57"/>
        <v>East</v>
      </c>
      <c r="AB533" t="str">
        <f t="shared" si="62"/>
        <v>PK-PB</v>
      </c>
    </row>
    <row r="534" spans="1:28" x14ac:dyDescent="0.25">
      <c r="A534" s="2">
        <v>44937</v>
      </c>
      <c r="B534" t="s">
        <v>40</v>
      </c>
      <c r="C534" t="s">
        <v>17</v>
      </c>
      <c r="D534" t="s">
        <v>65</v>
      </c>
      <c r="E534" t="s">
        <v>64</v>
      </c>
      <c r="F534" t="s">
        <v>14</v>
      </c>
      <c r="G534" t="s">
        <v>53</v>
      </c>
      <c r="H534">
        <v>11</v>
      </c>
      <c r="I534" s="1">
        <v>3514.12</v>
      </c>
      <c r="J534" s="1">
        <f t="shared" si="58"/>
        <v>34789.788</v>
      </c>
      <c r="K534" s="1">
        <f t="shared" si="59"/>
        <v>3865.5320000000002</v>
      </c>
      <c r="L534" s="1">
        <v>38655.32</v>
      </c>
      <c r="M534" s="1">
        <f t="shared" si="60"/>
        <v>6957.9575999999997</v>
      </c>
      <c r="N534" s="1">
        <f t="shared" si="61"/>
        <v>45613.277600000001</v>
      </c>
      <c r="S534" t="str">
        <f t="shared" si="56"/>
        <v>Punjab</v>
      </c>
      <c r="W534" t="str">
        <f t="shared" si="57"/>
        <v>East</v>
      </c>
      <c r="AB534" t="str">
        <f t="shared" si="62"/>
        <v>PK-PB</v>
      </c>
    </row>
    <row r="535" spans="1:28" x14ac:dyDescent="0.25">
      <c r="A535" s="2">
        <v>45273</v>
      </c>
      <c r="B535" t="s">
        <v>38</v>
      </c>
      <c r="C535" t="s">
        <v>57</v>
      </c>
      <c r="D535" t="s">
        <v>22</v>
      </c>
      <c r="E535" t="s">
        <v>13</v>
      </c>
      <c r="F535" t="s">
        <v>14</v>
      </c>
      <c r="G535" t="s">
        <v>45</v>
      </c>
      <c r="H535">
        <v>13</v>
      </c>
      <c r="I535" s="1">
        <v>2109.15</v>
      </c>
      <c r="J535" s="1">
        <f t="shared" si="58"/>
        <v>24677.055</v>
      </c>
      <c r="K535" s="1">
        <f t="shared" si="59"/>
        <v>2741.8950000000004</v>
      </c>
      <c r="L535" s="1">
        <v>27418.95</v>
      </c>
      <c r="M535" s="1">
        <f t="shared" si="60"/>
        <v>4935.4110000000001</v>
      </c>
      <c r="N535" s="1">
        <f t="shared" si="61"/>
        <v>32354.361000000001</v>
      </c>
      <c r="S535" t="str">
        <f t="shared" si="56"/>
        <v>Balochistan</v>
      </c>
      <c r="W535" t="str">
        <f t="shared" si="57"/>
        <v>West</v>
      </c>
      <c r="AB535" t="str">
        <f t="shared" si="62"/>
        <v>PK-BA</v>
      </c>
    </row>
    <row r="536" spans="1:28" x14ac:dyDescent="0.25">
      <c r="A536" s="2">
        <v>44985</v>
      </c>
      <c r="B536" t="s">
        <v>16</v>
      </c>
      <c r="C536" t="s">
        <v>17</v>
      </c>
      <c r="D536" t="s">
        <v>65</v>
      </c>
      <c r="E536" t="s">
        <v>64</v>
      </c>
      <c r="F536" t="s">
        <v>23</v>
      </c>
      <c r="G536" t="s">
        <v>37</v>
      </c>
      <c r="H536">
        <v>16</v>
      </c>
      <c r="I536" s="1">
        <v>4090.26</v>
      </c>
      <c r="J536" s="1">
        <f t="shared" si="58"/>
        <v>58899.744000000006</v>
      </c>
      <c r="K536" s="1">
        <f t="shared" si="59"/>
        <v>6544.4160000000011</v>
      </c>
      <c r="L536" s="1">
        <v>65444.160000000003</v>
      </c>
      <c r="M536" s="1">
        <f t="shared" si="60"/>
        <v>11779.9488</v>
      </c>
      <c r="N536" s="1">
        <f t="shared" si="61"/>
        <v>77224.108800000002</v>
      </c>
      <c r="S536" t="str">
        <f t="shared" si="56"/>
        <v>Punjab</v>
      </c>
      <c r="W536" t="str">
        <f t="shared" si="57"/>
        <v>East</v>
      </c>
      <c r="AB536" t="str">
        <f t="shared" si="62"/>
        <v>PK-PB</v>
      </c>
    </row>
    <row r="537" spans="1:28" x14ac:dyDescent="0.25">
      <c r="A537" s="2">
        <v>45132</v>
      </c>
      <c r="B537" t="s">
        <v>21</v>
      </c>
      <c r="C537" t="s">
        <v>63</v>
      </c>
      <c r="D537" t="s">
        <v>65</v>
      </c>
      <c r="E537" t="s">
        <v>64</v>
      </c>
      <c r="F537" t="s">
        <v>23</v>
      </c>
      <c r="G537" t="s">
        <v>39</v>
      </c>
      <c r="H537">
        <v>12</v>
      </c>
      <c r="I537" s="1">
        <v>219.32</v>
      </c>
      <c r="J537" s="1">
        <f t="shared" si="58"/>
        <v>2368.6560000000004</v>
      </c>
      <c r="K537" s="1">
        <f t="shared" si="59"/>
        <v>263.18400000000003</v>
      </c>
      <c r="L537" s="1">
        <v>2631.84</v>
      </c>
      <c r="M537" s="1">
        <f t="shared" si="60"/>
        <v>473.7312</v>
      </c>
      <c r="N537" s="1">
        <f t="shared" si="61"/>
        <v>3105.5712000000003</v>
      </c>
      <c r="S537" t="str">
        <f t="shared" si="56"/>
        <v>Punjab</v>
      </c>
      <c r="W537" t="str">
        <f t="shared" si="57"/>
        <v>East</v>
      </c>
      <c r="AB537" t="str">
        <f t="shared" si="62"/>
        <v>PK-PB</v>
      </c>
    </row>
    <row r="538" spans="1:28" x14ac:dyDescent="0.25">
      <c r="A538" s="2">
        <v>45277</v>
      </c>
      <c r="B538" t="s">
        <v>10</v>
      </c>
      <c r="C538" t="s">
        <v>61</v>
      </c>
      <c r="D538" t="s">
        <v>65</v>
      </c>
      <c r="E538" t="s">
        <v>64</v>
      </c>
      <c r="F538" t="s">
        <v>19</v>
      </c>
      <c r="G538" t="s">
        <v>48</v>
      </c>
      <c r="H538">
        <v>14</v>
      </c>
      <c r="I538" s="1">
        <v>264.77</v>
      </c>
      <c r="J538" s="1">
        <f t="shared" si="58"/>
        <v>3336.1020000000003</v>
      </c>
      <c r="K538" s="1">
        <f t="shared" si="59"/>
        <v>370.67800000000005</v>
      </c>
      <c r="L538" s="1">
        <v>3706.78</v>
      </c>
      <c r="M538" s="1">
        <f t="shared" si="60"/>
        <v>667.22040000000004</v>
      </c>
      <c r="N538" s="1">
        <f t="shared" si="61"/>
        <v>4374.0003999999999</v>
      </c>
      <c r="S538" t="str">
        <f t="shared" si="56"/>
        <v>Punjab</v>
      </c>
      <c r="W538" t="str">
        <f t="shared" si="57"/>
        <v>East</v>
      </c>
      <c r="AB538" t="str">
        <f t="shared" si="62"/>
        <v>PK-PB</v>
      </c>
    </row>
    <row r="539" spans="1:28" x14ac:dyDescent="0.25">
      <c r="A539" s="2">
        <v>45047</v>
      </c>
      <c r="B539" t="s">
        <v>40</v>
      </c>
      <c r="C539" t="s">
        <v>55</v>
      </c>
      <c r="D539" t="s">
        <v>66</v>
      </c>
      <c r="E539" t="s">
        <v>41</v>
      </c>
      <c r="F539" t="s">
        <v>23</v>
      </c>
      <c r="G539" t="s">
        <v>39</v>
      </c>
      <c r="H539">
        <v>9</v>
      </c>
      <c r="I539" s="1">
        <v>2624.88</v>
      </c>
      <c r="J539" s="1">
        <f t="shared" si="58"/>
        <v>21261.527999999998</v>
      </c>
      <c r="K539" s="1">
        <f t="shared" si="59"/>
        <v>2362.3919999999998</v>
      </c>
      <c r="L539" s="1">
        <v>23623.919999999998</v>
      </c>
      <c r="M539" s="1">
        <f t="shared" si="60"/>
        <v>4252.3055999999997</v>
      </c>
      <c r="N539" s="1">
        <f t="shared" si="61"/>
        <v>27876.225599999998</v>
      </c>
      <c r="S539" t="str">
        <f t="shared" si="56"/>
        <v>Khyber Pakhtunkhwa</v>
      </c>
      <c r="W539" t="str">
        <f t="shared" si="57"/>
        <v>North</v>
      </c>
      <c r="AB539" t="str">
        <f t="shared" si="62"/>
        <v>Khyber Pakhtunkhwa</v>
      </c>
    </row>
    <row r="540" spans="1:28" x14ac:dyDescent="0.25">
      <c r="A540" s="2">
        <v>45081</v>
      </c>
      <c r="B540" t="s">
        <v>31</v>
      </c>
      <c r="C540" t="s">
        <v>60</v>
      </c>
      <c r="D540" t="s">
        <v>12</v>
      </c>
      <c r="E540" t="s">
        <v>18</v>
      </c>
      <c r="F540" t="s">
        <v>14</v>
      </c>
      <c r="G540" t="s">
        <v>51</v>
      </c>
      <c r="H540">
        <v>15</v>
      </c>
      <c r="I540" s="1">
        <v>1063.8800000000001</v>
      </c>
      <c r="J540" s="1">
        <f t="shared" si="58"/>
        <v>14362.380000000001</v>
      </c>
      <c r="K540" s="1">
        <f t="shared" si="59"/>
        <v>1595.8200000000002</v>
      </c>
      <c r="L540" s="1">
        <v>15958.2</v>
      </c>
      <c r="M540" s="1">
        <f t="shared" si="60"/>
        <v>2872.4760000000001</v>
      </c>
      <c r="N540" s="1">
        <f t="shared" si="61"/>
        <v>18830.675999999999</v>
      </c>
      <c r="S540" t="str">
        <f t="shared" si="56"/>
        <v>Sindh</v>
      </c>
      <c r="W540" t="str">
        <f t="shared" si="57"/>
        <v>South</v>
      </c>
      <c r="AB540" t="str">
        <f t="shared" si="62"/>
        <v>PK-SD</v>
      </c>
    </row>
    <row r="541" spans="1:28" x14ac:dyDescent="0.25">
      <c r="A541" s="2">
        <v>44980</v>
      </c>
      <c r="B541" t="s">
        <v>40</v>
      </c>
      <c r="C541" t="s">
        <v>56</v>
      </c>
      <c r="D541" t="s">
        <v>12</v>
      </c>
      <c r="E541" t="s">
        <v>18</v>
      </c>
      <c r="F541" t="s">
        <v>23</v>
      </c>
      <c r="G541" t="s">
        <v>39</v>
      </c>
      <c r="H541">
        <v>2</v>
      </c>
      <c r="I541" s="1">
        <v>4277.8999999999996</v>
      </c>
      <c r="J541" s="1">
        <f t="shared" si="58"/>
        <v>7700.2199999999993</v>
      </c>
      <c r="K541" s="1">
        <f t="shared" si="59"/>
        <v>855.57999999999993</v>
      </c>
      <c r="L541" s="1">
        <v>8555.7999999999993</v>
      </c>
      <c r="M541" s="1">
        <f t="shared" si="60"/>
        <v>1540.0439999999999</v>
      </c>
      <c r="N541" s="1">
        <f t="shared" si="61"/>
        <v>10095.843999999999</v>
      </c>
      <c r="S541" t="str">
        <f t="shared" si="56"/>
        <v>Sindh</v>
      </c>
      <c r="W541" t="str">
        <f t="shared" si="57"/>
        <v>South</v>
      </c>
      <c r="AB541" t="str">
        <f t="shared" si="62"/>
        <v>PK-SD</v>
      </c>
    </row>
    <row r="542" spans="1:28" x14ac:dyDescent="0.25">
      <c r="A542" s="2">
        <v>45249</v>
      </c>
      <c r="B542" t="s">
        <v>10</v>
      </c>
      <c r="C542" t="s">
        <v>35</v>
      </c>
      <c r="D542" t="s">
        <v>65</v>
      </c>
      <c r="E542" t="s">
        <v>64</v>
      </c>
      <c r="F542" t="s">
        <v>23</v>
      </c>
      <c r="G542" t="s">
        <v>47</v>
      </c>
      <c r="H542">
        <v>13</v>
      </c>
      <c r="I542" s="1">
        <v>1762.69</v>
      </c>
      <c r="J542" s="1">
        <f t="shared" si="58"/>
        <v>20623.473000000002</v>
      </c>
      <c r="K542" s="1">
        <f t="shared" si="59"/>
        <v>2291.4970000000003</v>
      </c>
      <c r="L542" s="1">
        <v>22914.97</v>
      </c>
      <c r="M542" s="1">
        <f t="shared" si="60"/>
        <v>4124.6945999999998</v>
      </c>
      <c r="N542" s="1">
        <f t="shared" si="61"/>
        <v>27039.6646</v>
      </c>
      <c r="S542" t="str">
        <f t="shared" si="56"/>
        <v>Punjab</v>
      </c>
      <c r="W542" t="str">
        <f t="shared" si="57"/>
        <v>East</v>
      </c>
      <c r="AB542" t="str">
        <f t="shared" si="62"/>
        <v>PK-PB</v>
      </c>
    </row>
    <row r="543" spans="1:28" x14ac:dyDescent="0.25">
      <c r="A543" s="2">
        <v>45043</v>
      </c>
      <c r="B543" t="s">
        <v>29</v>
      </c>
      <c r="C543" t="s">
        <v>57</v>
      </c>
      <c r="D543" t="s">
        <v>22</v>
      </c>
      <c r="E543" t="s">
        <v>13</v>
      </c>
      <c r="F543" t="s">
        <v>23</v>
      </c>
      <c r="G543" t="s">
        <v>47</v>
      </c>
      <c r="H543">
        <v>6</v>
      </c>
      <c r="I543" s="1">
        <v>2069.96</v>
      </c>
      <c r="J543" s="1">
        <f t="shared" si="58"/>
        <v>11177.784</v>
      </c>
      <c r="K543" s="1">
        <f t="shared" si="59"/>
        <v>1241.9760000000001</v>
      </c>
      <c r="L543" s="1">
        <v>12419.76</v>
      </c>
      <c r="M543" s="1">
        <f t="shared" si="60"/>
        <v>2235.5567999999998</v>
      </c>
      <c r="N543" s="1">
        <f t="shared" si="61"/>
        <v>14655.316800000001</v>
      </c>
      <c r="S543" t="str">
        <f t="shared" si="56"/>
        <v>Balochistan</v>
      </c>
      <c r="W543" t="str">
        <f t="shared" si="57"/>
        <v>West</v>
      </c>
      <c r="AB543" t="str">
        <f t="shared" si="62"/>
        <v>PK-BA</v>
      </c>
    </row>
    <row r="544" spans="1:28" x14ac:dyDescent="0.25">
      <c r="A544" s="2">
        <v>45153</v>
      </c>
      <c r="B544" t="s">
        <v>16</v>
      </c>
      <c r="C544" t="s">
        <v>26</v>
      </c>
      <c r="D544" t="s">
        <v>12</v>
      </c>
      <c r="E544" t="s">
        <v>18</v>
      </c>
      <c r="F544" t="s">
        <v>23</v>
      </c>
      <c r="G544" t="s">
        <v>39</v>
      </c>
      <c r="H544">
        <v>19</v>
      </c>
      <c r="I544" s="1">
        <v>3822.54</v>
      </c>
      <c r="J544" s="1">
        <f t="shared" si="58"/>
        <v>65365.433999999994</v>
      </c>
      <c r="K544" s="1">
        <f t="shared" si="59"/>
        <v>7262.826</v>
      </c>
      <c r="L544" s="1">
        <v>72628.259999999995</v>
      </c>
      <c r="M544" s="1">
        <f t="shared" si="60"/>
        <v>13073.086799999999</v>
      </c>
      <c r="N544" s="1">
        <f t="shared" si="61"/>
        <v>85701.346799999999</v>
      </c>
      <c r="S544" t="str">
        <f t="shared" si="56"/>
        <v>Sindh</v>
      </c>
      <c r="W544" t="str">
        <f t="shared" si="57"/>
        <v>South</v>
      </c>
      <c r="AB544" t="str">
        <f t="shared" si="62"/>
        <v>PK-SD</v>
      </c>
    </row>
    <row r="545" spans="1:28" x14ac:dyDescent="0.25">
      <c r="A545" s="2">
        <v>45205</v>
      </c>
      <c r="B545" t="s">
        <v>16</v>
      </c>
      <c r="C545" t="s">
        <v>26</v>
      </c>
      <c r="D545" t="s">
        <v>12</v>
      </c>
      <c r="E545" t="s">
        <v>18</v>
      </c>
      <c r="F545" t="s">
        <v>27</v>
      </c>
      <c r="G545" t="s">
        <v>44</v>
      </c>
      <c r="H545">
        <v>16</v>
      </c>
      <c r="I545" s="1">
        <v>242.23</v>
      </c>
      <c r="J545" s="1">
        <f t="shared" si="58"/>
        <v>3488.1120000000001</v>
      </c>
      <c r="K545" s="1">
        <f t="shared" si="59"/>
        <v>387.56799999999998</v>
      </c>
      <c r="L545" s="1">
        <v>3875.68</v>
      </c>
      <c r="M545" s="1">
        <f t="shared" si="60"/>
        <v>697.62239999999997</v>
      </c>
      <c r="N545" s="1">
        <f t="shared" si="61"/>
        <v>4573.3023999999996</v>
      </c>
      <c r="S545" t="str">
        <f t="shared" si="56"/>
        <v>Sindh</v>
      </c>
      <c r="W545" t="str">
        <f t="shared" si="57"/>
        <v>South</v>
      </c>
      <c r="AB545" t="str">
        <f t="shared" si="62"/>
        <v>PK-SD</v>
      </c>
    </row>
    <row r="546" spans="1:28" x14ac:dyDescent="0.25">
      <c r="A546" s="2">
        <v>45106</v>
      </c>
      <c r="B546" t="s">
        <v>31</v>
      </c>
      <c r="C546" t="s">
        <v>60</v>
      </c>
      <c r="D546" t="s">
        <v>12</v>
      </c>
      <c r="E546" t="s">
        <v>18</v>
      </c>
      <c r="F546" t="s">
        <v>19</v>
      </c>
      <c r="G546" t="s">
        <v>30</v>
      </c>
      <c r="H546">
        <v>12</v>
      </c>
      <c r="I546" s="1">
        <v>2290.7600000000002</v>
      </c>
      <c r="J546" s="1">
        <f t="shared" si="58"/>
        <v>24740.207999999999</v>
      </c>
      <c r="K546" s="1">
        <f t="shared" si="59"/>
        <v>2748.9120000000003</v>
      </c>
      <c r="L546" s="1">
        <v>27489.119999999999</v>
      </c>
      <c r="M546" s="1">
        <f t="shared" si="60"/>
        <v>4948.0415999999996</v>
      </c>
      <c r="N546" s="1">
        <f t="shared" si="61"/>
        <v>32437.161599999999</v>
      </c>
      <c r="S546" t="str">
        <f t="shared" si="56"/>
        <v>Sindh</v>
      </c>
      <c r="W546" t="str">
        <f t="shared" si="57"/>
        <v>South</v>
      </c>
      <c r="AB546" t="str">
        <f t="shared" si="62"/>
        <v>PK-SD</v>
      </c>
    </row>
    <row r="547" spans="1:28" x14ac:dyDescent="0.25">
      <c r="A547" s="2">
        <v>45195</v>
      </c>
      <c r="B547" t="s">
        <v>43</v>
      </c>
      <c r="C547" t="s">
        <v>26</v>
      </c>
      <c r="D547" t="s">
        <v>12</v>
      </c>
      <c r="E547" t="s">
        <v>18</v>
      </c>
      <c r="F547" t="s">
        <v>23</v>
      </c>
      <c r="G547" t="s">
        <v>39</v>
      </c>
      <c r="H547">
        <v>18</v>
      </c>
      <c r="I547" s="1">
        <v>1957.78</v>
      </c>
      <c r="J547" s="1">
        <f t="shared" si="58"/>
        <v>31716.036</v>
      </c>
      <c r="K547" s="1">
        <f t="shared" si="59"/>
        <v>3524.0040000000004</v>
      </c>
      <c r="L547" s="1">
        <v>35240.04</v>
      </c>
      <c r="M547" s="1">
        <f t="shared" si="60"/>
        <v>6343.2071999999998</v>
      </c>
      <c r="N547" s="1">
        <f t="shared" si="61"/>
        <v>41583.247199999998</v>
      </c>
      <c r="S547" t="str">
        <f t="shared" si="56"/>
        <v>Sindh</v>
      </c>
      <c r="W547" t="str">
        <f t="shared" si="57"/>
        <v>South</v>
      </c>
      <c r="AB547" t="str">
        <f t="shared" si="62"/>
        <v>PK-SD</v>
      </c>
    </row>
    <row r="548" spans="1:28" x14ac:dyDescent="0.25">
      <c r="A548" s="2">
        <v>45236</v>
      </c>
      <c r="B548" t="s">
        <v>38</v>
      </c>
      <c r="C548" t="s">
        <v>26</v>
      </c>
      <c r="D548" t="s">
        <v>12</v>
      </c>
      <c r="E548" t="s">
        <v>18</v>
      </c>
      <c r="F548" t="s">
        <v>19</v>
      </c>
      <c r="G548" t="s">
        <v>52</v>
      </c>
      <c r="H548">
        <v>1</v>
      </c>
      <c r="I548" s="1">
        <v>4370.57</v>
      </c>
      <c r="J548" s="1">
        <f t="shared" si="58"/>
        <v>3933.5129999999999</v>
      </c>
      <c r="K548" s="1">
        <f t="shared" si="59"/>
        <v>437.05700000000002</v>
      </c>
      <c r="L548" s="1">
        <v>4370.57</v>
      </c>
      <c r="M548" s="1">
        <f t="shared" si="60"/>
        <v>786.70259999999996</v>
      </c>
      <c r="N548" s="1">
        <f t="shared" si="61"/>
        <v>5157.2725999999993</v>
      </c>
      <c r="S548" t="str">
        <f t="shared" si="56"/>
        <v>Sindh</v>
      </c>
      <c r="W548" t="str">
        <f t="shared" si="57"/>
        <v>South</v>
      </c>
      <c r="AB548" t="str">
        <f t="shared" si="62"/>
        <v>PK-SD</v>
      </c>
    </row>
    <row r="549" spans="1:28" x14ac:dyDescent="0.25">
      <c r="A549" s="2">
        <v>45065</v>
      </c>
      <c r="B549" t="s">
        <v>29</v>
      </c>
      <c r="C549" t="s">
        <v>26</v>
      </c>
      <c r="D549" t="s">
        <v>12</v>
      </c>
      <c r="E549" t="s">
        <v>18</v>
      </c>
      <c r="F549" t="s">
        <v>27</v>
      </c>
      <c r="G549" t="s">
        <v>42</v>
      </c>
      <c r="H549">
        <v>3</v>
      </c>
      <c r="I549" s="1">
        <v>1894.71</v>
      </c>
      <c r="J549" s="1">
        <f t="shared" si="58"/>
        <v>5115.7170000000006</v>
      </c>
      <c r="K549" s="1">
        <f t="shared" si="59"/>
        <v>568.41300000000001</v>
      </c>
      <c r="L549" s="1">
        <v>5684.13</v>
      </c>
      <c r="M549" s="1">
        <f t="shared" si="60"/>
        <v>1023.1433999999999</v>
      </c>
      <c r="N549" s="1">
        <f t="shared" si="61"/>
        <v>6707.2734</v>
      </c>
      <c r="S549" t="str">
        <f t="shared" si="56"/>
        <v>Sindh</v>
      </c>
      <c r="W549" t="str">
        <f t="shared" si="57"/>
        <v>South</v>
      </c>
      <c r="AB549" t="str">
        <f t="shared" si="62"/>
        <v>PK-SD</v>
      </c>
    </row>
    <row r="550" spans="1:28" x14ac:dyDescent="0.25">
      <c r="A550" s="2">
        <v>45242</v>
      </c>
      <c r="B550" t="s">
        <v>21</v>
      </c>
      <c r="C550" t="s">
        <v>60</v>
      </c>
      <c r="D550" t="s">
        <v>12</v>
      </c>
      <c r="E550" t="s">
        <v>18</v>
      </c>
      <c r="F550" t="s">
        <v>27</v>
      </c>
      <c r="G550" t="s">
        <v>46</v>
      </c>
      <c r="H550">
        <v>14</v>
      </c>
      <c r="I550" s="1">
        <v>367.1</v>
      </c>
      <c r="J550" s="1">
        <f t="shared" si="58"/>
        <v>4625.46</v>
      </c>
      <c r="K550" s="1">
        <f t="shared" si="59"/>
        <v>513.93999999999994</v>
      </c>
      <c r="L550" s="1">
        <v>5139.3999999999996</v>
      </c>
      <c r="M550" s="1">
        <f t="shared" si="60"/>
        <v>925.09199999999987</v>
      </c>
      <c r="N550" s="1">
        <f t="shared" si="61"/>
        <v>6064.4919999999993</v>
      </c>
      <c r="S550" t="str">
        <f t="shared" si="56"/>
        <v>Sindh</v>
      </c>
      <c r="W550" t="str">
        <f t="shared" si="57"/>
        <v>South</v>
      </c>
      <c r="AB550" t="str">
        <f t="shared" si="62"/>
        <v>PK-SD</v>
      </c>
    </row>
    <row r="551" spans="1:28" x14ac:dyDescent="0.25">
      <c r="A551" s="2">
        <v>45131</v>
      </c>
      <c r="B551" t="s">
        <v>25</v>
      </c>
      <c r="C551" t="s">
        <v>63</v>
      </c>
      <c r="D551" t="s">
        <v>65</v>
      </c>
      <c r="E551" t="s">
        <v>64</v>
      </c>
      <c r="F551" t="s">
        <v>32</v>
      </c>
      <c r="G551" t="s">
        <v>33</v>
      </c>
      <c r="H551">
        <v>10</v>
      </c>
      <c r="I551" s="1">
        <v>4678.49</v>
      </c>
      <c r="J551" s="1">
        <f t="shared" si="58"/>
        <v>42106.41</v>
      </c>
      <c r="K551" s="1">
        <f t="shared" si="59"/>
        <v>4678.4900000000007</v>
      </c>
      <c r="L551" s="1">
        <v>46784.9</v>
      </c>
      <c r="M551" s="1">
        <f t="shared" si="60"/>
        <v>8421.2819999999992</v>
      </c>
      <c r="N551" s="1">
        <f t="shared" si="61"/>
        <v>55206.182000000001</v>
      </c>
      <c r="S551" t="str">
        <f t="shared" si="56"/>
        <v>Punjab</v>
      </c>
      <c r="W551" t="str">
        <f t="shared" si="57"/>
        <v>East</v>
      </c>
      <c r="AB551" t="str">
        <f t="shared" si="62"/>
        <v>PK-PB</v>
      </c>
    </row>
    <row r="552" spans="1:28" x14ac:dyDescent="0.25">
      <c r="A552" s="2">
        <v>44967</v>
      </c>
      <c r="B552" t="s">
        <v>16</v>
      </c>
      <c r="C552" t="s">
        <v>61</v>
      </c>
      <c r="D552" t="s">
        <v>65</v>
      </c>
      <c r="E552" t="s">
        <v>64</v>
      </c>
      <c r="F552" t="s">
        <v>27</v>
      </c>
      <c r="G552" t="s">
        <v>44</v>
      </c>
      <c r="H552">
        <v>12</v>
      </c>
      <c r="I552" s="1">
        <v>1020.42</v>
      </c>
      <c r="J552" s="1">
        <f t="shared" si="58"/>
        <v>11020.536000000002</v>
      </c>
      <c r="K552" s="1">
        <f t="shared" si="59"/>
        <v>1224.5040000000001</v>
      </c>
      <c r="L552" s="1">
        <v>12245.04</v>
      </c>
      <c r="M552" s="1">
        <f t="shared" si="60"/>
        <v>2204.1071999999999</v>
      </c>
      <c r="N552" s="1">
        <f t="shared" si="61"/>
        <v>14449.147200000001</v>
      </c>
      <c r="S552" t="str">
        <f t="shared" si="56"/>
        <v>Punjab</v>
      </c>
      <c r="W552" t="str">
        <f t="shared" si="57"/>
        <v>East</v>
      </c>
      <c r="AB552" t="str">
        <f t="shared" si="62"/>
        <v>PK-PB</v>
      </c>
    </row>
    <row r="553" spans="1:28" x14ac:dyDescent="0.25">
      <c r="A553" s="2">
        <v>45065</v>
      </c>
      <c r="B553" t="s">
        <v>29</v>
      </c>
      <c r="C553" t="s">
        <v>54</v>
      </c>
      <c r="D553" t="s">
        <v>12</v>
      </c>
      <c r="E553" t="s">
        <v>18</v>
      </c>
      <c r="F553" t="s">
        <v>32</v>
      </c>
      <c r="G553" t="s">
        <v>36</v>
      </c>
      <c r="H553">
        <v>15</v>
      </c>
      <c r="I553" s="1">
        <v>1669.04</v>
      </c>
      <c r="J553" s="1">
        <f t="shared" si="58"/>
        <v>22532.04</v>
      </c>
      <c r="K553" s="1">
        <f t="shared" si="59"/>
        <v>2503.56</v>
      </c>
      <c r="L553" s="1">
        <v>25035.599999999999</v>
      </c>
      <c r="M553" s="1">
        <f t="shared" si="60"/>
        <v>4506.4079999999994</v>
      </c>
      <c r="N553" s="1">
        <f t="shared" si="61"/>
        <v>29542.007999999998</v>
      </c>
      <c r="S553" t="str">
        <f t="shared" si="56"/>
        <v>Sindh</v>
      </c>
      <c r="W553" t="str">
        <f t="shared" si="57"/>
        <v>South</v>
      </c>
      <c r="AB553" t="str">
        <f t="shared" si="62"/>
        <v>PK-SD</v>
      </c>
    </row>
    <row r="554" spans="1:28" x14ac:dyDescent="0.25">
      <c r="A554" s="2">
        <v>45186</v>
      </c>
      <c r="B554" t="s">
        <v>40</v>
      </c>
      <c r="C554" t="s">
        <v>59</v>
      </c>
      <c r="D554" t="s">
        <v>66</v>
      </c>
      <c r="E554" t="s">
        <v>41</v>
      </c>
      <c r="F554" t="s">
        <v>19</v>
      </c>
      <c r="G554" t="s">
        <v>52</v>
      </c>
      <c r="H554">
        <v>18</v>
      </c>
      <c r="I554" s="1">
        <v>138.01</v>
      </c>
      <c r="J554" s="1">
        <f t="shared" si="58"/>
        <v>2235.7619999999997</v>
      </c>
      <c r="K554" s="1">
        <f t="shared" si="59"/>
        <v>248.41800000000001</v>
      </c>
      <c r="L554" s="1">
        <v>2484.1799999999998</v>
      </c>
      <c r="M554" s="1">
        <f t="shared" si="60"/>
        <v>447.15239999999994</v>
      </c>
      <c r="N554" s="1">
        <f t="shared" si="61"/>
        <v>2931.3323999999998</v>
      </c>
      <c r="S554" t="str">
        <f t="shared" si="56"/>
        <v>Khyber Pakhtunkhwa</v>
      </c>
      <c r="W554" t="str">
        <f t="shared" si="57"/>
        <v>North</v>
      </c>
      <c r="AB554" t="str">
        <f t="shared" si="62"/>
        <v>Khyber Pakhtunkhwa</v>
      </c>
    </row>
    <row r="555" spans="1:28" x14ac:dyDescent="0.25">
      <c r="A555" s="2">
        <v>45138</v>
      </c>
      <c r="B555" t="s">
        <v>40</v>
      </c>
      <c r="C555" t="s">
        <v>35</v>
      </c>
      <c r="D555" t="s">
        <v>65</v>
      </c>
      <c r="E555" t="s">
        <v>64</v>
      </c>
      <c r="F555" t="s">
        <v>19</v>
      </c>
      <c r="G555" t="s">
        <v>20</v>
      </c>
      <c r="H555">
        <v>6</v>
      </c>
      <c r="I555" s="1">
        <v>3847.76</v>
      </c>
      <c r="J555" s="1">
        <f t="shared" si="58"/>
        <v>20777.904000000002</v>
      </c>
      <c r="K555" s="1">
        <f t="shared" si="59"/>
        <v>2308.6560000000004</v>
      </c>
      <c r="L555" s="1">
        <v>23086.560000000001</v>
      </c>
      <c r="M555" s="1">
        <f t="shared" si="60"/>
        <v>4155.5807999999997</v>
      </c>
      <c r="N555" s="1">
        <f t="shared" si="61"/>
        <v>27242.140800000001</v>
      </c>
      <c r="S555" t="str">
        <f t="shared" si="56"/>
        <v>Punjab</v>
      </c>
      <c r="W555" t="str">
        <f t="shared" si="57"/>
        <v>East</v>
      </c>
      <c r="AB555" t="str">
        <f t="shared" si="62"/>
        <v>PK-PB</v>
      </c>
    </row>
    <row r="556" spans="1:28" x14ac:dyDescent="0.25">
      <c r="A556" s="2">
        <v>45147</v>
      </c>
      <c r="B556" t="s">
        <v>38</v>
      </c>
      <c r="C556" t="s">
        <v>26</v>
      </c>
      <c r="D556" t="s">
        <v>12</v>
      </c>
      <c r="E556" t="s">
        <v>18</v>
      </c>
      <c r="F556" t="s">
        <v>27</v>
      </c>
      <c r="G556" t="s">
        <v>28</v>
      </c>
      <c r="H556">
        <v>4</v>
      </c>
      <c r="I556" s="1">
        <v>3246.52</v>
      </c>
      <c r="J556" s="1">
        <f t="shared" si="58"/>
        <v>11687.472</v>
      </c>
      <c r="K556" s="1">
        <f t="shared" si="59"/>
        <v>1298.6080000000002</v>
      </c>
      <c r="L556" s="1">
        <v>12986.08</v>
      </c>
      <c r="M556" s="1">
        <f t="shared" si="60"/>
        <v>2337.4944</v>
      </c>
      <c r="N556" s="1">
        <f t="shared" si="61"/>
        <v>15323.5744</v>
      </c>
      <c r="S556" t="str">
        <f t="shared" si="56"/>
        <v>Sindh</v>
      </c>
      <c r="W556" t="str">
        <f t="shared" si="57"/>
        <v>South</v>
      </c>
      <c r="AB556" t="str">
        <f t="shared" si="62"/>
        <v>PK-SD</v>
      </c>
    </row>
    <row r="557" spans="1:28" x14ac:dyDescent="0.25">
      <c r="A557" s="2">
        <v>44956</v>
      </c>
      <c r="B557" t="s">
        <v>43</v>
      </c>
      <c r="C557" t="s">
        <v>26</v>
      </c>
      <c r="D557" t="s">
        <v>12</v>
      </c>
      <c r="E557" t="s">
        <v>18</v>
      </c>
      <c r="F557" t="s">
        <v>19</v>
      </c>
      <c r="G557" t="s">
        <v>48</v>
      </c>
      <c r="H557">
        <v>14</v>
      </c>
      <c r="I557" s="1">
        <v>569.91</v>
      </c>
      <c r="J557" s="1">
        <f t="shared" si="58"/>
        <v>7180.866</v>
      </c>
      <c r="K557" s="1">
        <f t="shared" si="59"/>
        <v>797.87400000000002</v>
      </c>
      <c r="L557" s="1">
        <v>7978.74</v>
      </c>
      <c r="M557" s="1">
        <f t="shared" si="60"/>
        <v>1436.1732</v>
      </c>
      <c r="N557" s="1">
        <f t="shared" si="61"/>
        <v>9414.9131999999991</v>
      </c>
      <c r="S557" t="str">
        <f t="shared" si="56"/>
        <v>Sindh</v>
      </c>
      <c r="W557" t="str">
        <f t="shared" si="57"/>
        <v>South</v>
      </c>
      <c r="AB557" t="str">
        <f t="shared" si="62"/>
        <v>PK-SD</v>
      </c>
    </row>
    <row r="558" spans="1:28" x14ac:dyDescent="0.25">
      <c r="A558" s="2">
        <v>44938</v>
      </c>
      <c r="B558" t="s">
        <v>34</v>
      </c>
      <c r="C558" t="s">
        <v>56</v>
      </c>
      <c r="D558" t="s">
        <v>12</v>
      </c>
      <c r="E558" t="s">
        <v>18</v>
      </c>
      <c r="F558" t="s">
        <v>32</v>
      </c>
      <c r="G558" t="s">
        <v>36</v>
      </c>
      <c r="H558">
        <v>15</v>
      </c>
      <c r="I558" s="1">
        <v>4316.17</v>
      </c>
      <c r="J558" s="1">
        <f t="shared" si="58"/>
        <v>58268.295000000006</v>
      </c>
      <c r="K558" s="1">
        <f t="shared" si="59"/>
        <v>6474.255000000001</v>
      </c>
      <c r="L558" s="1">
        <v>64742.55</v>
      </c>
      <c r="M558" s="1">
        <f t="shared" si="60"/>
        <v>11653.659</v>
      </c>
      <c r="N558" s="1">
        <f t="shared" si="61"/>
        <v>76396.209000000003</v>
      </c>
      <c r="S558" t="str">
        <f t="shared" si="56"/>
        <v>Sindh</v>
      </c>
      <c r="W558" t="str">
        <f t="shared" si="57"/>
        <v>South</v>
      </c>
      <c r="AB558" t="str">
        <f t="shared" si="62"/>
        <v>PK-SD</v>
      </c>
    </row>
    <row r="559" spans="1:28" x14ac:dyDescent="0.25">
      <c r="A559" s="2">
        <v>45219</v>
      </c>
      <c r="B559" t="s">
        <v>16</v>
      </c>
      <c r="C559" t="s">
        <v>56</v>
      </c>
      <c r="D559" t="s">
        <v>12</v>
      </c>
      <c r="E559" t="s">
        <v>18</v>
      </c>
      <c r="F559" t="s">
        <v>23</v>
      </c>
      <c r="G559" t="s">
        <v>24</v>
      </c>
      <c r="H559">
        <v>17</v>
      </c>
      <c r="I559" s="1">
        <v>2209.62</v>
      </c>
      <c r="J559" s="1">
        <f t="shared" si="58"/>
        <v>33807.186000000002</v>
      </c>
      <c r="K559" s="1">
        <f t="shared" si="59"/>
        <v>3756.3540000000003</v>
      </c>
      <c r="L559" s="1">
        <v>37563.54</v>
      </c>
      <c r="M559" s="1">
        <f t="shared" si="60"/>
        <v>6761.4372000000003</v>
      </c>
      <c r="N559" s="1">
        <f t="shared" si="61"/>
        <v>44324.977200000001</v>
      </c>
      <c r="S559" t="str">
        <f t="shared" si="56"/>
        <v>Sindh</v>
      </c>
      <c r="W559" t="str">
        <f t="shared" si="57"/>
        <v>South</v>
      </c>
      <c r="AB559" t="str">
        <f t="shared" si="62"/>
        <v>PK-SD</v>
      </c>
    </row>
    <row r="560" spans="1:28" x14ac:dyDescent="0.25">
      <c r="A560" s="2">
        <v>45206</v>
      </c>
      <c r="B560" t="s">
        <v>34</v>
      </c>
      <c r="C560" t="s">
        <v>58</v>
      </c>
      <c r="D560" t="s">
        <v>12</v>
      </c>
      <c r="E560" t="s">
        <v>18</v>
      </c>
      <c r="F560" t="s">
        <v>14</v>
      </c>
      <c r="G560" t="s">
        <v>51</v>
      </c>
      <c r="H560">
        <v>16</v>
      </c>
      <c r="I560" s="1">
        <v>3296.61</v>
      </c>
      <c r="J560" s="1">
        <f t="shared" si="58"/>
        <v>47471.184000000001</v>
      </c>
      <c r="K560" s="1">
        <f t="shared" si="59"/>
        <v>5274.5760000000009</v>
      </c>
      <c r="L560" s="1">
        <v>52745.760000000002</v>
      </c>
      <c r="M560" s="1">
        <f t="shared" si="60"/>
        <v>9494.2368000000006</v>
      </c>
      <c r="N560" s="1">
        <f t="shared" si="61"/>
        <v>62239.996800000001</v>
      </c>
      <c r="S560" t="str">
        <f t="shared" si="56"/>
        <v>Sindh</v>
      </c>
      <c r="W560" t="str">
        <f t="shared" si="57"/>
        <v>South</v>
      </c>
      <c r="AB560" t="str">
        <f t="shared" si="62"/>
        <v>PK-SD</v>
      </c>
    </row>
    <row r="561" spans="1:28" x14ac:dyDescent="0.25">
      <c r="A561" s="2">
        <v>45078</v>
      </c>
      <c r="B561" t="s">
        <v>10</v>
      </c>
      <c r="C561" t="s">
        <v>26</v>
      </c>
      <c r="D561" t="s">
        <v>12</v>
      </c>
      <c r="E561" t="s">
        <v>18</v>
      </c>
      <c r="F561" t="s">
        <v>14</v>
      </c>
      <c r="G561" t="s">
        <v>15</v>
      </c>
      <c r="H561">
        <v>13</v>
      </c>
      <c r="I561" s="1">
        <v>523.83000000000004</v>
      </c>
      <c r="J561" s="1">
        <f t="shared" si="58"/>
        <v>6128.8109999999997</v>
      </c>
      <c r="K561" s="1">
        <f t="shared" si="59"/>
        <v>680.97900000000004</v>
      </c>
      <c r="L561" s="1">
        <v>6809.79</v>
      </c>
      <c r="M561" s="1">
        <f t="shared" si="60"/>
        <v>1225.7621999999999</v>
      </c>
      <c r="N561" s="1">
        <f t="shared" si="61"/>
        <v>8035.5522000000001</v>
      </c>
      <c r="S561" t="str">
        <f t="shared" si="56"/>
        <v>Sindh</v>
      </c>
      <c r="W561" t="str">
        <f t="shared" si="57"/>
        <v>South</v>
      </c>
      <c r="AB561" t="str">
        <f t="shared" si="62"/>
        <v>PK-SD</v>
      </c>
    </row>
    <row r="562" spans="1:28" x14ac:dyDescent="0.25">
      <c r="A562" s="2">
        <v>45182</v>
      </c>
      <c r="B562" t="s">
        <v>29</v>
      </c>
      <c r="C562" t="s">
        <v>54</v>
      </c>
      <c r="D562" t="s">
        <v>12</v>
      </c>
      <c r="E562" t="s">
        <v>18</v>
      </c>
      <c r="F562" t="s">
        <v>32</v>
      </c>
      <c r="G562" t="s">
        <v>36</v>
      </c>
      <c r="H562">
        <v>3</v>
      </c>
      <c r="I562" s="1">
        <v>916.53</v>
      </c>
      <c r="J562" s="1">
        <f t="shared" si="58"/>
        <v>2474.6310000000003</v>
      </c>
      <c r="K562" s="1">
        <f t="shared" si="59"/>
        <v>274.959</v>
      </c>
      <c r="L562" s="1">
        <v>2749.59</v>
      </c>
      <c r="M562" s="1">
        <f t="shared" si="60"/>
        <v>494.92619999999999</v>
      </c>
      <c r="N562" s="1">
        <f t="shared" si="61"/>
        <v>3244.5162</v>
      </c>
      <c r="S562" t="str">
        <f t="shared" si="56"/>
        <v>Sindh</v>
      </c>
      <c r="W562" t="str">
        <f t="shared" si="57"/>
        <v>South</v>
      </c>
      <c r="AB562" t="str">
        <f t="shared" si="62"/>
        <v>PK-SD</v>
      </c>
    </row>
    <row r="563" spans="1:28" x14ac:dyDescent="0.25">
      <c r="A563" s="2">
        <v>45089</v>
      </c>
      <c r="B563" t="s">
        <v>10</v>
      </c>
      <c r="C563" t="s">
        <v>59</v>
      </c>
      <c r="D563" t="s">
        <v>66</v>
      </c>
      <c r="E563" t="s">
        <v>41</v>
      </c>
      <c r="F563" t="s">
        <v>23</v>
      </c>
      <c r="G563" t="s">
        <v>39</v>
      </c>
      <c r="H563">
        <v>13</v>
      </c>
      <c r="I563" s="1">
        <v>1836.55</v>
      </c>
      <c r="J563" s="1">
        <f t="shared" si="58"/>
        <v>21487.635000000002</v>
      </c>
      <c r="K563" s="1">
        <f t="shared" si="59"/>
        <v>2387.5150000000003</v>
      </c>
      <c r="L563" s="1">
        <v>23875.15</v>
      </c>
      <c r="M563" s="1">
        <f t="shared" si="60"/>
        <v>4297.527</v>
      </c>
      <c r="N563" s="1">
        <f t="shared" si="61"/>
        <v>28172.677000000003</v>
      </c>
      <c r="S563" t="str">
        <f t="shared" si="56"/>
        <v>Khyber Pakhtunkhwa</v>
      </c>
      <c r="W563" t="str">
        <f t="shared" si="57"/>
        <v>North</v>
      </c>
      <c r="AB563" t="str">
        <f t="shared" si="62"/>
        <v>Khyber Pakhtunkhwa</v>
      </c>
    </row>
    <row r="564" spans="1:28" x14ac:dyDescent="0.25">
      <c r="A564" s="2">
        <v>45033</v>
      </c>
      <c r="B564" t="s">
        <v>25</v>
      </c>
      <c r="C564" t="s">
        <v>61</v>
      </c>
      <c r="D564" t="s">
        <v>65</v>
      </c>
      <c r="E564" t="s">
        <v>64</v>
      </c>
      <c r="F564" t="s">
        <v>23</v>
      </c>
      <c r="G564" t="s">
        <v>24</v>
      </c>
      <c r="H564">
        <v>19</v>
      </c>
      <c r="I564" s="1">
        <v>2253.92</v>
      </c>
      <c r="J564" s="1">
        <f t="shared" si="58"/>
        <v>38542.032000000007</v>
      </c>
      <c r="K564" s="1">
        <f t="shared" si="59"/>
        <v>4282.4480000000003</v>
      </c>
      <c r="L564" s="1">
        <v>42824.480000000003</v>
      </c>
      <c r="M564" s="1">
        <f t="shared" si="60"/>
        <v>7708.4063999999998</v>
      </c>
      <c r="N564" s="1">
        <f t="shared" si="61"/>
        <v>50532.886400000003</v>
      </c>
      <c r="S564" t="str">
        <f t="shared" si="56"/>
        <v>Punjab</v>
      </c>
      <c r="W564" t="str">
        <f t="shared" si="57"/>
        <v>East</v>
      </c>
      <c r="AB564" t="str">
        <f t="shared" si="62"/>
        <v>PK-PB</v>
      </c>
    </row>
    <row r="565" spans="1:28" x14ac:dyDescent="0.25">
      <c r="A565" s="2">
        <v>45066</v>
      </c>
      <c r="B565" t="s">
        <v>25</v>
      </c>
      <c r="C565" t="s">
        <v>59</v>
      </c>
      <c r="D565" t="s">
        <v>66</v>
      </c>
      <c r="E565" t="s">
        <v>41</v>
      </c>
      <c r="F565" t="s">
        <v>14</v>
      </c>
      <c r="G565" t="s">
        <v>15</v>
      </c>
      <c r="H565">
        <v>13</v>
      </c>
      <c r="I565" s="1">
        <v>3617.07</v>
      </c>
      <c r="J565" s="1">
        <f t="shared" si="58"/>
        <v>42319.719000000005</v>
      </c>
      <c r="K565" s="1">
        <f t="shared" si="59"/>
        <v>4702.1910000000007</v>
      </c>
      <c r="L565" s="1">
        <v>47021.91</v>
      </c>
      <c r="M565" s="1">
        <f t="shared" si="60"/>
        <v>8463.9438000000009</v>
      </c>
      <c r="N565" s="1">
        <f t="shared" si="61"/>
        <v>55485.853800000004</v>
      </c>
      <c r="S565" t="str">
        <f t="shared" si="56"/>
        <v>Khyber Pakhtunkhwa</v>
      </c>
      <c r="W565" t="str">
        <f t="shared" si="57"/>
        <v>North</v>
      </c>
      <c r="AB565" t="str">
        <f t="shared" si="62"/>
        <v>Khyber Pakhtunkhwa</v>
      </c>
    </row>
    <row r="566" spans="1:28" x14ac:dyDescent="0.25">
      <c r="A566" s="2">
        <v>44957</v>
      </c>
      <c r="B566" t="s">
        <v>38</v>
      </c>
      <c r="C566" t="s">
        <v>57</v>
      </c>
      <c r="D566" t="s">
        <v>22</v>
      </c>
      <c r="E566" t="s">
        <v>13</v>
      </c>
      <c r="F566" t="s">
        <v>27</v>
      </c>
      <c r="G566" t="s">
        <v>46</v>
      </c>
      <c r="H566">
        <v>5</v>
      </c>
      <c r="I566" s="1">
        <v>417.76</v>
      </c>
      <c r="J566" s="1">
        <f t="shared" si="58"/>
        <v>1879.9200000000003</v>
      </c>
      <c r="K566" s="1">
        <f t="shared" si="59"/>
        <v>208.88000000000002</v>
      </c>
      <c r="L566" s="1">
        <v>2088.8000000000002</v>
      </c>
      <c r="M566" s="1">
        <f t="shared" si="60"/>
        <v>375.98400000000004</v>
      </c>
      <c r="N566" s="1">
        <f t="shared" si="61"/>
        <v>2464.7840000000001</v>
      </c>
      <c r="S566" t="str">
        <f t="shared" si="56"/>
        <v>Balochistan</v>
      </c>
      <c r="W566" t="str">
        <f t="shared" si="57"/>
        <v>West</v>
      </c>
      <c r="AB566" t="str">
        <f t="shared" si="62"/>
        <v>PK-BA</v>
      </c>
    </row>
    <row r="567" spans="1:28" x14ac:dyDescent="0.25">
      <c r="A567" s="2">
        <v>45085</v>
      </c>
      <c r="B567" t="s">
        <v>16</v>
      </c>
      <c r="C567" t="s">
        <v>11</v>
      </c>
      <c r="D567" t="s">
        <v>22</v>
      </c>
      <c r="E567" t="s">
        <v>13</v>
      </c>
      <c r="F567" t="s">
        <v>32</v>
      </c>
      <c r="G567" t="s">
        <v>33</v>
      </c>
      <c r="H567">
        <v>11</v>
      </c>
      <c r="I567" s="1">
        <v>864.29</v>
      </c>
      <c r="J567" s="1">
        <f t="shared" si="58"/>
        <v>8556.4710000000014</v>
      </c>
      <c r="K567" s="1">
        <f t="shared" si="59"/>
        <v>950.71900000000005</v>
      </c>
      <c r="L567" s="1">
        <v>9507.19</v>
      </c>
      <c r="M567" s="1">
        <f t="shared" si="60"/>
        <v>1711.2942</v>
      </c>
      <c r="N567" s="1">
        <f t="shared" si="61"/>
        <v>11218.484200000001</v>
      </c>
      <c r="S567" t="str">
        <f t="shared" si="56"/>
        <v>Balochistan</v>
      </c>
      <c r="W567" t="str">
        <f t="shared" si="57"/>
        <v>West</v>
      </c>
      <c r="AB567" t="str">
        <f t="shared" si="62"/>
        <v>PK-BA</v>
      </c>
    </row>
    <row r="568" spans="1:28" x14ac:dyDescent="0.25">
      <c r="A568" s="2">
        <v>45004</v>
      </c>
      <c r="B568" t="s">
        <v>29</v>
      </c>
      <c r="C568" t="s">
        <v>58</v>
      </c>
      <c r="D568" t="s">
        <v>12</v>
      </c>
      <c r="E568" t="s">
        <v>18</v>
      </c>
      <c r="F568" t="s">
        <v>32</v>
      </c>
      <c r="G568" t="s">
        <v>33</v>
      </c>
      <c r="H568">
        <v>19</v>
      </c>
      <c r="I568" s="1">
        <v>2006.79</v>
      </c>
      <c r="J568" s="1">
        <f t="shared" si="58"/>
        <v>34316.109000000004</v>
      </c>
      <c r="K568" s="1">
        <f t="shared" si="59"/>
        <v>3812.9010000000003</v>
      </c>
      <c r="L568" s="1">
        <v>38129.01</v>
      </c>
      <c r="M568" s="1">
        <f t="shared" si="60"/>
        <v>6863.2218000000003</v>
      </c>
      <c r="N568" s="1">
        <f t="shared" si="61"/>
        <v>44992.231800000001</v>
      </c>
      <c r="S568" t="str">
        <f t="shared" si="56"/>
        <v>Sindh</v>
      </c>
      <c r="W568" t="str">
        <f t="shared" si="57"/>
        <v>South</v>
      </c>
      <c r="AB568" t="str">
        <f t="shared" si="62"/>
        <v>PK-SD</v>
      </c>
    </row>
    <row r="569" spans="1:28" x14ac:dyDescent="0.25">
      <c r="A569" s="2">
        <v>45060</v>
      </c>
      <c r="B569" t="s">
        <v>16</v>
      </c>
      <c r="C569" t="s">
        <v>35</v>
      </c>
      <c r="D569" t="s">
        <v>65</v>
      </c>
      <c r="E569" t="s">
        <v>64</v>
      </c>
      <c r="F569" t="s">
        <v>27</v>
      </c>
      <c r="G569" t="s">
        <v>44</v>
      </c>
      <c r="H569">
        <v>1</v>
      </c>
      <c r="I569" s="1">
        <v>403.2</v>
      </c>
      <c r="J569" s="1">
        <f t="shared" si="58"/>
        <v>362.88</v>
      </c>
      <c r="K569" s="1">
        <f t="shared" si="59"/>
        <v>40.32</v>
      </c>
      <c r="L569" s="1">
        <v>403.2</v>
      </c>
      <c r="M569" s="1">
        <f t="shared" si="60"/>
        <v>72.575999999999993</v>
      </c>
      <c r="N569" s="1">
        <f t="shared" si="61"/>
        <v>475.77599999999995</v>
      </c>
      <c r="S569" t="str">
        <f t="shared" si="56"/>
        <v>Punjab</v>
      </c>
      <c r="W569" t="str">
        <f t="shared" si="57"/>
        <v>East</v>
      </c>
      <c r="AB569" t="str">
        <f t="shared" si="62"/>
        <v>PK-PB</v>
      </c>
    </row>
    <row r="570" spans="1:28" x14ac:dyDescent="0.25">
      <c r="A570" s="2">
        <v>45247</v>
      </c>
      <c r="B570" t="s">
        <v>40</v>
      </c>
      <c r="C570" t="s">
        <v>59</v>
      </c>
      <c r="D570" t="s">
        <v>66</v>
      </c>
      <c r="E570" t="s">
        <v>41</v>
      </c>
      <c r="F570" t="s">
        <v>14</v>
      </c>
      <c r="G570" t="s">
        <v>53</v>
      </c>
      <c r="H570">
        <v>7</v>
      </c>
      <c r="I570" s="1">
        <v>2846.83</v>
      </c>
      <c r="J570" s="1">
        <f t="shared" si="58"/>
        <v>17935.029000000002</v>
      </c>
      <c r="K570" s="1">
        <f t="shared" si="59"/>
        <v>1992.7810000000002</v>
      </c>
      <c r="L570" s="1">
        <v>19927.810000000001</v>
      </c>
      <c r="M570" s="1">
        <f t="shared" si="60"/>
        <v>3587.0057999999999</v>
      </c>
      <c r="N570" s="1">
        <f t="shared" si="61"/>
        <v>23514.8158</v>
      </c>
      <c r="S570" t="str">
        <f t="shared" si="56"/>
        <v>Khyber Pakhtunkhwa</v>
      </c>
      <c r="W570" t="str">
        <f t="shared" si="57"/>
        <v>North</v>
      </c>
      <c r="AB570" t="str">
        <f t="shared" si="62"/>
        <v>Khyber Pakhtunkhwa</v>
      </c>
    </row>
    <row r="571" spans="1:28" x14ac:dyDescent="0.25">
      <c r="A571" s="2">
        <v>44971</v>
      </c>
      <c r="B571" t="s">
        <v>10</v>
      </c>
      <c r="C571" t="s">
        <v>56</v>
      </c>
      <c r="D571" t="s">
        <v>12</v>
      </c>
      <c r="E571" t="s">
        <v>18</v>
      </c>
      <c r="F571" t="s">
        <v>23</v>
      </c>
      <c r="G571" t="s">
        <v>24</v>
      </c>
      <c r="H571">
        <v>5</v>
      </c>
      <c r="I571" s="1">
        <v>850.9</v>
      </c>
      <c r="J571" s="1">
        <f t="shared" si="58"/>
        <v>3829.05</v>
      </c>
      <c r="K571" s="1">
        <f t="shared" si="59"/>
        <v>425.45000000000005</v>
      </c>
      <c r="L571" s="1">
        <v>4254.5</v>
      </c>
      <c r="M571" s="1">
        <f t="shared" si="60"/>
        <v>765.81</v>
      </c>
      <c r="N571" s="1">
        <f t="shared" si="61"/>
        <v>5020.3099999999995</v>
      </c>
      <c r="S571" t="str">
        <f t="shared" si="56"/>
        <v>Sindh</v>
      </c>
      <c r="W571" t="str">
        <f t="shared" si="57"/>
        <v>South</v>
      </c>
      <c r="AB571" t="str">
        <f t="shared" si="62"/>
        <v>PK-SD</v>
      </c>
    </row>
    <row r="572" spans="1:28" x14ac:dyDescent="0.25">
      <c r="A572" s="2">
        <v>45223</v>
      </c>
      <c r="B572" t="s">
        <v>31</v>
      </c>
      <c r="C572" t="s">
        <v>58</v>
      </c>
      <c r="D572" t="s">
        <v>12</v>
      </c>
      <c r="E572" t="s">
        <v>18</v>
      </c>
      <c r="F572" t="s">
        <v>32</v>
      </c>
      <c r="G572" t="s">
        <v>49</v>
      </c>
      <c r="H572">
        <v>16</v>
      </c>
      <c r="I572" s="1">
        <v>3337.15</v>
      </c>
      <c r="J572" s="1">
        <f t="shared" si="58"/>
        <v>48054.96</v>
      </c>
      <c r="K572" s="1">
        <f t="shared" si="59"/>
        <v>5339.4400000000005</v>
      </c>
      <c r="L572" s="1">
        <v>53394.400000000001</v>
      </c>
      <c r="M572" s="1">
        <f t="shared" si="60"/>
        <v>9610.9920000000002</v>
      </c>
      <c r="N572" s="1">
        <f t="shared" si="61"/>
        <v>63005.392</v>
      </c>
      <c r="S572" t="str">
        <f t="shared" si="56"/>
        <v>Sindh</v>
      </c>
      <c r="W572" t="str">
        <f t="shared" si="57"/>
        <v>South</v>
      </c>
      <c r="AB572" t="str">
        <f t="shared" si="62"/>
        <v>PK-SD</v>
      </c>
    </row>
    <row r="573" spans="1:28" x14ac:dyDescent="0.25">
      <c r="A573" s="2">
        <v>45188</v>
      </c>
      <c r="B573" t="s">
        <v>31</v>
      </c>
      <c r="C573" t="s">
        <v>54</v>
      </c>
      <c r="D573" t="s">
        <v>12</v>
      </c>
      <c r="E573" t="s">
        <v>18</v>
      </c>
      <c r="F573" t="s">
        <v>23</v>
      </c>
      <c r="G573" t="s">
        <v>37</v>
      </c>
      <c r="H573">
        <v>15</v>
      </c>
      <c r="I573" s="1">
        <v>1299.55</v>
      </c>
      <c r="J573" s="1">
        <f t="shared" si="58"/>
        <v>17543.924999999999</v>
      </c>
      <c r="K573" s="1">
        <f t="shared" si="59"/>
        <v>1949.325</v>
      </c>
      <c r="L573" s="1">
        <v>19493.25</v>
      </c>
      <c r="M573" s="1">
        <f t="shared" si="60"/>
        <v>3508.7849999999999</v>
      </c>
      <c r="N573" s="1">
        <f t="shared" si="61"/>
        <v>23002.035</v>
      </c>
      <c r="S573" t="str">
        <f t="shared" si="56"/>
        <v>Sindh</v>
      </c>
      <c r="W573" t="str">
        <f t="shared" si="57"/>
        <v>South</v>
      </c>
      <c r="AB573" t="str">
        <f t="shared" si="62"/>
        <v>PK-SD</v>
      </c>
    </row>
    <row r="574" spans="1:28" x14ac:dyDescent="0.25">
      <c r="A574" s="2">
        <v>45043</v>
      </c>
      <c r="B574" t="s">
        <v>31</v>
      </c>
      <c r="C574" t="s">
        <v>54</v>
      </c>
      <c r="D574" t="s">
        <v>12</v>
      </c>
      <c r="E574" t="s">
        <v>18</v>
      </c>
      <c r="F574" t="s">
        <v>27</v>
      </c>
      <c r="G574" t="s">
        <v>44</v>
      </c>
      <c r="H574">
        <v>7</v>
      </c>
      <c r="I574" s="1">
        <v>4898.57</v>
      </c>
      <c r="J574" s="1">
        <f t="shared" si="58"/>
        <v>30860.990999999998</v>
      </c>
      <c r="K574" s="1">
        <f t="shared" si="59"/>
        <v>3428.9989999999998</v>
      </c>
      <c r="L574" s="1">
        <v>34289.99</v>
      </c>
      <c r="M574" s="1">
        <f t="shared" si="60"/>
        <v>6172.1981999999998</v>
      </c>
      <c r="N574" s="1">
        <f t="shared" si="61"/>
        <v>40462.188199999997</v>
      </c>
      <c r="S574" t="str">
        <f t="shared" si="56"/>
        <v>Sindh</v>
      </c>
      <c r="W574" t="str">
        <f t="shared" si="57"/>
        <v>South</v>
      </c>
      <c r="AB574" t="str">
        <f t="shared" si="62"/>
        <v>PK-SD</v>
      </c>
    </row>
    <row r="575" spans="1:28" x14ac:dyDescent="0.25">
      <c r="A575" s="2">
        <v>44964</v>
      </c>
      <c r="B575" t="s">
        <v>10</v>
      </c>
      <c r="C575" t="s">
        <v>17</v>
      </c>
      <c r="D575" t="s">
        <v>65</v>
      </c>
      <c r="E575" t="s">
        <v>64</v>
      </c>
      <c r="F575" t="s">
        <v>23</v>
      </c>
      <c r="G575" t="s">
        <v>47</v>
      </c>
      <c r="H575">
        <v>11</v>
      </c>
      <c r="I575" s="1">
        <v>2471.65</v>
      </c>
      <c r="J575" s="1">
        <f t="shared" si="58"/>
        <v>24469.335000000003</v>
      </c>
      <c r="K575" s="1">
        <f t="shared" si="59"/>
        <v>2718.8150000000005</v>
      </c>
      <c r="L575" s="1">
        <v>27188.15</v>
      </c>
      <c r="M575" s="1">
        <f t="shared" si="60"/>
        <v>4893.8670000000002</v>
      </c>
      <c r="N575" s="1">
        <f t="shared" si="61"/>
        <v>32082.017</v>
      </c>
      <c r="S575" t="str">
        <f t="shared" si="56"/>
        <v>Punjab</v>
      </c>
      <c r="W575" t="str">
        <f t="shared" si="57"/>
        <v>East</v>
      </c>
      <c r="AB575" t="str">
        <f t="shared" si="62"/>
        <v>PK-PB</v>
      </c>
    </row>
    <row r="576" spans="1:28" x14ac:dyDescent="0.25">
      <c r="A576" s="2">
        <v>44942</v>
      </c>
      <c r="B576" t="s">
        <v>31</v>
      </c>
      <c r="C576" t="s">
        <v>55</v>
      </c>
      <c r="D576" t="s">
        <v>66</v>
      </c>
      <c r="E576" t="s">
        <v>41</v>
      </c>
      <c r="F576" t="s">
        <v>19</v>
      </c>
      <c r="G576" t="s">
        <v>30</v>
      </c>
      <c r="H576">
        <v>2</v>
      </c>
      <c r="I576" s="1">
        <v>1125.53</v>
      </c>
      <c r="J576" s="1">
        <f t="shared" si="58"/>
        <v>2025.954</v>
      </c>
      <c r="K576" s="1">
        <f t="shared" si="59"/>
        <v>225.10599999999999</v>
      </c>
      <c r="L576" s="1">
        <v>2251.06</v>
      </c>
      <c r="M576" s="1">
        <f t="shared" si="60"/>
        <v>405.19079999999997</v>
      </c>
      <c r="N576" s="1">
        <f t="shared" si="61"/>
        <v>2656.2507999999998</v>
      </c>
      <c r="S576" t="str">
        <f t="shared" si="56"/>
        <v>Khyber Pakhtunkhwa</v>
      </c>
      <c r="W576" t="str">
        <f t="shared" si="57"/>
        <v>North</v>
      </c>
      <c r="AB576" t="str">
        <f t="shared" si="62"/>
        <v>Khyber Pakhtunkhwa</v>
      </c>
    </row>
    <row r="577" spans="1:28" x14ac:dyDescent="0.25">
      <c r="A577" s="2">
        <v>45171</v>
      </c>
      <c r="B577" t="s">
        <v>21</v>
      </c>
      <c r="C577" t="s">
        <v>35</v>
      </c>
      <c r="D577" t="s">
        <v>65</v>
      </c>
      <c r="E577" t="s">
        <v>64</v>
      </c>
      <c r="F577" t="s">
        <v>14</v>
      </c>
      <c r="G577" t="s">
        <v>15</v>
      </c>
      <c r="H577">
        <v>13</v>
      </c>
      <c r="I577" s="1">
        <v>2835.8</v>
      </c>
      <c r="J577" s="1">
        <f t="shared" si="58"/>
        <v>33178.86</v>
      </c>
      <c r="K577" s="1">
        <f t="shared" si="59"/>
        <v>3686.5400000000004</v>
      </c>
      <c r="L577" s="1">
        <v>36865.4</v>
      </c>
      <c r="M577" s="1">
        <f t="shared" si="60"/>
        <v>6635.7719999999999</v>
      </c>
      <c r="N577" s="1">
        <f t="shared" si="61"/>
        <v>43501.171999999999</v>
      </c>
      <c r="S577" t="str">
        <f t="shared" si="56"/>
        <v>Punjab</v>
      </c>
      <c r="W577" t="str">
        <f t="shared" si="57"/>
        <v>East</v>
      </c>
      <c r="AB577" t="str">
        <f t="shared" si="62"/>
        <v>PK-PB</v>
      </c>
    </row>
    <row r="578" spans="1:28" x14ac:dyDescent="0.25">
      <c r="A578" s="2">
        <v>45027</v>
      </c>
      <c r="B578" t="s">
        <v>34</v>
      </c>
      <c r="C578" t="s">
        <v>54</v>
      </c>
      <c r="D578" t="s">
        <v>12</v>
      </c>
      <c r="E578" t="s">
        <v>18</v>
      </c>
      <c r="F578" t="s">
        <v>27</v>
      </c>
      <c r="G578" t="s">
        <v>44</v>
      </c>
      <c r="H578">
        <v>17</v>
      </c>
      <c r="I578" s="1">
        <v>3973.87</v>
      </c>
      <c r="J578" s="1">
        <f t="shared" si="58"/>
        <v>60800.210999999996</v>
      </c>
      <c r="K578" s="1">
        <f t="shared" si="59"/>
        <v>6755.5789999999997</v>
      </c>
      <c r="L578" s="1">
        <v>67555.789999999994</v>
      </c>
      <c r="M578" s="1">
        <f t="shared" si="60"/>
        <v>12160.042199999998</v>
      </c>
      <c r="N578" s="1">
        <f t="shared" si="61"/>
        <v>79715.83219999999</v>
      </c>
      <c r="S578" t="str">
        <f t="shared" ref="S578:S641" si="63">VLOOKUP(C578,$Q$2:$R$15,2,FALSE)</f>
        <v>Sindh</v>
      </c>
      <c r="W578" t="str">
        <f t="shared" ref="W578:W641" si="64">VLOOKUP(D578,$U$2:$V$5,2,FALSE)</f>
        <v>South</v>
      </c>
      <c r="AB578" t="str">
        <f t="shared" si="62"/>
        <v>PK-SD</v>
      </c>
    </row>
    <row r="579" spans="1:28" x14ac:dyDescent="0.25">
      <c r="A579" s="2">
        <v>44938</v>
      </c>
      <c r="B579" t="s">
        <v>21</v>
      </c>
      <c r="C579" t="s">
        <v>59</v>
      </c>
      <c r="D579" t="s">
        <v>66</v>
      </c>
      <c r="E579" t="s">
        <v>41</v>
      </c>
      <c r="F579" t="s">
        <v>32</v>
      </c>
      <c r="G579" t="s">
        <v>50</v>
      </c>
      <c r="H579">
        <v>4</v>
      </c>
      <c r="I579" s="1">
        <v>1998.26</v>
      </c>
      <c r="J579" s="1">
        <f t="shared" ref="J579:J642" si="65">L579*90%</f>
        <v>7193.7359999999999</v>
      </c>
      <c r="K579" s="1">
        <f t="shared" ref="K579:K642" si="66">L579*10%</f>
        <v>799.30400000000009</v>
      </c>
      <c r="L579" s="1">
        <v>7993.04</v>
      </c>
      <c r="M579" s="1">
        <f t="shared" ref="M579:M642" si="67">L579*18%</f>
        <v>1438.7472</v>
      </c>
      <c r="N579" s="1">
        <f t="shared" ref="N579:N642" si="68">L579+M579</f>
        <v>9431.7872000000007</v>
      </c>
      <c r="S579" t="str">
        <f t="shared" si="63"/>
        <v>Khyber Pakhtunkhwa</v>
      </c>
      <c r="W579" t="str">
        <f t="shared" si="64"/>
        <v>North</v>
      </c>
      <c r="AB579" t="str">
        <f t="shared" ref="AB579:AB642" si="69">VLOOKUP(D579,$Z$2:$AA$5,2,FALSE)</f>
        <v>Khyber Pakhtunkhwa</v>
      </c>
    </row>
    <row r="580" spans="1:28" x14ac:dyDescent="0.25">
      <c r="A580" s="2">
        <v>45207</v>
      </c>
      <c r="B580" t="s">
        <v>29</v>
      </c>
      <c r="C580" t="s">
        <v>57</v>
      </c>
      <c r="D580" t="s">
        <v>22</v>
      </c>
      <c r="E580" t="s">
        <v>13</v>
      </c>
      <c r="F580" t="s">
        <v>19</v>
      </c>
      <c r="G580" t="s">
        <v>30</v>
      </c>
      <c r="H580">
        <v>7</v>
      </c>
      <c r="I580" s="1">
        <v>3820.3</v>
      </c>
      <c r="J580" s="1">
        <f t="shared" si="65"/>
        <v>24067.89</v>
      </c>
      <c r="K580" s="1">
        <f t="shared" si="66"/>
        <v>2674.21</v>
      </c>
      <c r="L580" s="1">
        <v>26742.1</v>
      </c>
      <c r="M580" s="1">
        <f t="shared" si="67"/>
        <v>4813.5779999999995</v>
      </c>
      <c r="N580" s="1">
        <f t="shared" si="68"/>
        <v>31555.678</v>
      </c>
      <c r="S580" t="str">
        <f t="shared" si="63"/>
        <v>Balochistan</v>
      </c>
      <c r="W580" t="str">
        <f t="shared" si="64"/>
        <v>West</v>
      </c>
      <c r="AB580" t="str">
        <f t="shared" si="69"/>
        <v>PK-BA</v>
      </c>
    </row>
    <row r="581" spans="1:28" x14ac:dyDescent="0.25">
      <c r="A581" s="2">
        <v>44979</v>
      </c>
      <c r="B581" t="s">
        <v>10</v>
      </c>
      <c r="C581" t="s">
        <v>60</v>
      </c>
      <c r="D581" t="s">
        <v>12</v>
      </c>
      <c r="E581" t="s">
        <v>18</v>
      </c>
      <c r="F581" t="s">
        <v>19</v>
      </c>
      <c r="G581" t="s">
        <v>52</v>
      </c>
      <c r="H581">
        <v>19</v>
      </c>
      <c r="I581" s="1">
        <v>2199.3200000000002</v>
      </c>
      <c r="J581" s="1">
        <f t="shared" si="65"/>
        <v>37608.372000000003</v>
      </c>
      <c r="K581" s="1">
        <f t="shared" si="66"/>
        <v>4178.7080000000005</v>
      </c>
      <c r="L581" s="1">
        <v>41787.08</v>
      </c>
      <c r="M581" s="1">
        <f t="shared" si="67"/>
        <v>7521.6743999999999</v>
      </c>
      <c r="N581" s="1">
        <f t="shared" si="68"/>
        <v>49308.754400000005</v>
      </c>
      <c r="S581" t="str">
        <f t="shared" si="63"/>
        <v>Sindh</v>
      </c>
      <c r="W581" t="str">
        <f t="shared" si="64"/>
        <v>South</v>
      </c>
      <c r="AB581" t="str">
        <f t="shared" si="69"/>
        <v>PK-SD</v>
      </c>
    </row>
    <row r="582" spans="1:28" x14ac:dyDescent="0.25">
      <c r="A582" s="2">
        <v>45091</v>
      </c>
      <c r="B582" t="s">
        <v>25</v>
      </c>
      <c r="C582" t="s">
        <v>17</v>
      </c>
      <c r="D582" t="s">
        <v>65</v>
      </c>
      <c r="E582" t="s">
        <v>64</v>
      </c>
      <c r="F582" t="s">
        <v>27</v>
      </c>
      <c r="G582" t="s">
        <v>28</v>
      </c>
      <c r="H582">
        <v>6</v>
      </c>
      <c r="I582" s="1">
        <v>578.64</v>
      </c>
      <c r="J582" s="1">
        <f t="shared" si="65"/>
        <v>3124.6560000000004</v>
      </c>
      <c r="K582" s="1">
        <f t="shared" si="66"/>
        <v>347.18400000000003</v>
      </c>
      <c r="L582" s="1">
        <v>3471.84</v>
      </c>
      <c r="M582" s="1">
        <f t="shared" si="67"/>
        <v>624.93119999999999</v>
      </c>
      <c r="N582" s="1">
        <f t="shared" si="68"/>
        <v>4096.7712000000001</v>
      </c>
      <c r="S582" t="str">
        <f t="shared" si="63"/>
        <v>Punjab</v>
      </c>
      <c r="W582" t="str">
        <f t="shared" si="64"/>
        <v>East</v>
      </c>
      <c r="AB582" t="str">
        <f t="shared" si="69"/>
        <v>PK-PB</v>
      </c>
    </row>
    <row r="583" spans="1:28" x14ac:dyDescent="0.25">
      <c r="A583" s="2">
        <v>45237</v>
      </c>
      <c r="B583" t="s">
        <v>29</v>
      </c>
      <c r="C583" t="s">
        <v>56</v>
      </c>
      <c r="D583" t="s">
        <v>12</v>
      </c>
      <c r="E583" t="s">
        <v>18</v>
      </c>
      <c r="F583" t="s">
        <v>32</v>
      </c>
      <c r="G583" t="s">
        <v>36</v>
      </c>
      <c r="H583">
        <v>5</v>
      </c>
      <c r="I583" s="1">
        <v>1488.21</v>
      </c>
      <c r="J583" s="1">
        <f t="shared" si="65"/>
        <v>6696.9450000000006</v>
      </c>
      <c r="K583" s="1">
        <f t="shared" si="66"/>
        <v>744.10500000000002</v>
      </c>
      <c r="L583" s="1">
        <v>7441.05</v>
      </c>
      <c r="M583" s="1">
        <f t="shared" si="67"/>
        <v>1339.3889999999999</v>
      </c>
      <c r="N583" s="1">
        <f t="shared" si="68"/>
        <v>8780.4390000000003</v>
      </c>
      <c r="S583" t="str">
        <f t="shared" si="63"/>
        <v>Sindh</v>
      </c>
      <c r="W583" t="str">
        <f t="shared" si="64"/>
        <v>South</v>
      </c>
      <c r="AB583" t="str">
        <f t="shared" si="69"/>
        <v>PK-SD</v>
      </c>
    </row>
    <row r="584" spans="1:28" x14ac:dyDescent="0.25">
      <c r="A584" s="2">
        <v>45282</v>
      </c>
      <c r="B584" t="s">
        <v>38</v>
      </c>
      <c r="C584" t="s">
        <v>17</v>
      </c>
      <c r="D584" t="s">
        <v>65</v>
      </c>
      <c r="E584" t="s">
        <v>64</v>
      </c>
      <c r="F584" t="s">
        <v>14</v>
      </c>
      <c r="G584" t="s">
        <v>53</v>
      </c>
      <c r="H584">
        <v>19</v>
      </c>
      <c r="I584" s="1">
        <v>3196.27</v>
      </c>
      <c r="J584" s="1">
        <f t="shared" si="65"/>
        <v>54656.216999999997</v>
      </c>
      <c r="K584" s="1">
        <f t="shared" si="66"/>
        <v>6072.9130000000005</v>
      </c>
      <c r="L584" s="1">
        <v>60729.13</v>
      </c>
      <c r="M584" s="1">
        <f t="shared" si="67"/>
        <v>10931.243399999999</v>
      </c>
      <c r="N584" s="1">
        <f t="shared" si="68"/>
        <v>71660.373399999997</v>
      </c>
      <c r="S584" t="str">
        <f t="shared" si="63"/>
        <v>Punjab</v>
      </c>
      <c r="W584" t="str">
        <f t="shared" si="64"/>
        <v>East</v>
      </c>
      <c r="AB584" t="str">
        <f t="shared" si="69"/>
        <v>PK-PB</v>
      </c>
    </row>
    <row r="585" spans="1:28" x14ac:dyDescent="0.25">
      <c r="A585" s="2">
        <v>45087</v>
      </c>
      <c r="B585" t="s">
        <v>21</v>
      </c>
      <c r="C585" t="s">
        <v>63</v>
      </c>
      <c r="D585" t="s">
        <v>65</v>
      </c>
      <c r="E585" t="s">
        <v>64</v>
      </c>
      <c r="F585" t="s">
        <v>27</v>
      </c>
      <c r="G585" t="s">
        <v>28</v>
      </c>
      <c r="H585">
        <v>5</v>
      </c>
      <c r="I585" s="1">
        <v>1018.53</v>
      </c>
      <c r="J585" s="1">
        <f t="shared" si="65"/>
        <v>4583.3850000000002</v>
      </c>
      <c r="K585" s="1">
        <f t="shared" si="66"/>
        <v>509.26499999999999</v>
      </c>
      <c r="L585" s="1">
        <v>5092.6499999999996</v>
      </c>
      <c r="M585" s="1">
        <f t="shared" si="67"/>
        <v>916.67699999999991</v>
      </c>
      <c r="N585" s="1">
        <f t="shared" si="68"/>
        <v>6009.3269999999993</v>
      </c>
      <c r="S585" t="str">
        <f t="shared" si="63"/>
        <v>Punjab</v>
      </c>
      <c r="W585" t="str">
        <f t="shared" si="64"/>
        <v>East</v>
      </c>
      <c r="AB585" t="str">
        <f t="shared" si="69"/>
        <v>PK-PB</v>
      </c>
    </row>
    <row r="586" spans="1:28" x14ac:dyDescent="0.25">
      <c r="A586" s="2">
        <v>45105</v>
      </c>
      <c r="B586" t="s">
        <v>34</v>
      </c>
      <c r="C586" t="s">
        <v>58</v>
      </c>
      <c r="D586" t="s">
        <v>12</v>
      </c>
      <c r="E586" t="s">
        <v>18</v>
      </c>
      <c r="F586" t="s">
        <v>19</v>
      </c>
      <c r="G586" t="s">
        <v>48</v>
      </c>
      <c r="H586">
        <v>13</v>
      </c>
      <c r="I586" s="1">
        <v>1367.15</v>
      </c>
      <c r="J586" s="1">
        <f t="shared" si="65"/>
        <v>15995.655000000001</v>
      </c>
      <c r="K586" s="1">
        <f t="shared" si="66"/>
        <v>1777.2950000000001</v>
      </c>
      <c r="L586" s="1">
        <v>17772.95</v>
      </c>
      <c r="M586" s="1">
        <f t="shared" si="67"/>
        <v>3199.1309999999999</v>
      </c>
      <c r="N586" s="1">
        <f t="shared" si="68"/>
        <v>20972.081000000002</v>
      </c>
      <c r="S586" t="str">
        <f t="shared" si="63"/>
        <v>Sindh</v>
      </c>
      <c r="W586" t="str">
        <f t="shared" si="64"/>
        <v>South</v>
      </c>
      <c r="AB586" t="str">
        <f t="shared" si="69"/>
        <v>PK-SD</v>
      </c>
    </row>
    <row r="587" spans="1:28" x14ac:dyDescent="0.25">
      <c r="A587" s="2">
        <v>45206</v>
      </c>
      <c r="B587" t="s">
        <v>21</v>
      </c>
      <c r="C587" t="s">
        <v>56</v>
      </c>
      <c r="D587" t="s">
        <v>12</v>
      </c>
      <c r="E587" t="s">
        <v>18</v>
      </c>
      <c r="F587" t="s">
        <v>32</v>
      </c>
      <c r="G587" t="s">
        <v>50</v>
      </c>
      <c r="H587">
        <v>19</v>
      </c>
      <c r="I587" s="1">
        <v>4996.28</v>
      </c>
      <c r="J587" s="1">
        <f t="shared" si="65"/>
        <v>85436.388000000006</v>
      </c>
      <c r="K587" s="1">
        <f t="shared" si="66"/>
        <v>9492.9320000000007</v>
      </c>
      <c r="L587" s="1">
        <v>94929.32</v>
      </c>
      <c r="M587" s="1">
        <f t="shared" si="67"/>
        <v>17087.277600000001</v>
      </c>
      <c r="N587" s="1">
        <f t="shared" si="68"/>
        <v>112016.59760000001</v>
      </c>
      <c r="S587" t="str">
        <f t="shared" si="63"/>
        <v>Sindh</v>
      </c>
      <c r="W587" t="str">
        <f t="shared" si="64"/>
        <v>South</v>
      </c>
      <c r="AB587" t="str">
        <f t="shared" si="69"/>
        <v>PK-SD</v>
      </c>
    </row>
    <row r="588" spans="1:28" x14ac:dyDescent="0.25">
      <c r="A588" s="2">
        <v>45230</v>
      </c>
      <c r="B588" t="s">
        <v>43</v>
      </c>
      <c r="C588" t="s">
        <v>26</v>
      </c>
      <c r="D588" t="s">
        <v>12</v>
      </c>
      <c r="E588" t="s">
        <v>18</v>
      </c>
      <c r="F588" t="s">
        <v>23</v>
      </c>
      <c r="G588" t="s">
        <v>39</v>
      </c>
      <c r="H588">
        <v>3</v>
      </c>
      <c r="I588" s="1">
        <v>4447.8999999999996</v>
      </c>
      <c r="J588" s="1">
        <f t="shared" si="65"/>
        <v>12009.330000000002</v>
      </c>
      <c r="K588" s="1">
        <f t="shared" si="66"/>
        <v>1334.3700000000001</v>
      </c>
      <c r="L588" s="1">
        <v>13343.7</v>
      </c>
      <c r="M588" s="1">
        <f t="shared" si="67"/>
        <v>2401.866</v>
      </c>
      <c r="N588" s="1">
        <f t="shared" si="68"/>
        <v>15745.566000000001</v>
      </c>
      <c r="S588" t="str">
        <f t="shared" si="63"/>
        <v>Sindh</v>
      </c>
      <c r="W588" t="str">
        <f t="shared" si="64"/>
        <v>South</v>
      </c>
      <c r="AB588" t="str">
        <f t="shared" si="69"/>
        <v>PK-SD</v>
      </c>
    </row>
    <row r="589" spans="1:28" x14ac:dyDescent="0.25">
      <c r="A589" s="2">
        <v>45067</v>
      </c>
      <c r="B589" t="s">
        <v>34</v>
      </c>
      <c r="C589" t="s">
        <v>59</v>
      </c>
      <c r="D589" t="s">
        <v>66</v>
      </c>
      <c r="E589" t="s">
        <v>41</v>
      </c>
      <c r="F589" t="s">
        <v>19</v>
      </c>
      <c r="G589" t="s">
        <v>20</v>
      </c>
      <c r="H589">
        <v>10</v>
      </c>
      <c r="I589" s="1">
        <v>1318.51</v>
      </c>
      <c r="J589" s="1">
        <f t="shared" si="65"/>
        <v>11866.59</v>
      </c>
      <c r="K589" s="1">
        <f t="shared" si="66"/>
        <v>1318.5100000000002</v>
      </c>
      <c r="L589" s="1">
        <v>13185.1</v>
      </c>
      <c r="M589" s="1">
        <f t="shared" si="67"/>
        <v>2373.3179999999998</v>
      </c>
      <c r="N589" s="1">
        <f t="shared" si="68"/>
        <v>15558.418</v>
      </c>
      <c r="S589" t="str">
        <f t="shared" si="63"/>
        <v>Khyber Pakhtunkhwa</v>
      </c>
      <c r="W589" t="str">
        <f t="shared" si="64"/>
        <v>North</v>
      </c>
      <c r="AB589" t="str">
        <f t="shared" si="69"/>
        <v>Khyber Pakhtunkhwa</v>
      </c>
    </row>
    <row r="590" spans="1:28" x14ac:dyDescent="0.25">
      <c r="A590" s="2">
        <v>44976</v>
      </c>
      <c r="B590" t="s">
        <v>10</v>
      </c>
      <c r="C590" t="s">
        <v>17</v>
      </c>
      <c r="D590" t="s">
        <v>65</v>
      </c>
      <c r="E590" t="s">
        <v>64</v>
      </c>
      <c r="F590" t="s">
        <v>27</v>
      </c>
      <c r="G590" t="s">
        <v>46</v>
      </c>
      <c r="H590">
        <v>20</v>
      </c>
      <c r="I590" s="1">
        <v>1731.99</v>
      </c>
      <c r="J590" s="1">
        <f t="shared" si="65"/>
        <v>31175.820000000003</v>
      </c>
      <c r="K590" s="1">
        <f t="shared" si="66"/>
        <v>3463.9800000000005</v>
      </c>
      <c r="L590" s="1">
        <v>34639.800000000003</v>
      </c>
      <c r="M590" s="1">
        <f t="shared" si="67"/>
        <v>6235.1640000000007</v>
      </c>
      <c r="N590" s="1">
        <f t="shared" si="68"/>
        <v>40874.964000000007</v>
      </c>
      <c r="S590" t="str">
        <f t="shared" si="63"/>
        <v>Punjab</v>
      </c>
      <c r="W590" t="str">
        <f t="shared" si="64"/>
        <v>East</v>
      </c>
      <c r="AB590" t="str">
        <f t="shared" si="69"/>
        <v>PK-PB</v>
      </c>
    </row>
    <row r="591" spans="1:28" x14ac:dyDescent="0.25">
      <c r="A591" s="2">
        <v>45261</v>
      </c>
      <c r="B591" t="s">
        <v>34</v>
      </c>
      <c r="C591" t="s">
        <v>11</v>
      </c>
      <c r="D591" t="s">
        <v>22</v>
      </c>
      <c r="E591" t="s">
        <v>13</v>
      </c>
      <c r="F591" t="s">
        <v>23</v>
      </c>
      <c r="G591" t="s">
        <v>24</v>
      </c>
      <c r="H591">
        <v>12</v>
      </c>
      <c r="I591" s="1">
        <v>4514.3900000000003</v>
      </c>
      <c r="J591" s="1">
        <f t="shared" si="65"/>
        <v>48755.412000000004</v>
      </c>
      <c r="K591" s="1">
        <f t="shared" si="66"/>
        <v>5417.268</v>
      </c>
      <c r="L591" s="1">
        <v>54172.68</v>
      </c>
      <c r="M591" s="1">
        <f t="shared" si="67"/>
        <v>9751.0823999999993</v>
      </c>
      <c r="N591" s="1">
        <f t="shared" si="68"/>
        <v>63923.7624</v>
      </c>
      <c r="S591" t="str">
        <f t="shared" si="63"/>
        <v>Balochistan</v>
      </c>
      <c r="W591" t="str">
        <f t="shared" si="64"/>
        <v>West</v>
      </c>
      <c r="AB591" t="str">
        <f t="shared" si="69"/>
        <v>PK-BA</v>
      </c>
    </row>
    <row r="592" spans="1:28" x14ac:dyDescent="0.25">
      <c r="A592" s="2">
        <v>45205</v>
      </c>
      <c r="B592" t="s">
        <v>43</v>
      </c>
      <c r="C592" t="s">
        <v>54</v>
      </c>
      <c r="D592" t="s">
        <v>12</v>
      </c>
      <c r="E592" t="s">
        <v>18</v>
      </c>
      <c r="F592" t="s">
        <v>14</v>
      </c>
      <c r="G592" t="s">
        <v>51</v>
      </c>
      <c r="H592">
        <v>20</v>
      </c>
      <c r="I592" s="1">
        <v>1710.93</v>
      </c>
      <c r="J592" s="1">
        <f t="shared" si="65"/>
        <v>30796.739999999998</v>
      </c>
      <c r="K592" s="1">
        <f t="shared" si="66"/>
        <v>3421.86</v>
      </c>
      <c r="L592" s="1">
        <v>34218.6</v>
      </c>
      <c r="M592" s="1">
        <f t="shared" si="67"/>
        <v>6159.348</v>
      </c>
      <c r="N592" s="1">
        <f t="shared" si="68"/>
        <v>40377.947999999997</v>
      </c>
      <c r="S592" t="str">
        <f t="shared" si="63"/>
        <v>Sindh</v>
      </c>
      <c r="W592" t="str">
        <f t="shared" si="64"/>
        <v>South</v>
      </c>
      <c r="AB592" t="str">
        <f t="shared" si="69"/>
        <v>PK-SD</v>
      </c>
    </row>
    <row r="593" spans="1:28" x14ac:dyDescent="0.25">
      <c r="A593" s="2">
        <v>45056</v>
      </c>
      <c r="B593" t="s">
        <v>16</v>
      </c>
      <c r="C593" t="s">
        <v>62</v>
      </c>
      <c r="D593" t="s">
        <v>65</v>
      </c>
      <c r="E593" t="s">
        <v>64</v>
      </c>
      <c r="F593" t="s">
        <v>19</v>
      </c>
      <c r="G593" t="s">
        <v>30</v>
      </c>
      <c r="H593">
        <v>19</v>
      </c>
      <c r="I593" s="1">
        <v>491.53</v>
      </c>
      <c r="J593" s="1">
        <f t="shared" si="65"/>
        <v>8405.1630000000005</v>
      </c>
      <c r="K593" s="1">
        <f t="shared" si="66"/>
        <v>933.90700000000004</v>
      </c>
      <c r="L593" s="1">
        <v>9339.07</v>
      </c>
      <c r="M593" s="1">
        <f t="shared" si="67"/>
        <v>1681.0325999999998</v>
      </c>
      <c r="N593" s="1">
        <f t="shared" si="68"/>
        <v>11020.1026</v>
      </c>
      <c r="S593" t="str">
        <f t="shared" si="63"/>
        <v>Punjab</v>
      </c>
      <c r="W593" t="str">
        <f t="shared" si="64"/>
        <v>East</v>
      </c>
      <c r="AB593" t="str">
        <f t="shared" si="69"/>
        <v>PK-PB</v>
      </c>
    </row>
    <row r="594" spans="1:28" x14ac:dyDescent="0.25">
      <c r="A594" s="2">
        <v>45150</v>
      </c>
      <c r="B594" t="s">
        <v>43</v>
      </c>
      <c r="C594" t="s">
        <v>54</v>
      </c>
      <c r="D594" t="s">
        <v>12</v>
      </c>
      <c r="E594" t="s">
        <v>18</v>
      </c>
      <c r="F594" t="s">
        <v>27</v>
      </c>
      <c r="G594" t="s">
        <v>28</v>
      </c>
      <c r="H594">
        <v>6</v>
      </c>
      <c r="I594" s="1">
        <v>203.88</v>
      </c>
      <c r="J594" s="1">
        <f t="shared" si="65"/>
        <v>1100.952</v>
      </c>
      <c r="K594" s="1">
        <f t="shared" si="66"/>
        <v>122.328</v>
      </c>
      <c r="L594" s="1">
        <v>1223.28</v>
      </c>
      <c r="M594" s="1">
        <f t="shared" si="67"/>
        <v>220.19039999999998</v>
      </c>
      <c r="N594" s="1">
        <f t="shared" si="68"/>
        <v>1443.4703999999999</v>
      </c>
      <c r="S594" t="str">
        <f t="shared" si="63"/>
        <v>Sindh</v>
      </c>
      <c r="W594" t="str">
        <f t="shared" si="64"/>
        <v>South</v>
      </c>
      <c r="AB594" t="str">
        <f t="shared" si="69"/>
        <v>PK-SD</v>
      </c>
    </row>
    <row r="595" spans="1:28" x14ac:dyDescent="0.25">
      <c r="A595" s="2">
        <v>45011</v>
      </c>
      <c r="B595" t="s">
        <v>16</v>
      </c>
      <c r="C595" t="s">
        <v>26</v>
      </c>
      <c r="D595" t="s">
        <v>12</v>
      </c>
      <c r="E595" t="s">
        <v>18</v>
      </c>
      <c r="F595" t="s">
        <v>19</v>
      </c>
      <c r="G595" t="s">
        <v>20</v>
      </c>
      <c r="H595">
        <v>19</v>
      </c>
      <c r="I595" s="1">
        <v>4786.8900000000003</v>
      </c>
      <c r="J595" s="1">
        <f t="shared" si="65"/>
        <v>81855.819000000003</v>
      </c>
      <c r="K595" s="1">
        <f t="shared" si="66"/>
        <v>9095.0910000000003</v>
      </c>
      <c r="L595" s="1">
        <v>90950.91</v>
      </c>
      <c r="M595" s="1">
        <f t="shared" si="67"/>
        <v>16371.1638</v>
      </c>
      <c r="N595" s="1">
        <f t="shared" si="68"/>
        <v>107322.0738</v>
      </c>
      <c r="S595" t="str">
        <f t="shared" si="63"/>
        <v>Sindh</v>
      </c>
      <c r="W595" t="str">
        <f t="shared" si="64"/>
        <v>South</v>
      </c>
      <c r="AB595" t="str">
        <f t="shared" si="69"/>
        <v>PK-SD</v>
      </c>
    </row>
    <row r="596" spans="1:28" x14ac:dyDescent="0.25">
      <c r="A596" s="2">
        <v>45240</v>
      </c>
      <c r="B596" t="s">
        <v>43</v>
      </c>
      <c r="C596" t="s">
        <v>57</v>
      </c>
      <c r="D596" t="s">
        <v>22</v>
      </c>
      <c r="E596" t="s">
        <v>13</v>
      </c>
      <c r="F596" t="s">
        <v>23</v>
      </c>
      <c r="G596" t="s">
        <v>39</v>
      </c>
      <c r="H596">
        <v>11</v>
      </c>
      <c r="I596" s="1">
        <v>2666.77</v>
      </c>
      <c r="J596" s="1">
        <f t="shared" si="65"/>
        <v>26401.023000000001</v>
      </c>
      <c r="K596" s="1">
        <f t="shared" si="66"/>
        <v>2933.4470000000001</v>
      </c>
      <c r="L596" s="1">
        <v>29334.47</v>
      </c>
      <c r="M596" s="1">
        <f t="shared" si="67"/>
        <v>5280.2046</v>
      </c>
      <c r="N596" s="1">
        <f t="shared" si="68"/>
        <v>34614.674599999998</v>
      </c>
      <c r="S596" t="str">
        <f t="shared" si="63"/>
        <v>Balochistan</v>
      </c>
      <c r="W596" t="str">
        <f t="shared" si="64"/>
        <v>West</v>
      </c>
      <c r="AB596" t="str">
        <f t="shared" si="69"/>
        <v>PK-BA</v>
      </c>
    </row>
    <row r="597" spans="1:28" x14ac:dyDescent="0.25">
      <c r="A597" s="2">
        <v>44967</v>
      </c>
      <c r="B597" t="s">
        <v>25</v>
      </c>
      <c r="C597" t="s">
        <v>11</v>
      </c>
      <c r="D597" t="s">
        <v>22</v>
      </c>
      <c r="E597" t="s">
        <v>13</v>
      </c>
      <c r="F597" t="s">
        <v>32</v>
      </c>
      <c r="G597" t="s">
        <v>33</v>
      </c>
      <c r="H597">
        <v>19</v>
      </c>
      <c r="I597" s="1">
        <v>2174.7600000000002</v>
      </c>
      <c r="J597" s="1">
        <f t="shared" si="65"/>
        <v>37188.396000000001</v>
      </c>
      <c r="K597" s="1">
        <f t="shared" si="66"/>
        <v>4132.0440000000008</v>
      </c>
      <c r="L597" s="1">
        <v>41320.44</v>
      </c>
      <c r="M597" s="1">
        <f t="shared" si="67"/>
        <v>7437.6792000000005</v>
      </c>
      <c r="N597" s="1">
        <f t="shared" si="68"/>
        <v>48758.119200000001</v>
      </c>
      <c r="S597" t="str">
        <f t="shared" si="63"/>
        <v>Balochistan</v>
      </c>
      <c r="W597" t="str">
        <f t="shared" si="64"/>
        <v>West</v>
      </c>
      <c r="AB597" t="str">
        <f t="shared" si="69"/>
        <v>PK-BA</v>
      </c>
    </row>
    <row r="598" spans="1:28" x14ac:dyDescent="0.25">
      <c r="A598" s="2">
        <v>45163</v>
      </c>
      <c r="B598" t="s">
        <v>25</v>
      </c>
      <c r="C598" t="s">
        <v>63</v>
      </c>
      <c r="D598" t="s">
        <v>65</v>
      </c>
      <c r="E598" t="s">
        <v>64</v>
      </c>
      <c r="F598" t="s">
        <v>19</v>
      </c>
      <c r="G598" t="s">
        <v>52</v>
      </c>
      <c r="H598">
        <v>1</v>
      </c>
      <c r="I598" s="1">
        <v>1678.18</v>
      </c>
      <c r="J598" s="1">
        <f t="shared" si="65"/>
        <v>1510.3620000000001</v>
      </c>
      <c r="K598" s="1">
        <f t="shared" si="66"/>
        <v>167.81800000000001</v>
      </c>
      <c r="L598" s="1">
        <v>1678.18</v>
      </c>
      <c r="M598" s="1">
        <f t="shared" si="67"/>
        <v>302.07240000000002</v>
      </c>
      <c r="N598" s="1">
        <f t="shared" si="68"/>
        <v>1980.2524000000001</v>
      </c>
      <c r="S598" t="str">
        <f t="shared" si="63"/>
        <v>Punjab</v>
      </c>
      <c r="W598" t="str">
        <f t="shared" si="64"/>
        <v>East</v>
      </c>
      <c r="AB598" t="str">
        <f t="shared" si="69"/>
        <v>PK-PB</v>
      </c>
    </row>
    <row r="599" spans="1:28" x14ac:dyDescent="0.25">
      <c r="A599" s="2">
        <v>45042</v>
      </c>
      <c r="B599" t="s">
        <v>31</v>
      </c>
      <c r="C599" t="s">
        <v>11</v>
      </c>
      <c r="D599" t="s">
        <v>22</v>
      </c>
      <c r="E599" t="s">
        <v>13</v>
      </c>
      <c r="F599" t="s">
        <v>32</v>
      </c>
      <c r="G599" t="s">
        <v>49</v>
      </c>
      <c r="H599">
        <v>20</v>
      </c>
      <c r="I599" s="1">
        <v>2163.9499999999998</v>
      </c>
      <c r="J599" s="1">
        <f t="shared" si="65"/>
        <v>38951.1</v>
      </c>
      <c r="K599" s="1">
        <f t="shared" si="66"/>
        <v>4327.9000000000005</v>
      </c>
      <c r="L599" s="1">
        <v>43279</v>
      </c>
      <c r="M599" s="1">
        <f t="shared" si="67"/>
        <v>7790.2199999999993</v>
      </c>
      <c r="N599" s="1">
        <f t="shared" si="68"/>
        <v>51069.22</v>
      </c>
      <c r="S599" t="str">
        <f t="shared" si="63"/>
        <v>Balochistan</v>
      </c>
      <c r="W599" t="str">
        <f t="shared" si="64"/>
        <v>West</v>
      </c>
      <c r="AB599" t="str">
        <f t="shared" si="69"/>
        <v>PK-BA</v>
      </c>
    </row>
    <row r="600" spans="1:28" x14ac:dyDescent="0.25">
      <c r="A600" s="2">
        <v>45265</v>
      </c>
      <c r="B600" t="s">
        <v>25</v>
      </c>
      <c r="C600" t="s">
        <v>11</v>
      </c>
      <c r="D600" t="s">
        <v>22</v>
      </c>
      <c r="E600" t="s">
        <v>13</v>
      </c>
      <c r="F600" t="s">
        <v>14</v>
      </c>
      <c r="G600" t="s">
        <v>15</v>
      </c>
      <c r="H600">
        <v>18</v>
      </c>
      <c r="I600" s="1">
        <v>3511.28</v>
      </c>
      <c r="J600" s="1">
        <f t="shared" si="65"/>
        <v>56882.736000000004</v>
      </c>
      <c r="K600" s="1">
        <f t="shared" si="66"/>
        <v>6320.3040000000001</v>
      </c>
      <c r="L600" s="1">
        <v>63203.040000000001</v>
      </c>
      <c r="M600" s="1">
        <f t="shared" si="67"/>
        <v>11376.547199999999</v>
      </c>
      <c r="N600" s="1">
        <f t="shared" si="68"/>
        <v>74579.587199999994</v>
      </c>
      <c r="S600" t="str">
        <f t="shared" si="63"/>
        <v>Balochistan</v>
      </c>
      <c r="W600" t="str">
        <f t="shared" si="64"/>
        <v>West</v>
      </c>
      <c r="AB600" t="str">
        <f t="shared" si="69"/>
        <v>PK-BA</v>
      </c>
    </row>
    <row r="601" spans="1:28" x14ac:dyDescent="0.25">
      <c r="A601" s="2">
        <v>44931</v>
      </c>
      <c r="B601" t="s">
        <v>16</v>
      </c>
      <c r="C601" t="s">
        <v>57</v>
      </c>
      <c r="D601" t="s">
        <v>22</v>
      </c>
      <c r="E601" t="s">
        <v>13</v>
      </c>
      <c r="F601" t="s">
        <v>19</v>
      </c>
      <c r="G601" t="s">
        <v>48</v>
      </c>
      <c r="H601">
        <v>13</v>
      </c>
      <c r="I601" s="1">
        <v>2979.65</v>
      </c>
      <c r="J601" s="1">
        <f t="shared" si="65"/>
        <v>34861.904999999999</v>
      </c>
      <c r="K601" s="1">
        <f t="shared" si="66"/>
        <v>3873.5450000000001</v>
      </c>
      <c r="L601" s="1">
        <v>38735.449999999997</v>
      </c>
      <c r="M601" s="1">
        <f t="shared" si="67"/>
        <v>6972.3809999999994</v>
      </c>
      <c r="N601" s="1">
        <f t="shared" si="68"/>
        <v>45707.830999999998</v>
      </c>
      <c r="S601" t="str">
        <f t="shared" si="63"/>
        <v>Balochistan</v>
      </c>
      <c r="W601" t="str">
        <f t="shared" si="64"/>
        <v>West</v>
      </c>
      <c r="AB601" t="str">
        <f t="shared" si="69"/>
        <v>PK-BA</v>
      </c>
    </row>
    <row r="602" spans="1:28" x14ac:dyDescent="0.25">
      <c r="A602" s="2">
        <v>45003</v>
      </c>
      <c r="B602" t="s">
        <v>40</v>
      </c>
      <c r="C602" t="s">
        <v>11</v>
      </c>
      <c r="D602" t="s">
        <v>22</v>
      </c>
      <c r="E602" t="s">
        <v>13</v>
      </c>
      <c r="F602" t="s">
        <v>23</v>
      </c>
      <c r="G602" t="s">
        <v>37</v>
      </c>
      <c r="H602">
        <v>4</v>
      </c>
      <c r="I602" s="1">
        <v>2985.48</v>
      </c>
      <c r="J602" s="1">
        <f t="shared" si="65"/>
        <v>10747.728000000001</v>
      </c>
      <c r="K602" s="1">
        <f t="shared" si="66"/>
        <v>1194.192</v>
      </c>
      <c r="L602" s="1">
        <v>11941.92</v>
      </c>
      <c r="M602" s="1">
        <f t="shared" si="67"/>
        <v>2149.5455999999999</v>
      </c>
      <c r="N602" s="1">
        <f t="shared" si="68"/>
        <v>14091.4656</v>
      </c>
      <c r="S602" t="str">
        <f t="shared" si="63"/>
        <v>Balochistan</v>
      </c>
      <c r="W602" t="str">
        <f t="shared" si="64"/>
        <v>West</v>
      </c>
      <c r="AB602" t="str">
        <f t="shared" si="69"/>
        <v>PK-BA</v>
      </c>
    </row>
    <row r="603" spans="1:28" x14ac:dyDescent="0.25">
      <c r="A603" s="2">
        <v>45036</v>
      </c>
      <c r="B603" t="s">
        <v>29</v>
      </c>
      <c r="C603" t="s">
        <v>57</v>
      </c>
      <c r="D603" t="s">
        <v>22</v>
      </c>
      <c r="E603" t="s">
        <v>13</v>
      </c>
      <c r="F603" t="s">
        <v>19</v>
      </c>
      <c r="G603" t="s">
        <v>30</v>
      </c>
      <c r="H603">
        <v>18</v>
      </c>
      <c r="I603" s="1">
        <v>3989.44</v>
      </c>
      <c r="J603" s="1">
        <f t="shared" si="65"/>
        <v>64628.928</v>
      </c>
      <c r="K603" s="1">
        <f t="shared" si="66"/>
        <v>7180.9920000000002</v>
      </c>
      <c r="L603" s="1">
        <v>71809.919999999998</v>
      </c>
      <c r="M603" s="1">
        <f t="shared" si="67"/>
        <v>12925.785599999999</v>
      </c>
      <c r="N603" s="1">
        <f t="shared" si="68"/>
        <v>84735.705600000001</v>
      </c>
      <c r="S603" t="str">
        <f t="shared" si="63"/>
        <v>Balochistan</v>
      </c>
      <c r="W603" t="str">
        <f t="shared" si="64"/>
        <v>West</v>
      </c>
      <c r="AB603" t="str">
        <f t="shared" si="69"/>
        <v>PK-BA</v>
      </c>
    </row>
    <row r="604" spans="1:28" x14ac:dyDescent="0.25">
      <c r="A604" s="2">
        <v>45195</v>
      </c>
      <c r="B604" t="s">
        <v>29</v>
      </c>
      <c r="C604" t="s">
        <v>35</v>
      </c>
      <c r="D604" t="s">
        <v>65</v>
      </c>
      <c r="E604" t="s">
        <v>64</v>
      </c>
      <c r="F604" t="s">
        <v>32</v>
      </c>
      <c r="G604" t="s">
        <v>50</v>
      </c>
      <c r="H604">
        <v>14</v>
      </c>
      <c r="I604" s="1">
        <v>2251.87</v>
      </c>
      <c r="J604" s="1">
        <f t="shared" si="65"/>
        <v>28373.562000000002</v>
      </c>
      <c r="K604" s="1">
        <f t="shared" si="66"/>
        <v>3152.6180000000004</v>
      </c>
      <c r="L604" s="1">
        <v>31526.18</v>
      </c>
      <c r="M604" s="1">
        <f t="shared" si="67"/>
        <v>5674.7123999999994</v>
      </c>
      <c r="N604" s="1">
        <f t="shared" si="68"/>
        <v>37200.892399999997</v>
      </c>
      <c r="S604" t="str">
        <f t="shared" si="63"/>
        <v>Punjab</v>
      </c>
      <c r="W604" t="str">
        <f t="shared" si="64"/>
        <v>East</v>
      </c>
      <c r="AB604" t="str">
        <f t="shared" si="69"/>
        <v>PK-PB</v>
      </c>
    </row>
    <row r="605" spans="1:28" x14ac:dyDescent="0.25">
      <c r="A605" s="2">
        <v>45025</v>
      </c>
      <c r="B605" t="s">
        <v>43</v>
      </c>
      <c r="C605" t="s">
        <v>60</v>
      </c>
      <c r="D605" t="s">
        <v>12</v>
      </c>
      <c r="E605" t="s">
        <v>18</v>
      </c>
      <c r="F605" t="s">
        <v>27</v>
      </c>
      <c r="G605" t="s">
        <v>46</v>
      </c>
      <c r="H605">
        <v>8</v>
      </c>
      <c r="I605" s="1">
        <v>2519.3000000000002</v>
      </c>
      <c r="J605" s="1">
        <f t="shared" si="65"/>
        <v>18138.960000000003</v>
      </c>
      <c r="K605" s="1">
        <f t="shared" si="66"/>
        <v>2015.4400000000003</v>
      </c>
      <c r="L605" s="1">
        <v>20154.400000000001</v>
      </c>
      <c r="M605" s="1">
        <f t="shared" si="67"/>
        <v>3627.7919999999999</v>
      </c>
      <c r="N605" s="1">
        <f t="shared" si="68"/>
        <v>23782.192000000003</v>
      </c>
      <c r="S605" t="str">
        <f t="shared" si="63"/>
        <v>Sindh</v>
      </c>
      <c r="W605" t="str">
        <f t="shared" si="64"/>
        <v>South</v>
      </c>
      <c r="AB605" t="str">
        <f t="shared" si="69"/>
        <v>PK-SD</v>
      </c>
    </row>
    <row r="606" spans="1:28" x14ac:dyDescent="0.25">
      <c r="A606" s="2">
        <v>45123</v>
      </c>
      <c r="B606" t="s">
        <v>21</v>
      </c>
      <c r="C606" t="s">
        <v>57</v>
      </c>
      <c r="D606" t="s">
        <v>22</v>
      </c>
      <c r="E606" t="s">
        <v>13</v>
      </c>
      <c r="F606" t="s">
        <v>23</v>
      </c>
      <c r="G606" t="s">
        <v>24</v>
      </c>
      <c r="H606">
        <v>3</v>
      </c>
      <c r="I606" s="1">
        <v>1129.8800000000001</v>
      </c>
      <c r="J606" s="1">
        <f t="shared" si="65"/>
        <v>3050.6759999999999</v>
      </c>
      <c r="K606" s="1">
        <f t="shared" si="66"/>
        <v>338.964</v>
      </c>
      <c r="L606" s="1">
        <v>3389.64</v>
      </c>
      <c r="M606" s="1">
        <f t="shared" si="67"/>
        <v>610.13519999999994</v>
      </c>
      <c r="N606" s="1">
        <f t="shared" si="68"/>
        <v>3999.7752</v>
      </c>
      <c r="S606" t="str">
        <f t="shared" si="63"/>
        <v>Balochistan</v>
      </c>
      <c r="W606" t="str">
        <f t="shared" si="64"/>
        <v>West</v>
      </c>
      <c r="AB606" t="str">
        <f t="shared" si="69"/>
        <v>PK-BA</v>
      </c>
    </row>
    <row r="607" spans="1:28" x14ac:dyDescent="0.25">
      <c r="A607" s="2">
        <v>45205</v>
      </c>
      <c r="B607" t="s">
        <v>10</v>
      </c>
      <c r="C607" t="s">
        <v>35</v>
      </c>
      <c r="D607" t="s">
        <v>65</v>
      </c>
      <c r="E607" t="s">
        <v>64</v>
      </c>
      <c r="F607" t="s">
        <v>14</v>
      </c>
      <c r="G607" t="s">
        <v>51</v>
      </c>
      <c r="H607">
        <v>15</v>
      </c>
      <c r="I607" s="1">
        <v>4146.03</v>
      </c>
      <c r="J607" s="1">
        <f t="shared" si="65"/>
        <v>55971.404999999999</v>
      </c>
      <c r="K607" s="1">
        <f t="shared" si="66"/>
        <v>6219.0450000000001</v>
      </c>
      <c r="L607" s="1">
        <v>62190.45</v>
      </c>
      <c r="M607" s="1">
        <f t="shared" si="67"/>
        <v>11194.280999999999</v>
      </c>
      <c r="N607" s="1">
        <f t="shared" si="68"/>
        <v>73384.731</v>
      </c>
      <c r="S607" t="str">
        <f t="shared" si="63"/>
        <v>Punjab</v>
      </c>
      <c r="W607" t="str">
        <f t="shared" si="64"/>
        <v>East</v>
      </c>
      <c r="AB607" t="str">
        <f t="shared" si="69"/>
        <v>PK-PB</v>
      </c>
    </row>
    <row r="608" spans="1:28" x14ac:dyDescent="0.25">
      <c r="A608" s="2">
        <v>45084</v>
      </c>
      <c r="B608" t="s">
        <v>40</v>
      </c>
      <c r="C608" t="s">
        <v>11</v>
      </c>
      <c r="D608" t="s">
        <v>22</v>
      </c>
      <c r="E608" t="s">
        <v>13</v>
      </c>
      <c r="F608" t="s">
        <v>14</v>
      </c>
      <c r="G608" t="s">
        <v>45</v>
      </c>
      <c r="H608">
        <v>4</v>
      </c>
      <c r="I608" s="1">
        <v>3564.22</v>
      </c>
      <c r="J608" s="1">
        <f t="shared" si="65"/>
        <v>12831.191999999999</v>
      </c>
      <c r="K608" s="1">
        <f t="shared" si="66"/>
        <v>1425.6880000000001</v>
      </c>
      <c r="L608" s="1">
        <v>14256.88</v>
      </c>
      <c r="M608" s="1">
        <f t="shared" si="67"/>
        <v>2566.2383999999997</v>
      </c>
      <c r="N608" s="1">
        <f t="shared" si="68"/>
        <v>16823.118399999999</v>
      </c>
      <c r="S608" t="str">
        <f t="shared" si="63"/>
        <v>Balochistan</v>
      </c>
      <c r="W608" t="str">
        <f t="shared" si="64"/>
        <v>West</v>
      </c>
      <c r="AB608" t="str">
        <f t="shared" si="69"/>
        <v>PK-BA</v>
      </c>
    </row>
    <row r="609" spans="1:28" x14ac:dyDescent="0.25">
      <c r="A609" s="2">
        <v>45246</v>
      </c>
      <c r="B609" t="s">
        <v>40</v>
      </c>
      <c r="C609" t="s">
        <v>17</v>
      </c>
      <c r="D609" t="s">
        <v>65</v>
      </c>
      <c r="E609" t="s">
        <v>64</v>
      </c>
      <c r="F609" t="s">
        <v>14</v>
      </c>
      <c r="G609" t="s">
        <v>51</v>
      </c>
      <c r="H609">
        <v>14</v>
      </c>
      <c r="I609" s="1">
        <v>414.51</v>
      </c>
      <c r="J609" s="1">
        <f t="shared" si="65"/>
        <v>5222.826</v>
      </c>
      <c r="K609" s="1">
        <f t="shared" si="66"/>
        <v>580.31400000000008</v>
      </c>
      <c r="L609" s="1">
        <v>5803.14</v>
      </c>
      <c r="M609" s="1">
        <f t="shared" si="67"/>
        <v>1044.5652</v>
      </c>
      <c r="N609" s="1">
        <f t="shared" si="68"/>
        <v>6847.7052000000003</v>
      </c>
      <c r="S609" t="str">
        <f t="shared" si="63"/>
        <v>Punjab</v>
      </c>
      <c r="W609" t="str">
        <f t="shared" si="64"/>
        <v>East</v>
      </c>
      <c r="AB609" t="str">
        <f t="shared" si="69"/>
        <v>PK-PB</v>
      </c>
    </row>
    <row r="610" spans="1:28" x14ac:dyDescent="0.25">
      <c r="A610" s="2">
        <v>44951</v>
      </c>
      <c r="B610" t="s">
        <v>43</v>
      </c>
      <c r="C610" t="s">
        <v>35</v>
      </c>
      <c r="D610" t="s">
        <v>65</v>
      </c>
      <c r="E610" t="s">
        <v>64</v>
      </c>
      <c r="F610" t="s">
        <v>14</v>
      </c>
      <c r="G610" t="s">
        <v>45</v>
      </c>
      <c r="H610">
        <v>11</v>
      </c>
      <c r="I610" s="1">
        <v>1788.39</v>
      </c>
      <c r="J610" s="1">
        <f t="shared" si="65"/>
        <v>17705.061000000002</v>
      </c>
      <c r="K610" s="1">
        <f t="shared" si="66"/>
        <v>1967.2290000000003</v>
      </c>
      <c r="L610" s="1">
        <v>19672.29</v>
      </c>
      <c r="M610" s="1">
        <f t="shared" si="67"/>
        <v>3541.0122000000001</v>
      </c>
      <c r="N610" s="1">
        <f t="shared" si="68"/>
        <v>23213.302200000002</v>
      </c>
      <c r="S610" t="str">
        <f t="shared" si="63"/>
        <v>Punjab</v>
      </c>
      <c r="W610" t="str">
        <f t="shared" si="64"/>
        <v>East</v>
      </c>
      <c r="AB610" t="str">
        <f t="shared" si="69"/>
        <v>PK-PB</v>
      </c>
    </row>
    <row r="611" spans="1:28" x14ac:dyDescent="0.25">
      <c r="A611" s="2">
        <v>45258</v>
      </c>
      <c r="B611" t="s">
        <v>31</v>
      </c>
      <c r="C611" t="s">
        <v>62</v>
      </c>
      <c r="D611" t="s">
        <v>65</v>
      </c>
      <c r="E611" t="s">
        <v>64</v>
      </c>
      <c r="F611" t="s">
        <v>23</v>
      </c>
      <c r="G611" t="s">
        <v>47</v>
      </c>
      <c r="H611">
        <v>6</v>
      </c>
      <c r="I611" s="1">
        <v>2867.98</v>
      </c>
      <c r="J611" s="1">
        <f t="shared" si="65"/>
        <v>15487.092000000001</v>
      </c>
      <c r="K611" s="1">
        <f t="shared" si="66"/>
        <v>1720.7880000000002</v>
      </c>
      <c r="L611" s="1">
        <v>17207.88</v>
      </c>
      <c r="M611" s="1">
        <f t="shared" si="67"/>
        <v>3097.4184</v>
      </c>
      <c r="N611" s="1">
        <f t="shared" si="68"/>
        <v>20305.2984</v>
      </c>
      <c r="S611" t="str">
        <f t="shared" si="63"/>
        <v>Punjab</v>
      </c>
      <c r="W611" t="str">
        <f t="shared" si="64"/>
        <v>East</v>
      </c>
      <c r="AB611" t="str">
        <f t="shared" si="69"/>
        <v>PK-PB</v>
      </c>
    </row>
    <row r="612" spans="1:28" x14ac:dyDescent="0.25">
      <c r="A612" s="2">
        <v>45123</v>
      </c>
      <c r="B612" t="s">
        <v>25</v>
      </c>
      <c r="C612" t="s">
        <v>11</v>
      </c>
      <c r="D612" t="s">
        <v>22</v>
      </c>
      <c r="E612" t="s">
        <v>13</v>
      </c>
      <c r="F612" t="s">
        <v>23</v>
      </c>
      <c r="G612" t="s">
        <v>24</v>
      </c>
      <c r="H612">
        <v>6</v>
      </c>
      <c r="I612" s="1">
        <v>3566.53</v>
      </c>
      <c r="J612" s="1">
        <f t="shared" si="65"/>
        <v>19259.262000000002</v>
      </c>
      <c r="K612" s="1">
        <f t="shared" si="66"/>
        <v>2139.9180000000001</v>
      </c>
      <c r="L612" s="1">
        <v>21399.18</v>
      </c>
      <c r="M612" s="1">
        <f t="shared" si="67"/>
        <v>3851.8523999999998</v>
      </c>
      <c r="N612" s="1">
        <f t="shared" si="68"/>
        <v>25251.0324</v>
      </c>
      <c r="S612" t="str">
        <f t="shared" si="63"/>
        <v>Balochistan</v>
      </c>
      <c r="W612" t="str">
        <f t="shared" si="64"/>
        <v>West</v>
      </c>
      <c r="AB612" t="str">
        <f t="shared" si="69"/>
        <v>PK-BA</v>
      </c>
    </row>
    <row r="613" spans="1:28" x14ac:dyDescent="0.25">
      <c r="A613" s="2">
        <v>45173</v>
      </c>
      <c r="B613" t="s">
        <v>38</v>
      </c>
      <c r="C613" t="s">
        <v>60</v>
      </c>
      <c r="D613" t="s">
        <v>12</v>
      </c>
      <c r="E613" t="s">
        <v>18</v>
      </c>
      <c r="F613" t="s">
        <v>19</v>
      </c>
      <c r="G613" t="s">
        <v>30</v>
      </c>
      <c r="H613">
        <v>13</v>
      </c>
      <c r="I613" s="1">
        <v>2669.5</v>
      </c>
      <c r="J613" s="1">
        <f t="shared" si="65"/>
        <v>31233.15</v>
      </c>
      <c r="K613" s="1">
        <f t="shared" si="66"/>
        <v>3470.3500000000004</v>
      </c>
      <c r="L613" s="1">
        <v>34703.5</v>
      </c>
      <c r="M613" s="1">
        <f t="shared" si="67"/>
        <v>6246.63</v>
      </c>
      <c r="N613" s="1">
        <f t="shared" si="68"/>
        <v>40950.129999999997</v>
      </c>
      <c r="S613" t="str">
        <f t="shared" si="63"/>
        <v>Sindh</v>
      </c>
      <c r="W613" t="str">
        <f t="shared" si="64"/>
        <v>South</v>
      </c>
      <c r="AB613" t="str">
        <f t="shared" si="69"/>
        <v>PK-SD</v>
      </c>
    </row>
    <row r="614" spans="1:28" x14ac:dyDescent="0.25">
      <c r="A614" s="2">
        <v>45144</v>
      </c>
      <c r="B614" t="s">
        <v>34</v>
      </c>
      <c r="C614" t="s">
        <v>56</v>
      </c>
      <c r="D614" t="s">
        <v>12</v>
      </c>
      <c r="E614" t="s">
        <v>18</v>
      </c>
      <c r="F614" t="s">
        <v>27</v>
      </c>
      <c r="G614" t="s">
        <v>46</v>
      </c>
      <c r="H614">
        <v>6</v>
      </c>
      <c r="I614" s="1">
        <v>3842.46</v>
      </c>
      <c r="J614" s="1">
        <f t="shared" si="65"/>
        <v>20749.284</v>
      </c>
      <c r="K614" s="1">
        <f t="shared" si="66"/>
        <v>2305.4760000000001</v>
      </c>
      <c r="L614" s="1">
        <v>23054.76</v>
      </c>
      <c r="M614" s="1">
        <f t="shared" si="67"/>
        <v>4149.8567999999996</v>
      </c>
      <c r="N614" s="1">
        <f t="shared" si="68"/>
        <v>27204.616799999996</v>
      </c>
      <c r="S614" t="str">
        <f t="shared" si="63"/>
        <v>Sindh</v>
      </c>
      <c r="W614" t="str">
        <f t="shared" si="64"/>
        <v>South</v>
      </c>
      <c r="AB614" t="str">
        <f t="shared" si="69"/>
        <v>PK-SD</v>
      </c>
    </row>
    <row r="615" spans="1:28" x14ac:dyDescent="0.25">
      <c r="A615" s="2">
        <v>45075</v>
      </c>
      <c r="B615" t="s">
        <v>29</v>
      </c>
      <c r="C615" t="s">
        <v>59</v>
      </c>
      <c r="D615" t="s">
        <v>66</v>
      </c>
      <c r="E615" t="s">
        <v>41</v>
      </c>
      <c r="F615" t="s">
        <v>14</v>
      </c>
      <c r="G615" t="s">
        <v>15</v>
      </c>
      <c r="H615">
        <v>13</v>
      </c>
      <c r="I615" s="1">
        <v>1419.3</v>
      </c>
      <c r="J615" s="1">
        <f t="shared" si="65"/>
        <v>16605.810000000001</v>
      </c>
      <c r="K615" s="1">
        <f t="shared" si="66"/>
        <v>1845.0900000000001</v>
      </c>
      <c r="L615" s="1">
        <v>18450.900000000001</v>
      </c>
      <c r="M615" s="1">
        <f t="shared" si="67"/>
        <v>3321.1620000000003</v>
      </c>
      <c r="N615" s="1">
        <f t="shared" si="68"/>
        <v>21772.062000000002</v>
      </c>
      <c r="S615" t="str">
        <f t="shared" si="63"/>
        <v>Khyber Pakhtunkhwa</v>
      </c>
      <c r="W615" t="str">
        <f t="shared" si="64"/>
        <v>North</v>
      </c>
      <c r="AB615" t="str">
        <f t="shared" si="69"/>
        <v>Khyber Pakhtunkhwa</v>
      </c>
    </row>
    <row r="616" spans="1:28" x14ac:dyDescent="0.25">
      <c r="A616" s="2">
        <v>45018</v>
      </c>
      <c r="B616" t="s">
        <v>25</v>
      </c>
      <c r="C616" t="s">
        <v>58</v>
      </c>
      <c r="D616" t="s">
        <v>12</v>
      </c>
      <c r="E616" t="s">
        <v>18</v>
      </c>
      <c r="F616" t="s">
        <v>32</v>
      </c>
      <c r="G616" t="s">
        <v>33</v>
      </c>
      <c r="H616">
        <v>1</v>
      </c>
      <c r="I616" s="1">
        <v>3187.31</v>
      </c>
      <c r="J616" s="1">
        <f t="shared" si="65"/>
        <v>2868.5790000000002</v>
      </c>
      <c r="K616" s="1">
        <f t="shared" si="66"/>
        <v>318.73099999999999</v>
      </c>
      <c r="L616" s="1">
        <v>3187.31</v>
      </c>
      <c r="M616" s="1">
        <f t="shared" si="67"/>
        <v>573.71579999999994</v>
      </c>
      <c r="N616" s="1">
        <f t="shared" si="68"/>
        <v>3761.0257999999999</v>
      </c>
      <c r="S616" t="str">
        <f t="shared" si="63"/>
        <v>Sindh</v>
      </c>
      <c r="W616" t="str">
        <f t="shared" si="64"/>
        <v>South</v>
      </c>
      <c r="AB616" t="str">
        <f t="shared" si="69"/>
        <v>PK-SD</v>
      </c>
    </row>
    <row r="617" spans="1:28" x14ac:dyDescent="0.25">
      <c r="A617" s="2">
        <v>45232</v>
      </c>
      <c r="B617" t="s">
        <v>10</v>
      </c>
      <c r="C617" t="s">
        <v>54</v>
      </c>
      <c r="D617" t="s">
        <v>12</v>
      </c>
      <c r="E617" t="s">
        <v>18</v>
      </c>
      <c r="F617" t="s">
        <v>27</v>
      </c>
      <c r="G617" t="s">
        <v>46</v>
      </c>
      <c r="H617">
        <v>12</v>
      </c>
      <c r="I617" s="1">
        <v>1837.2</v>
      </c>
      <c r="J617" s="1">
        <f t="shared" si="65"/>
        <v>19841.760000000002</v>
      </c>
      <c r="K617" s="1">
        <f t="shared" si="66"/>
        <v>2204.6400000000003</v>
      </c>
      <c r="L617" s="1">
        <v>22046.400000000001</v>
      </c>
      <c r="M617" s="1">
        <f t="shared" si="67"/>
        <v>3968.3520000000003</v>
      </c>
      <c r="N617" s="1">
        <f t="shared" si="68"/>
        <v>26014.752</v>
      </c>
      <c r="S617" t="str">
        <f t="shared" si="63"/>
        <v>Sindh</v>
      </c>
      <c r="W617" t="str">
        <f t="shared" si="64"/>
        <v>South</v>
      </c>
      <c r="AB617" t="str">
        <f t="shared" si="69"/>
        <v>PK-SD</v>
      </c>
    </row>
    <row r="618" spans="1:28" x14ac:dyDescent="0.25">
      <c r="A618" s="2">
        <v>45285</v>
      </c>
      <c r="B618" t="s">
        <v>25</v>
      </c>
      <c r="C618" t="s">
        <v>35</v>
      </c>
      <c r="D618" t="s">
        <v>65</v>
      </c>
      <c r="E618" t="s">
        <v>64</v>
      </c>
      <c r="F618" t="s">
        <v>32</v>
      </c>
      <c r="G618" t="s">
        <v>50</v>
      </c>
      <c r="H618">
        <v>2</v>
      </c>
      <c r="I618" s="1">
        <v>4081.92</v>
      </c>
      <c r="J618" s="1">
        <f t="shared" si="65"/>
        <v>7347.4560000000001</v>
      </c>
      <c r="K618" s="1">
        <f t="shared" si="66"/>
        <v>816.38400000000001</v>
      </c>
      <c r="L618" s="1">
        <v>8163.84</v>
      </c>
      <c r="M618" s="1">
        <f t="shared" si="67"/>
        <v>1469.4911999999999</v>
      </c>
      <c r="N618" s="1">
        <f t="shared" si="68"/>
        <v>9633.3312000000005</v>
      </c>
      <c r="S618" t="str">
        <f t="shared" si="63"/>
        <v>Punjab</v>
      </c>
      <c r="W618" t="str">
        <f t="shared" si="64"/>
        <v>East</v>
      </c>
      <c r="AB618" t="str">
        <f t="shared" si="69"/>
        <v>PK-PB</v>
      </c>
    </row>
    <row r="619" spans="1:28" x14ac:dyDescent="0.25">
      <c r="A619" s="2">
        <v>45166</v>
      </c>
      <c r="B619" t="s">
        <v>16</v>
      </c>
      <c r="C619" t="s">
        <v>35</v>
      </c>
      <c r="D619" t="s">
        <v>65</v>
      </c>
      <c r="E619" t="s">
        <v>64</v>
      </c>
      <c r="F619" t="s">
        <v>27</v>
      </c>
      <c r="G619" t="s">
        <v>28</v>
      </c>
      <c r="H619">
        <v>20</v>
      </c>
      <c r="I619" s="1">
        <v>3184.86</v>
      </c>
      <c r="J619" s="1">
        <f t="shared" si="65"/>
        <v>57327.479999999996</v>
      </c>
      <c r="K619" s="1">
        <f t="shared" si="66"/>
        <v>6369.72</v>
      </c>
      <c r="L619" s="1">
        <v>63697.2</v>
      </c>
      <c r="M619" s="1">
        <f t="shared" si="67"/>
        <v>11465.495999999999</v>
      </c>
      <c r="N619" s="1">
        <f t="shared" si="68"/>
        <v>75162.695999999996</v>
      </c>
      <c r="S619" t="str">
        <f t="shared" si="63"/>
        <v>Punjab</v>
      </c>
      <c r="W619" t="str">
        <f t="shared" si="64"/>
        <v>East</v>
      </c>
      <c r="AB619" t="str">
        <f t="shared" si="69"/>
        <v>PK-PB</v>
      </c>
    </row>
    <row r="620" spans="1:28" x14ac:dyDescent="0.25">
      <c r="A620" s="2">
        <v>44957</v>
      </c>
      <c r="B620" t="s">
        <v>29</v>
      </c>
      <c r="C620" t="s">
        <v>17</v>
      </c>
      <c r="D620" t="s">
        <v>65</v>
      </c>
      <c r="E620" t="s">
        <v>64</v>
      </c>
      <c r="F620" t="s">
        <v>14</v>
      </c>
      <c r="G620" t="s">
        <v>51</v>
      </c>
      <c r="H620">
        <v>8</v>
      </c>
      <c r="I620" s="1">
        <v>3402.24</v>
      </c>
      <c r="J620" s="1">
        <f t="shared" si="65"/>
        <v>24496.128000000001</v>
      </c>
      <c r="K620" s="1">
        <f t="shared" si="66"/>
        <v>2721.7919999999999</v>
      </c>
      <c r="L620" s="1">
        <v>27217.919999999998</v>
      </c>
      <c r="M620" s="1">
        <f t="shared" si="67"/>
        <v>4899.2255999999998</v>
      </c>
      <c r="N620" s="1">
        <f t="shared" si="68"/>
        <v>32117.145599999996</v>
      </c>
      <c r="S620" t="str">
        <f t="shared" si="63"/>
        <v>Punjab</v>
      </c>
      <c r="W620" t="str">
        <f t="shared" si="64"/>
        <v>East</v>
      </c>
      <c r="AB620" t="str">
        <f t="shared" si="69"/>
        <v>PK-PB</v>
      </c>
    </row>
    <row r="621" spans="1:28" x14ac:dyDescent="0.25">
      <c r="A621" s="2">
        <v>45171</v>
      </c>
      <c r="B621" t="s">
        <v>29</v>
      </c>
      <c r="C621" t="s">
        <v>26</v>
      </c>
      <c r="D621" t="s">
        <v>12</v>
      </c>
      <c r="E621" t="s">
        <v>18</v>
      </c>
      <c r="F621" t="s">
        <v>14</v>
      </c>
      <c r="G621" t="s">
        <v>51</v>
      </c>
      <c r="H621">
        <v>10</v>
      </c>
      <c r="I621" s="1">
        <v>2750.69</v>
      </c>
      <c r="J621" s="1">
        <f t="shared" si="65"/>
        <v>24756.210000000003</v>
      </c>
      <c r="K621" s="1">
        <f t="shared" si="66"/>
        <v>2750.6900000000005</v>
      </c>
      <c r="L621" s="1">
        <v>27506.9</v>
      </c>
      <c r="M621" s="1">
        <f t="shared" si="67"/>
        <v>4951.2420000000002</v>
      </c>
      <c r="N621" s="1">
        <f t="shared" si="68"/>
        <v>32458.142</v>
      </c>
      <c r="S621" t="str">
        <f t="shared" si="63"/>
        <v>Sindh</v>
      </c>
      <c r="W621" t="str">
        <f t="shared" si="64"/>
        <v>South</v>
      </c>
      <c r="AB621" t="str">
        <f t="shared" si="69"/>
        <v>PK-SD</v>
      </c>
    </row>
    <row r="622" spans="1:28" x14ac:dyDescent="0.25">
      <c r="A622" s="2">
        <v>44996</v>
      </c>
      <c r="B622" t="s">
        <v>43</v>
      </c>
      <c r="C622" t="s">
        <v>59</v>
      </c>
      <c r="D622" t="s">
        <v>66</v>
      </c>
      <c r="E622" t="s">
        <v>41</v>
      </c>
      <c r="F622" t="s">
        <v>32</v>
      </c>
      <c r="G622" t="s">
        <v>33</v>
      </c>
      <c r="H622">
        <v>13</v>
      </c>
      <c r="I622" s="1">
        <v>4090.9</v>
      </c>
      <c r="J622" s="1">
        <f t="shared" si="65"/>
        <v>47863.53</v>
      </c>
      <c r="K622" s="1">
        <f t="shared" si="66"/>
        <v>5318.17</v>
      </c>
      <c r="L622" s="1">
        <v>53181.7</v>
      </c>
      <c r="M622" s="1">
        <f t="shared" si="67"/>
        <v>9572.7059999999983</v>
      </c>
      <c r="N622" s="1">
        <f t="shared" si="68"/>
        <v>62754.405999999995</v>
      </c>
      <c r="S622" t="str">
        <f t="shared" si="63"/>
        <v>Khyber Pakhtunkhwa</v>
      </c>
      <c r="W622" t="str">
        <f t="shared" si="64"/>
        <v>North</v>
      </c>
      <c r="AB622" t="str">
        <f t="shared" si="69"/>
        <v>Khyber Pakhtunkhwa</v>
      </c>
    </row>
    <row r="623" spans="1:28" x14ac:dyDescent="0.25">
      <c r="A623" s="2">
        <v>45118</v>
      </c>
      <c r="B623" t="s">
        <v>40</v>
      </c>
      <c r="C623" t="s">
        <v>54</v>
      </c>
      <c r="D623" t="s">
        <v>12</v>
      </c>
      <c r="E623" t="s">
        <v>18</v>
      </c>
      <c r="F623" t="s">
        <v>27</v>
      </c>
      <c r="G623" t="s">
        <v>44</v>
      </c>
      <c r="H623">
        <v>3</v>
      </c>
      <c r="I623" s="1">
        <v>4234</v>
      </c>
      <c r="J623" s="1">
        <f t="shared" si="65"/>
        <v>11431.800000000001</v>
      </c>
      <c r="K623" s="1">
        <f t="shared" si="66"/>
        <v>1270.2</v>
      </c>
      <c r="L623" s="1">
        <v>12702</v>
      </c>
      <c r="M623" s="1">
        <f t="shared" si="67"/>
        <v>2286.36</v>
      </c>
      <c r="N623" s="1">
        <f t="shared" si="68"/>
        <v>14988.36</v>
      </c>
      <c r="S623" t="str">
        <f t="shared" si="63"/>
        <v>Sindh</v>
      </c>
      <c r="W623" t="str">
        <f t="shared" si="64"/>
        <v>South</v>
      </c>
      <c r="AB623" t="str">
        <f t="shared" si="69"/>
        <v>PK-SD</v>
      </c>
    </row>
    <row r="624" spans="1:28" x14ac:dyDescent="0.25">
      <c r="A624" s="2">
        <v>45083</v>
      </c>
      <c r="B624" t="s">
        <v>43</v>
      </c>
      <c r="C624" t="s">
        <v>55</v>
      </c>
      <c r="D624" t="s">
        <v>66</v>
      </c>
      <c r="E624" t="s">
        <v>41</v>
      </c>
      <c r="F624" t="s">
        <v>32</v>
      </c>
      <c r="G624" t="s">
        <v>49</v>
      </c>
      <c r="H624">
        <v>12</v>
      </c>
      <c r="I624" s="1">
        <v>1701.3</v>
      </c>
      <c r="J624" s="1">
        <f t="shared" si="65"/>
        <v>18374.04</v>
      </c>
      <c r="K624" s="1">
        <f t="shared" si="66"/>
        <v>2041.56</v>
      </c>
      <c r="L624" s="1">
        <v>20415.599999999999</v>
      </c>
      <c r="M624" s="1">
        <f t="shared" si="67"/>
        <v>3674.8079999999995</v>
      </c>
      <c r="N624" s="1">
        <f t="shared" si="68"/>
        <v>24090.407999999999</v>
      </c>
      <c r="S624" t="str">
        <f t="shared" si="63"/>
        <v>Khyber Pakhtunkhwa</v>
      </c>
      <c r="W624" t="str">
        <f t="shared" si="64"/>
        <v>North</v>
      </c>
      <c r="AB624" t="str">
        <f t="shared" si="69"/>
        <v>Khyber Pakhtunkhwa</v>
      </c>
    </row>
    <row r="625" spans="1:28" x14ac:dyDescent="0.25">
      <c r="A625" s="2">
        <v>45112</v>
      </c>
      <c r="B625" t="s">
        <v>38</v>
      </c>
      <c r="C625" t="s">
        <v>56</v>
      </c>
      <c r="D625" t="s">
        <v>12</v>
      </c>
      <c r="E625" t="s">
        <v>18</v>
      </c>
      <c r="F625" t="s">
        <v>32</v>
      </c>
      <c r="G625" t="s">
        <v>50</v>
      </c>
      <c r="H625">
        <v>18</v>
      </c>
      <c r="I625" s="1">
        <v>1599.01</v>
      </c>
      <c r="J625" s="1">
        <f t="shared" si="65"/>
        <v>25903.962</v>
      </c>
      <c r="K625" s="1">
        <f t="shared" si="66"/>
        <v>2878.2180000000003</v>
      </c>
      <c r="L625" s="1">
        <v>28782.18</v>
      </c>
      <c r="M625" s="1">
        <f t="shared" si="67"/>
        <v>5180.7924000000003</v>
      </c>
      <c r="N625" s="1">
        <f t="shared" si="68"/>
        <v>33962.972399999999</v>
      </c>
      <c r="S625" t="str">
        <f t="shared" si="63"/>
        <v>Sindh</v>
      </c>
      <c r="W625" t="str">
        <f t="shared" si="64"/>
        <v>South</v>
      </c>
      <c r="AB625" t="str">
        <f t="shared" si="69"/>
        <v>PK-SD</v>
      </c>
    </row>
    <row r="626" spans="1:28" x14ac:dyDescent="0.25">
      <c r="A626" s="2">
        <v>45076</v>
      </c>
      <c r="B626" t="s">
        <v>38</v>
      </c>
      <c r="C626" t="s">
        <v>62</v>
      </c>
      <c r="D626" t="s">
        <v>65</v>
      </c>
      <c r="E626" t="s">
        <v>64</v>
      </c>
      <c r="F626" t="s">
        <v>32</v>
      </c>
      <c r="G626" t="s">
        <v>33</v>
      </c>
      <c r="H626">
        <v>11</v>
      </c>
      <c r="I626" s="1">
        <v>4564.7299999999996</v>
      </c>
      <c r="J626" s="1">
        <f t="shared" si="65"/>
        <v>45190.826999999997</v>
      </c>
      <c r="K626" s="1">
        <f t="shared" si="66"/>
        <v>5021.2030000000004</v>
      </c>
      <c r="L626" s="1">
        <v>50212.03</v>
      </c>
      <c r="M626" s="1">
        <f t="shared" si="67"/>
        <v>9038.1653999999999</v>
      </c>
      <c r="N626" s="1">
        <f t="shared" si="68"/>
        <v>59250.195399999997</v>
      </c>
      <c r="S626" t="str">
        <f t="shared" si="63"/>
        <v>Punjab</v>
      </c>
      <c r="W626" t="str">
        <f t="shared" si="64"/>
        <v>East</v>
      </c>
      <c r="AB626" t="str">
        <f t="shared" si="69"/>
        <v>PK-PB</v>
      </c>
    </row>
    <row r="627" spans="1:28" x14ac:dyDescent="0.25">
      <c r="A627" s="2">
        <v>45110</v>
      </c>
      <c r="B627" t="s">
        <v>10</v>
      </c>
      <c r="C627" t="s">
        <v>35</v>
      </c>
      <c r="D627" t="s">
        <v>65</v>
      </c>
      <c r="E627" t="s">
        <v>64</v>
      </c>
      <c r="F627" t="s">
        <v>14</v>
      </c>
      <c r="G627" t="s">
        <v>45</v>
      </c>
      <c r="H627">
        <v>14</v>
      </c>
      <c r="I627" s="1">
        <v>3507.75</v>
      </c>
      <c r="J627" s="1">
        <f t="shared" si="65"/>
        <v>44197.65</v>
      </c>
      <c r="K627" s="1">
        <f t="shared" si="66"/>
        <v>4910.8500000000004</v>
      </c>
      <c r="L627" s="1">
        <v>49108.5</v>
      </c>
      <c r="M627" s="1">
        <f t="shared" si="67"/>
        <v>8839.5299999999988</v>
      </c>
      <c r="N627" s="1">
        <f t="shared" si="68"/>
        <v>57948.03</v>
      </c>
      <c r="S627" t="str">
        <f t="shared" si="63"/>
        <v>Punjab</v>
      </c>
      <c r="W627" t="str">
        <f t="shared" si="64"/>
        <v>East</v>
      </c>
      <c r="AB627" t="str">
        <f t="shared" si="69"/>
        <v>PK-PB</v>
      </c>
    </row>
    <row r="628" spans="1:28" x14ac:dyDescent="0.25">
      <c r="A628" s="2">
        <v>45011</v>
      </c>
      <c r="B628" t="s">
        <v>34</v>
      </c>
      <c r="C628" t="s">
        <v>26</v>
      </c>
      <c r="D628" t="s">
        <v>12</v>
      </c>
      <c r="E628" t="s">
        <v>18</v>
      </c>
      <c r="F628" t="s">
        <v>19</v>
      </c>
      <c r="G628" t="s">
        <v>30</v>
      </c>
      <c r="H628">
        <v>4</v>
      </c>
      <c r="I628" s="1">
        <v>810.38</v>
      </c>
      <c r="J628" s="1">
        <f t="shared" si="65"/>
        <v>2917.3679999999999</v>
      </c>
      <c r="K628" s="1">
        <f t="shared" si="66"/>
        <v>324.15200000000004</v>
      </c>
      <c r="L628" s="1">
        <v>3241.52</v>
      </c>
      <c r="M628" s="1">
        <f t="shared" si="67"/>
        <v>583.47359999999992</v>
      </c>
      <c r="N628" s="1">
        <f t="shared" si="68"/>
        <v>3824.9935999999998</v>
      </c>
      <c r="S628" t="str">
        <f t="shared" si="63"/>
        <v>Sindh</v>
      </c>
      <c r="W628" t="str">
        <f t="shared" si="64"/>
        <v>South</v>
      </c>
      <c r="AB628" t="str">
        <f t="shared" si="69"/>
        <v>PK-SD</v>
      </c>
    </row>
    <row r="629" spans="1:28" x14ac:dyDescent="0.25">
      <c r="A629" s="2">
        <v>45097</v>
      </c>
      <c r="B629" t="s">
        <v>10</v>
      </c>
      <c r="C629" t="s">
        <v>59</v>
      </c>
      <c r="D629" t="s">
        <v>66</v>
      </c>
      <c r="E629" t="s">
        <v>41</v>
      </c>
      <c r="F629" t="s">
        <v>32</v>
      </c>
      <c r="G629" t="s">
        <v>49</v>
      </c>
      <c r="H629">
        <v>7</v>
      </c>
      <c r="I629" s="1">
        <v>698.8</v>
      </c>
      <c r="J629" s="1">
        <f t="shared" si="65"/>
        <v>4402.4400000000005</v>
      </c>
      <c r="K629" s="1">
        <f t="shared" si="66"/>
        <v>489.16000000000008</v>
      </c>
      <c r="L629" s="1">
        <v>4891.6000000000004</v>
      </c>
      <c r="M629" s="1">
        <f t="shared" si="67"/>
        <v>880.48800000000006</v>
      </c>
      <c r="N629" s="1">
        <f t="shared" si="68"/>
        <v>5772.0880000000006</v>
      </c>
      <c r="S629" t="str">
        <f t="shared" si="63"/>
        <v>Khyber Pakhtunkhwa</v>
      </c>
      <c r="W629" t="str">
        <f t="shared" si="64"/>
        <v>North</v>
      </c>
      <c r="AB629" t="str">
        <f t="shared" si="69"/>
        <v>Khyber Pakhtunkhwa</v>
      </c>
    </row>
    <row r="630" spans="1:28" x14ac:dyDescent="0.25">
      <c r="A630" s="2">
        <v>45179</v>
      </c>
      <c r="B630" t="s">
        <v>40</v>
      </c>
      <c r="C630" t="s">
        <v>17</v>
      </c>
      <c r="D630" t="s">
        <v>65</v>
      </c>
      <c r="E630" t="s">
        <v>64</v>
      </c>
      <c r="F630" t="s">
        <v>32</v>
      </c>
      <c r="G630" t="s">
        <v>50</v>
      </c>
      <c r="H630">
        <v>14</v>
      </c>
      <c r="I630" s="1">
        <v>2833.44</v>
      </c>
      <c r="J630" s="1">
        <f t="shared" si="65"/>
        <v>35701.344000000005</v>
      </c>
      <c r="K630" s="1">
        <f t="shared" si="66"/>
        <v>3966.8160000000007</v>
      </c>
      <c r="L630" s="1">
        <v>39668.160000000003</v>
      </c>
      <c r="M630" s="1">
        <f t="shared" si="67"/>
        <v>7140.2688000000007</v>
      </c>
      <c r="N630" s="1">
        <f t="shared" si="68"/>
        <v>46808.428800000002</v>
      </c>
      <c r="S630" t="str">
        <f t="shared" si="63"/>
        <v>Punjab</v>
      </c>
      <c r="W630" t="str">
        <f t="shared" si="64"/>
        <v>East</v>
      </c>
      <c r="AB630" t="str">
        <f t="shared" si="69"/>
        <v>PK-PB</v>
      </c>
    </row>
    <row r="631" spans="1:28" x14ac:dyDescent="0.25">
      <c r="A631" s="2">
        <v>45000</v>
      </c>
      <c r="B631" t="s">
        <v>25</v>
      </c>
      <c r="C631" t="s">
        <v>54</v>
      </c>
      <c r="D631" t="s">
        <v>12</v>
      </c>
      <c r="E631" t="s">
        <v>18</v>
      </c>
      <c r="F631" t="s">
        <v>27</v>
      </c>
      <c r="G631" t="s">
        <v>44</v>
      </c>
      <c r="H631">
        <v>20</v>
      </c>
      <c r="I631" s="1">
        <v>2409.6799999999998</v>
      </c>
      <c r="J631" s="1">
        <f t="shared" si="65"/>
        <v>43374.239999999998</v>
      </c>
      <c r="K631" s="1">
        <f t="shared" si="66"/>
        <v>4819.3599999999997</v>
      </c>
      <c r="L631" s="1">
        <v>48193.599999999999</v>
      </c>
      <c r="M631" s="1">
        <f t="shared" si="67"/>
        <v>8674.848</v>
      </c>
      <c r="N631" s="1">
        <f t="shared" si="68"/>
        <v>56868.447999999997</v>
      </c>
      <c r="S631" t="str">
        <f t="shared" si="63"/>
        <v>Sindh</v>
      </c>
      <c r="W631" t="str">
        <f t="shared" si="64"/>
        <v>South</v>
      </c>
      <c r="AB631" t="str">
        <f t="shared" si="69"/>
        <v>PK-SD</v>
      </c>
    </row>
    <row r="632" spans="1:28" x14ac:dyDescent="0.25">
      <c r="A632" s="2">
        <v>45175</v>
      </c>
      <c r="B632" t="s">
        <v>40</v>
      </c>
      <c r="C632" t="s">
        <v>56</v>
      </c>
      <c r="D632" t="s">
        <v>12</v>
      </c>
      <c r="E632" t="s">
        <v>18</v>
      </c>
      <c r="F632" t="s">
        <v>27</v>
      </c>
      <c r="G632" t="s">
        <v>46</v>
      </c>
      <c r="H632">
        <v>17</v>
      </c>
      <c r="I632" s="1">
        <v>2448.5100000000002</v>
      </c>
      <c r="J632" s="1">
        <f t="shared" si="65"/>
        <v>37462.203000000001</v>
      </c>
      <c r="K632" s="1">
        <f t="shared" si="66"/>
        <v>4162.4669999999996</v>
      </c>
      <c r="L632" s="1">
        <v>41624.67</v>
      </c>
      <c r="M632" s="1">
        <f t="shared" si="67"/>
        <v>7492.440599999999</v>
      </c>
      <c r="N632" s="1">
        <f t="shared" si="68"/>
        <v>49117.1106</v>
      </c>
      <c r="S632" t="str">
        <f t="shared" si="63"/>
        <v>Sindh</v>
      </c>
      <c r="W632" t="str">
        <f t="shared" si="64"/>
        <v>South</v>
      </c>
      <c r="AB632" t="str">
        <f t="shared" si="69"/>
        <v>PK-SD</v>
      </c>
    </row>
    <row r="633" spans="1:28" x14ac:dyDescent="0.25">
      <c r="A633" s="2">
        <v>45148</v>
      </c>
      <c r="B633" t="s">
        <v>43</v>
      </c>
      <c r="C633" t="s">
        <v>56</v>
      </c>
      <c r="D633" t="s">
        <v>12</v>
      </c>
      <c r="E633" t="s">
        <v>18</v>
      </c>
      <c r="F633" t="s">
        <v>23</v>
      </c>
      <c r="G633" t="s">
        <v>37</v>
      </c>
      <c r="H633">
        <v>7</v>
      </c>
      <c r="I633" s="1">
        <v>4029.58</v>
      </c>
      <c r="J633" s="1">
        <f t="shared" si="65"/>
        <v>25386.354000000003</v>
      </c>
      <c r="K633" s="1">
        <f t="shared" si="66"/>
        <v>2820.7060000000001</v>
      </c>
      <c r="L633" s="1">
        <v>28207.06</v>
      </c>
      <c r="M633" s="1">
        <f t="shared" si="67"/>
        <v>5077.2708000000002</v>
      </c>
      <c r="N633" s="1">
        <f t="shared" si="68"/>
        <v>33284.330800000003</v>
      </c>
      <c r="S633" t="str">
        <f t="shared" si="63"/>
        <v>Sindh</v>
      </c>
      <c r="W633" t="str">
        <f t="shared" si="64"/>
        <v>South</v>
      </c>
      <c r="AB633" t="str">
        <f t="shared" si="69"/>
        <v>PK-SD</v>
      </c>
    </row>
    <row r="634" spans="1:28" x14ac:dyDescent="0.25">
      <c r="A634" s="2">
        <v>45183</v>
      </c>
      <c r="B634" t="s">
        <v>25</v>
      </c>
      <c r="C634" t="s">
        <v>55</v>
      </c>
      <c r="D634" t="s">
        <v>66</v>
      </c>
      <c r="E634" t="s">
        <v>41</v>
      </c>
      <c r="F634" t="s">
        <v>27</v>
      </c>
      <c r="G634" t="s">
        <v>42</v>
      </c>
      <c r="H634">
        <v>15</v>
      </c>
      <c r="I634" s="1">
        <v>3999.29</v>
      </c>
      <c r="J634" s="1">
        <f t="shared" si="65"/>
        <v>53990.415000000001</v>
      </c>
      <c r="K634" s="1">
        <f t="shared" si="66"/>
        <v>5998.9350000000004</v>
      </c>
      <c r="L634" s="1">
        <v>59989.35</v>
      </c>
      <c r="M634" s="1">
        <f t="shared" si="67"/>
        <v>10798.082999999999</v>
      </c>
      <c r="N634" s="1">
        <f t="shared" si="68"/>
        <v>70787.43299999999</v>
      </c>
      <c r="S634" t="str">
        <f t="shared" si="63"/>
        <v>Khyber Pakhtunkhwa</v>
      </c>
      <c r="W634" t="str">
        <f t="shared" si="64"/>
        <v>North</v>
      </c>
      <c r="AB634" t="str">
        <f t="shared" si="69"/>
        <v>Khyber Pakhtunkhwa</v>
      </c>
    </row>
    <row r="635" spans="1:28" x14ac:dyDescent="0.25">
      <c r="A635" s="2">
        <v>45168</v>
      </c>
      <c r="B635" t="s">
        <v>31</v>
      </c>
      <c r="C635" t="s">
        <v>57</v>
      </c>
      <c r="D635" t="s">
        <v>22</v>
      </c>
      <c r="E635" t="s">
        <v>13</v>
      </c>
      <c r="F635" t="s">
        <v>19</v>
      </c>
      <c r="G635" t="s">
        <v>48</v>
      </c>
      <c r="H635">
        <v>17</v>
      </c>
      <c r="I635" s="1">
        <v>583.88</v>
      </c>
      <c r="J635" s="1">
        <f t="shared" si="65"/>
        <v>8933.3639999999996</v>
      </c>
      <c r="K635" s="1">
        <f t="shared" si="66"/>
        <v>992.596</v>
      </c>
      <c r="L635" s="1">
        <v>9925.9599999999991</v>
      </c>
      <c r="M635" s="1">
        <f t="shared" si="67"/>
        <v>1786.6727999999998</v>
      </c>
      <c r="N635" s="1">
        <f t="shared" si="68"/>
        <v>11712.632799999999</v>
      </c>
      <c r="S635" t="str">
        <f t="shared" si="63"/>
        <v>Balochistan</v>
      </c>
      <c r="W635" t="str">
        <f t="shared" si="64"/>
        <v>West</v>
      </c>
      <c r="AB635" t="str">
        <f t="shared" si="69"/>
        <v>PK-BA</v>
      </c>
    </row>
    <row r="636" spans="1:28" x14ac:dyDescent="0.25">
      <c r="A636" s="2">
        <v>45140</v>
      </c>
      <c r="B636" t="s">
        <v>43</v>
      </c>
      <c r="C636" t="s">
        <v>60</v>
      </c>
      <c r="D636" t="s">
        <v>12</v>
      </c>
      <c r="E636" t="s">
        <v>18</v>
      </c>
      <c r="F636" t="s">
        <v>23</v>
      </c>
      <c r="G636" t="s">
        <v>39</v>
      </c>
      <c r="H636">
        <v>7</v>
      </c>
      <c r="I636" s="1">
        <v>1319.32</v>
      </c>
      <c r="J636" s="1">
        <f t="shared" si="65"/>
        <v>8311.7160000000003</v>
      </c>
      <c r="K636" s="1">
        <f t="shared" si="66"/>
        <v>923.524</v>
      </c>
      <c r="L636" s="1">
        <v>9235.24</v>
      </c>
      <c r="M636" s="1">
        <f t="shared" si="67"/>
        <v>1662.3431999999998</v>
      </c>
      <c r="N636" s="1">
        <f t="shared" si="68"/>
        <v>10897.583199999999</v>
      </c>
      <c r="S636" t="str">
        <f t="shared" si="63"/>
        <v>Sindh</v>
      </c>
      <c r="W636" t="str">
        <f t="shared" si="64"/>
        <v>South</v>
      </c>
      <c r="AB636" t="str">
        <f t="shared" si="69"/>
        <v>PK-SD</v>
      </c>
    </row>
    <row r="637" spans="1:28" x14ac:dyDescent="0.25">
      <c r="A637" s="2">
        <v>45068</v>
      </c>
      <c r="B637" t="s">
        <v>29</v>
      </c>
      <c r="C637" t="s">
        <v>11</v>
      </c>
      <c r="D637" t="s">
        <v>22</v>
      </c>
      <c r="E637" t="s">
        <v>13</v>
      </c>
      <c r="F637" t="s">
        <v>14</v>
      </c>
      <c r="G637" t="s">
        <v>53</v>
      </c>
      <c r="H637">
        <v>15</v>
      </c>
      <c r="I637" s="1">
        <v>2698.6</v>
      </c>
      <c r="J637" s="1">
        <f t="shared" si="65"/>
        <v>36431.1</v>
      </c>
      <c r="K637" s="1">
        <f t="shared" si="66"/>
        <v>4047.9</v>
      </c>
      <c r="L637" s="1">
        <v>40479</v>
      </c>
      <c r="M637" s="1">
        <f t="shared" si="67"/>
        <v>7286.2199999999993</v>
      </c>
      <c r="N637" s="1">
        <f t="shared" si="68"/>
        <v>47765.22</v>
      </c>
      <c r="S637" t="str">
        <f t="shared" si="63"/>
        <v>Balochistan</v>
      </c>
      <c r="W637" t="str">
        <f t="shared" si="64"/>
        <v>West</v>
      </c>
      <c r="AB637" t="str">
        <f t="shared" si="69"/>
        <v>PK-BA</v>
      </c>
    </row>
    <row r="638" spans="1:28" x14ac:dyDescent="0.25">
      <c r="A638" s="2">
        <v>45107</v>
      </c>
      <c r="B638" t="s">
        <v>21</v>
      </c>
      <c r="C638" t="s">
        <v>54</v>
      </c>
      <c r="D638" t="s">
        <v>12</v>
      </c>
      <c r="E638" t="s">
        <v>18</v>
      </c>
      <c r="F638" t="s">
        <v>19</v>
      </c>
      <c r="G638" t="s">
        <v>48</v>
      </c>
      <c r="H638">
        <v>19</v>
      </c>
      <c r="I638" s="1">
        <v>4364.6400000000003</v>
      </c>
      <c r="J638" s="1">
        <f t="shared" si="65"/>
        <v>74635.344000000012</v>
      </c>
      <c r="K638" s="1">
        <f t="shared" si="66"/>
        <v>8292.8160000000007</v>
      </c>
      <c r="L638" s="1">
        <v>82928.160000000003</v>
      </c>
      <c r="M638" s="1">
        <f t="shared" si="67"/>
        <v>14927.068800000001</v>
      </c>
      <c r="N638" s="1">
        <f t="shared" si="68"/>
        <v>97855.228800000012</v>
      </c>
      <c r="S638" t="str">
        <f t="shared" si="63"/>
        <v>Sindh</v>
      </c>
      <c r="W638" t="str">
        <f t="shared" si="64"/>
        <v>South</v>
      </c>
      <c r="AB638" t="str">
        <f t="shared" si="69"/>
        <v>PK-SD</v>
      </c>
    </row>
    <row r="639" spans="1:28" x14ac:dyDescent="0.25">
      <c r="A639" s="2">
        <v>45033</v>
      </c>
      <c r="B639" t="s">
        <v>38</v>
      </c>
      <c r="C639" t="s">
        <v>55</v>
      </c>
      <c r="D639" t="s">
        <v>66</v>
      </c>
      <c r="E639" t="s">
        <v>41</v>
      </c>
      <c r="F639" t="s">
        <v>14</v>
      </c>
      <c r="G639" t="s">
        <v>45</v>
      </c>
      <c r="H639">
        <v>8</v>
      </c>
      <c r="I639" s="1">
        <v>4740.97</v>
      </c>
      <c r="J639" s="1">
        <f t="shared" si="65"/>
        <v>34134.984000000004</v>
      </c>
      <c r="K639" s="1">
        <f t="shared" si="66"/>
        <v>3792.7760000000003</v>
      </c>
      <c r="L639" s="1">
        <v>37927.760000000002</v>
      </c>
      <c r="M639" s="1">
        <f t="shared" si="67"/>
        <v>6826.9967999999999</v>
      </c>
      <c r="N639" s="1">
        <f t="shared" si="68"/>
        <v>44754.756800000003</v>
      </c>
      <c r="S639" t="str">
        <f t="shared" si="63"/>
        <v>Khyber Pakhtunkhwa</v>
      </c>
      <c r="W639" t="str">
        <f t="shared" si="64"/>
        <v>North</v>
      </c>
      <c r="AB639" t="str">
        <f t="shared" si="69"/>
        <v>Khyber Pakhtunkhwa</v>
      </c>
    </row>
    <row r="640" spans="1:28" x14ac:dyDescent="0.25">
      <c r="A640" s="2">
        <v>45060</v>
      </c>
      <c r="B640" t="s">
        <v>29</v>
      </c>
      <c r="C640" t="s">
        <v>57</v>
      </c>
      <c r="D640" t="s">
        <v>22</v>
      </c>
      <c r="E640" t="s">
        <v>13</v>
      </c>
      <c r="F640" t="s">
        <v>19</v>
      </c>
      <c r="G640" t="s">
        <v>48</v>
      </c>
      <c r="H640">
        <v>4</v>
      </c>
      <c r="I640" s="1">
        <v>917.97</v>
      </c>
      <c r="J640" s="1">
        <f t="shared" si="65"/>
        <v>3304.692</v>
      </c>
      <c r="K640" s="1">
        <f t="shared" si="66"/>
        <v>367.18800000000005</v>
      </c>
      <c r="L640" s="1">
        <v>3671.88</v>
      </c>
      <c r="M640" s="1">
        <f t="shared" si="67"/>
        <v>660.9384</v>
      </c>
      <c r="N640" s="1">
        <f t="shared" si="68"/>
        <v>4332.8184000000001</v>
      </c>
      <c r="S640" t="str">
        <f t="shared" si="63"/>
        <v>Balochistan</v>
      </c>
      <c r="W640" t="str">
        <f t="shared" si="64"/>
        <v>West</v>
      </c>
      <c r="AB640" t="str">
        <f t="shared" si="69"/>
        <v>PK-BA</v>
      </c>
    </row>
    <row r="641" spans="1:28" x14ac:dyDescent="0.25">
      <c r="A641" s="2">
        <v>45055</v>
      </c>
      <c r="B641" t="s">
        <v>29</v>
      </c>
      <c r="C641" t="s">
        <v>60</v>
      </c>
      <c r="D641" t="s">
        <v>12</v>
      </c>
      <c r="E641" t="s">
        <v>18</v>
      </c>
      <c r="F641" t="s">
        <v>23</v>
      </c>
      <c r="G641" t="s">
        <v>37</v>
      </c>
      <c r="H641">
        <v>10</v>
      </c>
      <c r="I641" s="1">
        <v>224.53</v>
      </c>
      <c r="J641" s="1">
        <f t="shared" si="65"/>
        <v>2020.7700000000002</v>
      </c>
      <c r="K641" s="1">
        <f t="shared" si="66"/>
        <v>224.53000000000003</v>
      </c>
      <c r="L641" s="1">
        <v>2245.3000000000002</v>
      </c>
      <c r="M641" s="1">
        <f t="shared" si="67"/>
        <v>404.154</v>
      </c>
      <c r="N641" s="1">
        <f t="shared" si="68"/>
        <v>2649.4540000000002</v>
      </c>
      <c r="S641" t="str">
        <f t="shared" si="63"/>
        <v>Sindh</v>
      </c>
      <c r="W641" t="str">
        <f t="shared" si="64"/>
        <v>South</v>
      </c>
      <c r="AB641" t="str">
        <f t="shared" si="69"/>
        <v>PK-SD</v>
      </c>
    </row>
    <row r="642" spans="1:28" x14ac:dyDescent="0.25">
      <c r="A642" s="2">
        <v>44973</v>
      </c>
      <c r="B642" t="s">
        <v>16</v>
      </c>
      <c r="C642" t="s">
        <v>26</v>
      </c>
      <c r="D642" t="s">
        <v>12</v>
      </c>
      <c r="E642" t="s">
        <v>18</v>
      </c>
      <c r="F642" t="s">
        <v>19</v>
      </c>
      <c r="G642" t="s">
        <v>48</v>
      </c>
      <c r="H642">
        <v>1</v>
      </c>
      <c r="I642" s="1">
        <v>3246.08</v>
      </c>
      <c r="J642" s="1">
        <f t="shared" si="65"/>
        <v>2921.4720000000002</v>
      </c>
      <c r="K642" s="1">
        <f t="shared" si="66"/>
        <v>324.608</v>
      </c>
      <c r="L642" s="1">
        <v>3246.08</v>
      </c>
      <c r="M642" s="1">
        <f t="shared" si="67"/>
        <v>584.2944</v>
      </c>
      <c r="N642" s="1">
        <f t="shared" si="68"/>
        <v>3830.3743999999997</v>
      </c>
      <c r="S642" t="str">
        <f t="shared" ref="S642:S705" si="70">VLOOKUP(C642,$Q$2:$R$15,2,FALSE)</f>
        <v>Sindh</v>
      </c>
      <c r="W642" t="str">
        <f t="shared" ref="W642:W705" si="71">VLOOKUP(D642,$U$2:$V$5,2,FALSE)</f>
        <v>South</v>
      </c>
      <c r="AB642" t="str">
        <f t="shared" si="69"/>
        <v>PK-SD</v>
      </c>
    </row>
    <row r="643" spans="1:28" x14ac:dyDescent="0.25">
      <c r="A643" s="2">
        <v>45248</v>
      </c>
      <c r="B643" t="s">
        <v>21</v>
      </c>
      <c r="C643" t="s">
        <v>11</v>
      </c>
      <c r="D643" t="s">
        <v>22</v>
      </c>
      <c r="E643" t="s">
        <v>13</v>
      </c>
      <c r="F643" t="s">
        <v>14</v>
      </c>
      <c r="G643" t="s">
        <v>53</v>
      </c>
      <c r="H643">
        <v>16</v>
      </c>
      <c r="I643" s="1">
        <v>1411.33</v>
      </c>
      <c r="J643" s="1">
        <f t="shared" ref="J643:J706" si="72">L643*90%</f>
        <v>20323.151999999998</v>
      </c>
      <c r="K643" s="1">
        <f t="shared" ref="K643:K706" si="73">L643*10%</f>
        <v>2258.1280000000002</v>
      </c>
      <c r="L643" s="1">
        <v>22581.279999999999</v>
      </c>
      <c r="M643" s="1">
        <f t="shared" ref="M643:M706" si="74">L643*18%</f>
        <v>4064.6303999999996</v>
      </c>
      <c r="N643" s="1">
        <f t="shared" ref="N643:N706" si="75">L643+M643</f>
        <v>26645.910399999997</v>
      </c>
      <c r="S643" t="str">
        <f t="shared" si="70"/>
        <v>Balochistan</v>
      </c>
      <c r="W643" t="str">
        <f t="shared" si="71"/>
        <v>West</v>
      </c>
      <c r="AB643" t="str">
        <f t="shared" ref="AB643:AB706" si="76">VLOOKUP(D643,$Z$2:$AA$5,2,FALSE)</f>
        <v>PK-BA</v>
      </c>
    </row>
    <row r="644" spans="1:28" x14ac:dyDescent="0.25">
      <c r="A644" s="2">
        <v>45051</v>
      </c>
      <c r="B644" t="s">
        <v>10</v>
      </c>
      <c r="C644" t="s">
        <v>56</v>
      </c>
      <c r="D644" t="s">
        <v>12</v>
      </c>
      <c r="E644" t="s">
        <v>18</v>
      </c>
      <c r="F644" t="s">
        <v>23</v>
      </c>
      <c r="G644" t="s">
        <v>47</v>
      </c>
      <c r="H644">
        <v>19</v>
      </c>
      <c r="I644" s="1">
        <v>2174.06</v>
      </c>
      <c r="J644" s="1">
        <f t="shared" si="72"/>
        <v>37176.425999999999</v>
      </c>
      <c r="K644" s="1">
        <f t="shared" si="73"/>
        <v>4130.7139999999999</v>
      </c>
      <c r="L644" s="1">
        <v>41307.14</v>
      </c>
      <c r="M644" s="1">
        <f t="shared" si="74"/>
        <v>7435.2851999999993</v>
      </c>
      <c r="N644" s="1">
        <f t="shared" si="75"/>
        <v>48742.425199999998</v>
      </c>
      <c r="S644" t="str">
        <f t="shared" si="70"/>
        <v>Sindh</v>
      </c>
      <c r="W644" t="str">
        <f t="shared" si="71"/>
        <v>South</v>
      </c>
      <c r="AB644" t="str">
        <f t="shared" si="76"/>
        <v>PK-SD</v>
      </c>
    </row>
    <row r="645" spans="1:28" x14ac:dyDescent="0.25">
      <c r="A645" s="2">
        <v>45026</v>
      </c>
      <c r="B645" t="s">
        <v>10</v>
      </c>
      <c r="C645" t="s">
        <v>55</v>
      </c>
      <c r="D645" t="s">
        <v>66</v>
      </c>
      <c r="E645" t="s">
        <v>41</v>
      </c>
      <c r="F645" t="s">
        <v>27</v>
      </c>
      <c r="G645" t="s">
        <v>42</v>
      </c>
      <c r="H645">
        <v>2</v>
      </c>
      <c r="I645" s="1">
        <v>1194.4000000000001</v>
      </c>
      <c r="J645" s="1">
        <f t="shared" si="72"/>
        <v>2149.92</v>
      </c>
      <c r="K645" s="1">
        <f t="shared" si="73"/>
        <v>238.88000000000002</v>
      </c>
      <c r="L645" s="1">
        <v>2388.8000000000002</v>
      </c>
      <c r="M645" s="1">
        <f t="shared" si="74"/>
        <v>429.98400000000004</v>
      </c>
      <c r="N645" s="1">
        <f t="shared" si="75"/>
        <v>2818.7840000000001</v>
      </c>
      <c r="S645" t="str">
        <f t="shared" si="70"/>
        <v>Khyber Pakhtunkhwa</v>
      </c>
      <c r="W645" t="str">
        <f t="shared" si="71"/>
        <v>North</v>
      </c>
      <c r="AB645" t="str">
        <f t="shared" si="76"/>
        <v>Khyber Pakhtunkhwa</v>
      </c>
    </row>
    <row r="646" spans="1:28" x14ac:dyDescent="0.25">
      <c r="A646" s="2">
        <v>45188</v>
      </c>
      <c r="B646" t="s">
        <v>40</v>
      </c>
      <c r="C646" t="s">
        <v>60</v>
      </c>
      <c r="D646" t="s">
        <v>12</v>
      </c>
      <c r="E646" t="s">
        <v>18</v>
      </c>
      <c r="F646" t="s">
        <v>23</v>
      </c>
      <c r="G646" t="s">
        <v>37</v>
      </c>
      <c r="H646">
        <v>2</v>
      </c>
      <c r="I646" s="1">
        <v>3726.58</v>
      </c>
      <c r="J646" s="1">
        <f t="shared" si="72"/>
        <v>6707.8440000000001</v>
      </c>
      <c r="K646" s="1">
        <f t="shared" si="73"/>
        <v>745.31600000000003</v>
      </c>
      <c r="L646" s="1">
        <v>7453.16</v>
      </c>
      <c r="M646" s="1">
        <f t="shared" si="74"/>
        <v>1341.5688</v>
      </c>
      <c r="N646" s="1">
        <f t="shared" si="75"/>
        <v>8794.7288000000008</v>
      </c>
      <c r="S646" t="str">
        <f t="shared" si="70"/>
        <v>Sindh</v>
      </c>
      <c r="W646" t="str">
        <f t="shared" si="71"/>
        <v>South</v>
      </c>
      <c r="AB646" t="str">
        <f t="shared" si="76"/>
        <v>PK-SD</v>
      </c>
    </row>
    <row r="647" spans="1:28" x14ac:dyDescent="0.25">
      <c r="A647" s="2">
        <v>45085</v>
      </c>
      <c r="B647" t="s">
        <v>31</v>
      </c>
      <c r="C647" t="s">
        <v>56</v>
      </c>
      <c r="D647" t="s">
        <v>12</v>
      </c>
      <c r="E647" t="s">
        <v>18</v>
      </c>
      <c r="F647" t="s">
        <v>14</v>
      </c>
      <c r="G647" t="s">
        <v>51</v>
      </c>
      <c r="H647">
        <v>5</v>
      </c>
      <c r="I647" s="1">
        <v>1599.65</v>
      </c>
      <c r="J647" s="1">
        <f t="shared" si="72"/>
        <v>7198.4250000000002</v>
      </c>
      <c r="K647" s="1">
        <f t="shared" si="73"/>
        <v>799.82500000000005</v>
      </c>
      <c r="L647" s="1">
        <v>7998.25</v>
      </c>
      <c r="M647" s="1">
        <f t="shared" si="74"/>
        <v>1439.6849999999999</v>
      </c>
      <c r="N647" s="1">
        <f t="shared" si="75"/>
        <v>9437.9349999999995</v>
      </c>
      <c r="S647" t="str">
        <f t="shared" si="70"/>
        <v>Sindh</v>
      </c>
      <c r="W647" t="str">
        <f t="shared" si="71"/>
        <v>South</v>
      </c>
      <c r="AB647" t="str">
        <f t="shared" si="76"/>
        <v>PK-SD</v>
      </c>
    </row>
    <row r="648" spans="1:28" x14ac:dyDescent="0.25">
      <c r="A648" s="2">
        <v>45258</v>
      </c>
      <c r="B648" t="s">
        <v>38</v>
      </c>
      <c r="C648" t="s">
        <v>61</v>
      </c>
      <c r="D648" t="s">
        <v>65</v>
      </c>
      <c r="E648" t="s">
        <v>64</v>
      </c>
      <c r="F648" t="s">
        <v>14</v>
      </c>
      <c r="G648" t="s">
        <v>15</v>
      </c>
      <c r="H648">
        <v>16</v>
      </c>
      <c r="I648" s="1">
        <v>1628.19</v>
      </c>
      <c r="J648" s="1">
        <f t="shared" si="72"/>
        <v>23445.936000000002</v>
      </c>
      <c r="K648" s="1">
        <f t="shared" si="73"/>
        <v>2605.1040000000003</v>
      </c>
      <c r="L648" s="1">
        <v>26051.040000000001</v>
      </c>
      <c r="M648" s="1">
        <f t="shared" si="74"/>
        <v>4689.1872000000003</v>
      </c>
      <c r="N648" s="1">
        <f t="shared" si="75"/>
        <v>30740.227200000001</v>
      </c>
      <c r="S648" t="str">
        <f t="shared" si="70"/>
        <v>Punjab</v>
      </c>
      <c r="W648" t="str">
        <f t="shared" si="71"/>
        <v>East</v>
      </c>
      <c r="AB648" t="str">
        <f t="shared" si="76"/>
        <v>PK-PB</v>
      </c>
    </row>
    <row r="649" spans="1:28" x14ac:dyDescent="0.25">
      <c r="A649" s="2">
        <v>45070</v>
      </c>
      <c r="B649" t="s">
        <v>38</v>
      </c>
      <c r="C649" t="s">
        <v>54</v>
      </c>
      <c r="D649" t="s">
        <v>12</v>
      </c>
      <c r="E649" t="s">
        <v>18</v>
      </c>
      <c r="F649" t="s">
        <v>23</v>
      </c>
      <c r="G649" t="s">
        <v>39</v>
      </c>
      <c r="H649">
        <v>17</v>
      </c>
      <c r="I649" s="1">
        <v>3381.75</v>
      </c>
      <c r="J649" s="1">
        <f t="shared" si="72"/>
        <v>51740.775000000001</v>
      </c>
      <c r="K649" s="1">
        <f t="shared" si="73"/>
        <v>5748.9750000000004</v>
      </c>
      <c r="L649" s="1">
        <v>57489.75</v>
      </c>
      <c r="M649" s="1">
        <f t="shared" si="74"/>
        <v>10348.154999999999</v>
      </c>
      <c r="N649" s="1">
        <f t="shared" si="75"/>
        <v>67837.904999999999</v>
      </c>
      <c r="S649" t="str">
        <f t="shared" si="70"/>
        <v>Sindh</v>
      </c>
      <c r="W649" t="str">
        <f t="shared" si="71"/>
        <v>South</v>
      </c>
      <c r="AB649" t="str">
        <f t="shared" si="76"/>
        <v>PK-SD</v>
      </c>
    </row>
    <row r="650" spans="1:28" x14ac:dyDescent="0.25">
      <c r="A650" s="2">
        <v>45229</v>
      </c>
      <c r="B650" t="s">
        <v>16</v>
      </c>
      <c r="C650" t="s">
        <v>57</v>
      </c>
      <c r="D650" t="s">
        <v>22</v>
      </c>
      <c r="E650" t="s">
        <v>13</v>
      </c>
      <c r="F650" t="s">
        <v>19</v>
      </c>
      <c r="G650" t="s">
        <v>20</v>
      </c>
      <c r="H650">
        <v>18</v>
      </c>
      <c r="I650" s="1">
        <v>3627.09</v>
      </c>
      <c r="J650" s="1">
        <f t="shared" si="72"/>
        <v>58758.858</v>
      </c>
      <c r="K650" s="1">
        <f t="shared" si="73"/>
        <v>6528.7620000000006</v>
      </c>
      <c r="L650" s="1">
        <v>65287.62</v>
      </c>
      <c r="M650" s="1">
        <f t="shared" si="74"/>
        <v>11751.7716</v>
      </c>
      <c r="N650" s="1">
        <f t="shared" si="75"/>
        <v>77039.391600000003</v>
      </c>
      <c r="S650" t="str">
        <f t="shared" si="70"/>
        <v>Balochistan</v>
      </c>
      <c r="W650" t="str">
        <f t="shared" si="71"/>
        <v>West</v>
      </c>
      <c r="AB650" t="str">
        <f t="shared" si="76"/>
        <v>PK-BA</v>
      </c>
    </row>
    <row r="651" spans="1:28" x14ac:dyDescent="0.25">
      <c r="A651" s="2">
        <v>45077</v>
      </c>
      <c r="B651" t="s">
        <v>10</v>
      </c>
      <c r="C651" t="s">
        <v>60</v>
      </c>
      <c r="D651" t="s">
        <v>12</v>
      </c>
      <c r="E651" t="s">
        <v>18</v>
      </c>
      <c r="F651" t="s">
        <v>27</v>
      </c>
      <c r="G651" t="s">
        <v>28</v>
      </c>
      <c r="H651">
        <v>2</v>
      </c>
      <c r="I651" s="1">
        <v>3106.64</v>
      </c>
      <c r="J651" s="1">
        <f t="shared" si="72"/>
        <v>5591.9520000000002</v>
      </c>
      <c r="K651" s="1">
        <f t="shared" si="73"/>
        <v>621.32799999999997</v>
      </c>
      <c r="L651" s="1">
        <v>6213.28</v>
      </c>
      <c r="M651" s="1">
        <f t="shared" si="74"/>
        <v>1118.3904</v>
      </c>
      <c r="N651" s="1">
        <f t="shared" si="75"/>
        <v>7331.6704</v>
      </c>
      <c r="S651" t="str">
        <f t="shared" si="70"/>
        <v>Sindh</v>
      </c>
      <c r="W651" t="str">
        <f t="shared" si="71"/>
        <v>South</v>
      </c>
      <c r="AB651" t="str">
        <f t="shared" si="76"/>
        <v>PK-SD</v>
      </c>
    </row>
    <row r="652" spans="1:28" x14ac:dyDescent="0.25">
      <c r="A652" s="2">
        <v>44995</v>
      </c>
      <c r="B652" t="s">
        <v>10</v>
      </c>
      <c r="C652" t="s">
        <v>59</v>
      </c>
      <c r="D652" t="s">
        <v>66</v>
      </c>
      <c r="E652" t="s">
        <v>41</v>
      </c>
      <c r="F652" t="s">
        <v>32</v>
      </c>
      <c r="G652" t="s">
        <v>36</v>
      </c>
      <c r="H652">
        <v>15</v>
      </c>
      <c r="I652" s="1">
        <v>4310.01</v>
      </c>
      <c r="J652" s="1">
        <f t="shared" si="72"/>
        <v>58185.135000000002</v>
      </c>
      <c r="K652" s="1">
        <f t="shared" si="73"/>
        <v>6465.0150000000003</v>
      </c>
      <c r="L652" s="1">
        <v>64650.15</v>
      </c>
      <c r="M652" s="1">
        <f t="shared" si="74"/>
        <v>11637.027</v>
      </c>
      <c r="N652" s="1">
        <f t="shared" si="75"/>
        <v>76287.176999999996</v>
      </c>
      <c r="S652" t="str">
        <f t="shared" si="70"/>
        <v>Khyber Pakhtunkhwa</v>
      </c>
      <c r="W652" t="str">
        <f t="shared" si="71"/>
        <v>North</v>
      </c>
      <c r="AB652" t="str">
        <f t="shared" si="76"/>
        <v>Khyber Pakhtunkhwa</v>
      </c>
    </row>
    <row r="653" spans="1:28" x14ac:dyDescent="0.25">
      <c r="A653" s="2">
        <v>44988</v>
      </c>
      <c r="B653" t="s">
        <v>34</v>
      </c>
      <c r="C653" t="s">
        <v>63</v>
      </c>
      <c r="D653" t="s">
        <v>65</v>
      </c>
      <c r="E653" t="s">
        <v>64</v>
      </c>
      <c r="F653" t="s">
        <v>14</v>
      </c>
      <c r="G653" t="s">
        <v>15</v>
      </c>
      <c r="H653">
        <v>14</v>
      </c>
      <c r="I653" s="1">
        <v>3352.19</v>
      </c>
      <c r="J653" s="1">
        <f t="shared" si="72"/>
        <v>42237.594000000005</v>
      </c>
      <c r="K653" s="1">
        <f t="shared" si="73"/>
        <v>4693.0660000000007</v>
      </c>
      <c r="L653" s="1">
        <v>46930.66</v>
      </c>
      <c r="M653" s="1">
        <f t="shared" si="74"/>
        <v>8447.5187999999998</v>
      </c>
      <c r="N653" s="1">
        <f t="shared" si="75"/>
        <v>55378.178800000002</v>
      </c>
      <c r="S653" t="str">
        <f t="shared" si="70"/>
        <v>Punjab</v>
      </c>
      <c r="W653" t="str">
        <f t="shared" si="71"/>
        <v>East</v>
      </c>
      <c r="AB653" t="str">
        <f t="shared" si="76"/>
        <v>PK-PB</v>
      </c>
    </row>
    <row r="654" spans="1:28" x14ac:dyDescent="0.25">
      <c r="A654" s="2">
        <v>45061</v>
      </c>
      <c r="B654" t="s">
        <v>25</v>
      </c>
      <c r="C654" t="s">
        <v>61</v>
      </c>
      <c r="D654" t="s">
        <v>65</v>
      </c>
      <c r="E654" t="s">
        <v>64</v>
      </c>
      <c r="F654" t="s">
        <v>32</v>
      </c>
      <c r="G654" t="s">
        <v>49</v>
      </c>
      <c r="H654">
        <v>18</v>
      </c>
      <c r="I654" s="1">
        <v>214.47</v>
      </c>
      <c r="J654" s="1">
        <f t="shared" si="72"/>
        <v>3474.4140000000002</v>
      </c>
      <c r="K654" s="1">
        <f t="shared" si="73"/>
        <v>386.04600000000005</v>
      </c>
      <c r="L654" s="1">
        <v>3860.46</v>
      </c>
      <c r="M654" s="1">
        <f t="shared" si="74"/>
        <v>694.88279999999997</v>
      </c>
      <c r="N654" s="1">
        <f t="shared" si="75"/>
        <v>4555.3428000000004</v>
      </c>
      <c r="S654" t="str">
        <f t="shared" si="70"/>
        <v>Punjab</v>
      </c>
      <c r="W654" t="str">
        <f t="shared" si="71"/>
        <v>East</v>
      </c>
      <c r="AB654" t="str">
        <f t="shared" si="76"/>
        <v>PK-PB</v>
      </c>
    </row>
    <row r="655" spans="1:28" x14ac:dyDescent="0.25">
      <c r="A655" s="2">
        <v>45000</v>
      </c>
      <c r="B655" t="s">
        <v>10</v>
      </c>
      <c r="C655" t="s">
        <v>62</v>
      </c>
      <c r="D655" t="s">
        <v>65</v>
      </c>
      <c r="E655" t="s">
        <v>64</v>
      </c>
      <c r="F655" t="s">
        <v>27</v>
      </c>
      <c r="G655" t="s">
        <v>28</v>
      </c>
      <c r="H655">
        <v>3</v>
      </c>
      <c r="I655" s="1">
        <v>1810.87</v>
      </c>
      <c r="J655" s="1">
        <f t="shared" si="72"/>
        <v>4889.3490000000002</v>
      </c>
      <c r="K655" s="1">
        <f t="shared" si="73"/>
        <v>543.26099999999997</v>
      </c>
      <c r="L655" s="1">
        <v>5432.61</v>
      </c>
      <c r="M655" s="1">
        <f t="shared" si="74"/>
        <v>977.86979999999994</v>
      </c>
      <c r="N655" s="1">
        <f t="shared" si="75"/>
        <v>6410.4797999999992</v>
      </c>
      <c r="S655" t="str">
        <f t="shared" si="70"/>
        <v>Punjab</v>
      </c>
      <c r="W655" t="str">
        <f t="shared" si="71"/>
        <v>East</v>
      </c>
      <c r="AB655" t="str">
        <f t="shared" si="76"/>
        <v>PK-PB</v>
      </c>
    </row>
    <row r="656" spans="1:28" x14ac:dyDescent="0.25">
      <c r="A656" s="2">
        <v>44956</v>
      </c>
      <c r="B656" t="s">
        <v>40</v>
      </c>
      <c r="C656" t="s">
        <v>58</v>
      </c>
      <c r="D656" t="s">
        <v>12</v>
      </c>
      <c r="E656" t="s">
        <v>18</v>
      </c>
      <c r="F656" t="s">
        <v>14</v>
      </c>
      <c r="G656" t="s">
        <v>51</v>
      </c>
      <c r="H656">
        <v>3</v>
      </c>
      <c r="I656" s="1">
        <v>1105.46</v>
      </c>
      <c r="J656" s="1">
        <f t="shared" si="72"/>
        <v>2984.7420000000002</v>
      </c>
      <c r="K656" s="1">
        <f t="shared" si="73"/>
        <v>331.63800000000003</v>
      </c>
      <c r="L656" s="1">
        <v>3316.38</v>
      </c>
      <c r="M656" s="1">
        <f t="shared" si="74"/>
        <v>596.94839999999999</v>
      </c>
      <c r="N656" s="1">
        <f t="shared" si="75"/>
        <v>3913.3284000000003</v>
      </c>
      <c r="S656" t="str">
        <f t="shared" si="70"/>
        <v>Sindh</v>
      </c>
      <c r="W656" t="str">
        <f t="shared" si="71"/>
        <v>South</v>
      </c>
      <c r="AB656" t="str">
        <f t="shared" si="76"/>
        <v>PK-SD</v>
      </c>
    </row>
    <row r="657" spans="1:28" x14ac:dyDescent="0.25">
      <c r="A657" s="2">
        <v>45166</v>
      </c>
      <c r="B657" t="s">
        <v>43</v>
      </c>
      <c r="C657" t="s">
        <v>26</v>
      </c>
      <c r="D657" t="s">
        <v>12</v>
      </c>
      <c r="E657" t="s">
        <v>18</v>
      </c>
      <c r="F657" t="s">
        <v>27</v>
      </c>
      <c r="G657" t="s">
        <v>42</v>
      </c>
      <c r="H657">
        <v>10</v>
      </c>
      <c r="I657" s="1">
        <v>3707.43</v>
      </c>
      <c r="J657" s="1">
        <f t="shared" si="72"/>
        <v>33366.870000000003</v>
      </c>
      <c r="K657" s="1">
        <f t="shared" si="73"/>
        <v>3707.4300000000003</v>
      </c>
      <c r="L657" s="1">
        <v>37074.300000000003</v>
      </c>
      <c r="M657" s="1">
        <f t="shared" si="74"/>
        <v>6673.3740000000007</v>
      </c>
      <c r="N657" s="1">
        <f t="shared" si="75"/>
        <v>43747.674000000006</v>
      </c>
      <c r="S657" t="str">
        <f t="shared" si="70"/>
        <v>Sindh</v>
      </c>
      <c r="W657" t="str">
        <f t="shared" si="71"/>
        <v>South</v>
      </c>
      <c r="AB657" t="str">
        <f t="shared" si="76"/>
        <v>PK-SD</v>
      </c>
    </row>
    <row r="658" spans="1:28" x14ac:dyDescent="0.25">
      <c r="A658" s="2">
        <v>45209</v>
      </c>
      <c r="B658" t="s">
        <v>38</v>
      </c>
      <c r="C658" t="s">
        <v>55</v>
      </c>
      <c r="D658" t="s">
        <v>66</v>
      </c>
      <c r="E658" t="s">
        <v>41</v>
      </c>
      <c r="F658" t="s">
        <v>32</v>
      </c>
      <c r="G658" t="s">
        <v>49</v>
      </c>
      <c r="H658">
        <v>18</v>
      </c>
      <c r="I658" s="1">
        <v>584.4</v>
      </c>
      <c r="J658" s="1">
        <f t="shared" si="72"/>
        <v>9467.2800000000007</v>
      </c>
      <c r="K658" s="1">
        <f t="shared" si="73"/>
        <v>1051.92</v>
      </c>
      <c r="L658" s="1">
        <v>10519.2</v>
      </c>
      <c r="M658" s="1">
        <f t="shared" si="74"/>
        <v>1893.4560000000001</v>
      </c>
      <c r="N658" s="1">
        <f t="shared" si="75"/>
        <v>12412.656000000001</v>
      </c>
      <c r="S658" t="str">
        <f t="shared" si="70"/>
        <v>Khyber Pakhtunkhwa</v>
      </c>
      <c r="W658" t="str">
        <f t="shared" si="71"/>
        <v>North</v>
      </c>
      <c r="AB658" t="str">
        <f t="shared" si="76"/>
        <v>Khyber Pakhtunkhwa</v>
      </c>
    </row>
    <row r="659" spans="1:28" x14ac:dyDescent="0.25">
      <c r="A659" s="2">
        <v>44985</v>
      </c>
      <c r="B659" t="s">
        <v>16</v>
      </c>
      <c r="C659" t="s">
        <v>62</v>
      </c>
      <c r="D659" t="s">
        <v>65</v>
      </c>
      <c r="E659" t="s">
        <v>64</v>
      </c>
      <c r="F659" t="s">
        <v>14</v>
      </c>
      <c r="G659" t="s">
        <v>51</v>
      </c>
      <c r="H659">
        <v>1</v>
      </c>
      <c r="I659" s="1">
        <v>2498.7399999999998</v>
      </c>
      <c r="J659" s="1">
        <f t="shared" si="72"/>
        <v>2248.866</v>
      </c>
      <c r="K659" s="1">
        <f t="shared" si="73"/>
        <v>249.874</v>
      </c>
      <c r="L659" s="1">
        <v>2498.7399999999998</v>
      </c>
      <c r="M659" s="1">
        <f t="shared" si="74"/>
        <v>449.77319999999992</v>
      </c>
      <c r="N659" s="1">
        <f t="shared" si="75"/>
        <v>2948.5131999999999</v>
      </c>
      <c r="S659" t="str">
        <f t="shared" si="70"/>
        <v>Punjab</v>
      </c>
      <c r="W659" t="str">
        <f t="shared" si="71"/>
        <v>East</v>
      </c>
      <c r="AB659" t="str">
        <f t="shared" si="76"/>
        <v>PK-PB</v>
      </c>
    </row>
    <row r="660" spans="1:28" x14ac:dyDescent="0.25">
      <c r="A660" s="2">
        <v>44992</v>
      </c>
      <c r="B660" t="s">
        <v>29</v>
      </c>
      <c r="C660" t="s">
        <v>54</v>
      </c>
      <c r="D660" t="s">
        <v>12</v>
      </c>
      <c r="E660" t="s">
        <v>18</v>
      </c>
      <c r="F660" t="s">
        <v>32</v>
      </c>
      <c r="G660" t="s">
        <v>49</v>
      </c>
      <c r="H660">
        <v>17</v>
      </c>
      <c r="I660" s="1">
        <v>2460.73</v>
      </c>
      <c r="J660" s="1">
        <f t="shared" si="72"/>
        <v>37649.169000000002</v>
      </c>
      <c r="K660" s="1">
        <f t="shared" si="73"/>
        <v>4183.2410000000009</v>
      </c>
      <c r="L660" s="1">
        <v>41832.410000000003</v>
      </c>
      <c r="M660" s="1">
        <f t="shared" si="74"/>
        <v>7529.8338000000003</v>
      </c>
      <c r="N660" s="1">
        <f t="shared" si="75"/>
        <v>49362.243800000004</v>
      </c>
      <c r="S660" t="str">
        <f t="shared" si="70"/>
        <v>Sindh</v>
      </c>
      <c r="W660" t="str">
        <f t="shared" si="71"/>
        <v>South</v>
      </c>
      <c r="AB660" t="str">
        <f t="shared" si="76"/>
        <v>PK-SD</v>
      </c>
    </row>
    <row r="661" spans="1:28" x14ac:dyDescent="0.25">
      <c r="A661" s="2">
        <v>44938</v>
      </c>
      <c r="B661" t="s">
        <v>40</v>
      </c>
      <c r="C661" t="s">
        <v>11</v>
      </c>
      <c r="D661" t="s">
        <v>22</v>
      </c>
      <c r="E661" t="s">
        <v>13</v>
      </c>
      <c r="F661" t="s">
        <v>14</v>
      </c>
      <c r="G661" t="s">
        <v>15</v>
      </c>
      <c r="H661">
        <v>13</v>
      </c>
      <c r="I661" s="1">
        <v>4630.9799999999996</v>
      </c>
      <c r="J661" s="1">
        <f t="shared" si="72"/>
        <v>54182.466</v>
      </c>
      <c r="K661" s="1">
        <f t="shared" si="73"/>
        <v>6020.2740000000003</v>
      </c>
      <c r="L661" s="1">
        <v>60202.74</v>
      </c>
      <c r="M661" s="1">
        <f t="shared" si="74"/>
        <v>10836.493199999999</v>
      </c>
      <c r="N661" s="1">
        <f t="shared" si="75"/>
        <v>71039.233200000002</v>
      </c>
      <c r="S661" t="str">
        <f t="shared" si="70"/>
        <v>Balochistan</v>
      </c>
      <c r="W661" t="str">
        <f t="shared" si="71"/>
        <v>West</v>
      </c>
      <c r="AB661" t="str">
        <f t="shared" si="76"/>
        <v>PK-BA</v>
      </c>
    </row>
    <row r="662" spans="1:28" x14ac:dyDescent="0.25">
      <c r="A662" s="2">
        <v>45241</v>
      </c>
      <c r="B662" t="s">
        <v>25</v>
      </c>
      <c r="C662" t="s">
        <v>54</v>
      </c>
      <c r="D662" t="s">
        <v>12</v>
      </c>
      <c r="E662" t="s">
        <v>18</v>
      </c>
      <c r="F662" t="s">
        <v>32</v>
      </c>
      <c r="G662" t="s">
        <v>50</v>
      </c>
      <c r="H662">
        <v>3</v>
      </c>
      <c r="I662" s="1">
        <v>4324.88</v>
      </c>
      <c r="J662" s="1">
        <f t="shared" si="72"/>
        <v>11677.175999999999</v>
      </c>
      <c r="K662" s="1">
        <f t="shared" si="73"/>
        <v>1297.4639999999999</v>
      </c>
      <c r="L662" s="1">
        <v>12974.64</v>
      </c>
      <c r="M662" s="1">
        <f t="shared" si="74"/>
        <v>2335.4351999999999</v>
      </c>
      <c r="N662" s="1">
        <f t="shared" si="75"/>
        <v>15310.075199999999</v>
      </c>
      <c r="S662" t="str">
        <f t="shared" si="70"/>
        <v>Sindh</v>
      </c>
      <c r="W662" t="str">
        <f t="shared" si="71"/>
        <v>South</v>
      </c>
      <c r="AB662" t="str">
        <f t="shared" si="76"/>
        <v>PK-SD</v>
      </c>
    </row>
    <row r="663" spans="1:28" x14ac:dyDescent="0.25">
      <c r="A663" s="2">
        <v>45211</v>
      </c>
      <c r="B663" t="s">
        <v>10</v>
      </c>
      <c r="C663" t="s">
        <v>58</v>
      </c>
      <c r="D663" t="s">
        <v>12</v>
      </c>
      <c r="E663" t="s">
        <v>18</v>
      </c>
      <c r="F663" t="s">
        <v>32</v>
      </c>
      <c r="G663" t="s">
        <v>50</v>
      </c>
      <c r="H663">
        <v>20</v>
      </c>
      <c r="I663" s="1">
        <v>4049.4</v>
      </c>
      <c r="J663" s="1">
        <f t="shared" si="72"/>
        <v>72889.2</v>
      </c>
      <c r="K663" s="1">
        <f t="shared" si="73"/>
        <v>8098.8</v>
      </c>
      <c r="L663" s="1">
        <v>80988</v>
      </c>
      <c r="M663" s="1">
        <f t="shared" si="74"/>
        <v>14577.84</v>
      </c>
      <c r="N663" s="1">
        <f t="shared" si="75"/>
        <v>95565.84</v>
      </c>
      <c r="S663" t="str">
        <f t="shared" si="70"/>
        <v>Sindh</v>
      </c>
      <c r="W663" t="str">
        <f t="shared" si="71"/>
        <v>South</v>
      </c>
      <c r="AB663" t="str">
        <f t="shared" si="76"/>
        <v>PK-SD</v>
      </c>
    </row>
    <row r="664" spans="1:28" x14ac:dyDescent="0.25">
      <c r="A664" s="2">
        <v>45207</v>
      </c>
      <c r="B664" t="s">
        <v>16</v>
      </c>
      <c r="C664" t="s">
        <v>63</v>
      </c>
      <c r="D664" t="s">
        <v>65</v>
      </c>
      <c r="E664" t="s">
        <v>64</v>
      </c>
      <c r="F664" t="s">
        <v>27</v>
      </c>
      <c r="G664" t="s">
        <v>46</v>
      </c>
      <c r="H664">
        <v>16</v>
      </c>
      <c r="I664" s="1">
        <v>2347.21</v>
      </c>
      <c r="J664" s="1">
        <f t="shared" si="72"/>
        <v>33799.824000000001</v>
      </c>
      <c r="K664" s="1">
        <f t="shared" si="73"/>
        <v>3755.5360000000001</v>
      </c>
      <c r="L664" s="1">
        <v>37555.360000000001</v>
      </c>
      <c r="M664" s="1">
        <f t="shared" si="74"/>
        <v>6759.9647999999997</v>
      </c>
      <c r="N664" s="1">
        <f t="shared" si="75"/>
        <v>44315.324800000002</v>
      </c>
      <c r="S664" t="str">
        <f t="shared" si="70"/>
        <v>Punjab</v>
      </c>
      <c r="W664" t="str">
        <f t="shared" si="71"/>
        <v>East</v>
      </c>
      <c r="AB664" t="str">
        <f t="shared" si="76"/>
        <v>PK-PB</v>
      </c>
    </row>
    <row r="665" spans="1:28" x14ac:dyDescent="0.25">
      <c r="A665" s="2">
        <v>45254</v>
      </c>
      <c r="B665" t="s">
        <v>16</v>
      </c>
      <c r="C665" t="s">
        <v>59</v>
      </c>
      <c r="D665" t="s">
        <v>66</v>
      </c>
      <c r="E665" t="s">
        <v>41</v>
      </c>
      <c r="F665" t="s">
        <v>23</v>
      </c>
      <c r="G665" t="s">
        <v>47</v>
      </c>
      <c r="H665">
        <v>2</v>
      </c>
      <c r="I665" s="1">
        <v>3743.52</v>
      </c>
      <c r="J665" s="1">
        <f t="shared" si="72"/>
        <v>6738.3360000000002</v>
      </c>
      <c r="K665" s="1">
        <f t="shared" si="73"/>
        <v>748.70400000000006</v>
      </c>
      <c r="L665" s="1">
        <v>7487.04</v>
      </c>
      <c r="M665" s="1">
        <f t="shared" si="74"/>
        <v>1347.6671999999999</v>
      </c>
      <c r="N665" s="1">
        <f t="shared" si="75"/>
        <v>8834.7072000000007</v>
      </c>
      <c r="S665" t="str">
        <f t="shared" si="70"/>
        <v>Khyber Pakhtunkhwa</v>
      </c>
      <c r="W665" t="str">
        <f t="shared" si="71"/>
        <v>North</v>
      </c>
      <c r="AB665" t="str">
        <f t="shared" si="76"/>
        <v>Khyber Pakhtunkhwa</v>
      </c>
    </row>
    <row r="666" spans="1:28" x14ac:dyDescent="0.25">
      <c r="A666" s="2">
        <v>45221</v>
      </c>
      <c r="B666" t="s">
        <v>21</v>
      </c>
      <c r="C666" t="s">
        <v>57</v>
      </c>
      <c r="D666" t="s">
        <v>22</v>
      </c>
      <c r="E666" t="s">
        <v>13</v>
      </c>
      <c r="F666" t="s">
        <v>27</v>
      </c>
      <c r="G666" t="s">
        <v>44</v>
      </c>
      <c r="H666">
        <v>8</v>
      </c>
      <c r="I666" s="1">
        <v>303.48</v>
      </c>
      <c r="J666" s="1">
        <f t="shared" si="72"/>
        <v>2185.056</v>
      </c>
      <c r="K666" s="1">
        <f t="shared" si="73"/>
        <v>242.78400000000002</v>
      </c>
      <c r="L666" s="1">
        <v>2427.84</v>
      </c>
      <c r="M666" s="1">
        <f t="shared" si="74"/>
        <v>437.01120000000003</v>
      </c>
      <c r="N666" s="1">
        <f t="shared" si="75"/>
        <v>2864.8512000000001</v>
      </c>
      <c r="S666" t="str">
        <f t="shared" si="70"/>
        <v>Balochistan</v>
      </c>
      <c r="W666" t="str">
        <f t="shared" si="71"/>
        <v>West</v>
      </c>
      <c r="AB666" t="str">
        <f t="shared" si="76"/>
        <v>PK-BA</v>
      </c>
    </row>
    <row r="667" spans="1:28" x14ac:dyDescent="0.25">
      <c r="A667" s="2">
        <v>45183</v>
      </c>
      <c r="B667" t="s">
        <v>38</v>
      </c>
      <c r="C667" t="s">
        <v>17</v>
      </c>
      <c r="D667" t="s">
        <v>65</v>
      </c>
      <c r="E667" t="s">
        <v>64</v>
      </c>
      <c r="F667" t="s">
        <v>14</v>
      </c>
      <c r="G667" t="s">
        <v>45</v>
      </c>
      <c r="H667">
        <v>7</v>
      </c>
      <c r="I667" s="1">
        <v>1373.41</v>
      </c>
      <c r="J667" s="1">
        <f t="shared" si="72"/>
        <v>8652.4830000000002</v>
      </c>
      <c r="K667" s="1">
        <f t="shared" si="73"/>
        <v>961.38700000000017</v>
      </c>
      <c r="L667" s="1">
        <v>9613.8700000000008</v>
      </c>
      <c r="M667" s="1">
        <f t="shared" si="74"/>
        <v>1730.4966000000002</v>
      </c>
      <c r="N667" s="1">
        <f t="shared" si="75"/>
        <v>11344.366600000001</v>
      </c>
      <c r="S667" t="str">
        <f t="shared" si="70"/>
        <v>Punjab</v>
      </c>
      <c r="W667" t="str">
        <f t="shared" si="71"/>
        <v>East</v>
      </c>
      <c r="AB667" t="str">
        <f t="shared" si="76"/>
        <v>PK-PB</v>
      </c>
    </row>
    <row r="668" spans="1:28" x14ac:dyDescent="0.25">
      <c r="A668" s="2">
        <v>45006</v>
      </c>
      <c r="B668" t="s">
        <v>38</v>
      </c>
      <c r="C668" t="s">
        <v>61</v>
      </c>
      <c r="D668" t="s">
        <v>65</v>
      </c>
      <c r="E668" t="s">
        <v>64</v>
      </c>
      <c r="F668" t="s">
        <v>32</v>
      </c>
      <c r="G668" t="s">
        <v>49</v>
      </c>
      <c r="H668">
        <v>10</v>
      </c>
      <c r="I668" s="1">
        <v>3048.2</v>
      </c>
      <c r="J668" s="1">
        <f t="shared" si="72"/>
        <v>27433.8</v>
      </c>
      <c r="K668" s="1">
        <f t="shared" si="73"/>
        <v>3048.2000000000003</v>
      </c>
      <c r="L668" s="1">
        <v>30482</v>
      </c>
      <c r="M668" s="1">
        <f t="shared" si="74"/>
        <v>5486.76</v>
      </c>
      <c r="N668" s="1">
        <f t="shared" si="75"/>
        <v>35968.76</v>
      </c>
      <c r="S668" t="str">
        <f t="shared" si="70"/>
        <v>Punjab</v>
      </c>
      <c r="W668" t="str">
        <f t="shared" si="71"/>
        <v>East</v>
      </c>
      <c r="AB668" t="str">
        <f t="shared" si="76"/>
        <v>PK-PB</v>
      </c>
    </row>
    <row r="669" spans="1:28" x14ac:dyDescent="0.25">
      <c r="A669" s="2">
        <v>45290</v>
      </c>
      <c r="B669" t="s">
        <v>40</v>
      </c>
      <c r="C669" t="s">
        <v>35</v>
      </c>
      <c r="D669" t="s">
        <v>65</v>
      </c>
      <c r="E669" t="s">
        <v>64</v>
      </c>
      <c r="F669" t="s">
        <v>14</v>
      </c>
      <c r="G669" t="s">
        <v>45</v>
      </c>
      <c r="H669">
        <v>20</v>
      </c>
      <c r="I669" s="1">
        <v>2818.78</v>
      </c>
      <c r="J669" s="1">
        <f t="shared" si="72"/>
        <v>50738.04</v>
      </c>
      <c r="K669" s="1">
        <f t="shared" si="73"/>
        <v>5637.56</v>
      </c>
      <c r="L669" s="1">
        <v>56375.6</v>
      </c>
      <c r="M669" s="1">
        <f t="shared" si="74"/>
        <v>10147.608</v>
      </c>
      <c r="N669" s="1">
        <f t="shared" si="75"/>
        <v>66523.207999999999</v>
      </c>
      <c r="S669" t="str">
        <f t="shared" si="70"/>
        <v>Punjab</v>
      </c>
      <c r="W669" t="str">
        <f t="shared" si="71"/>
        <v>East</v>
      </c>
      <c r="AB669" t="str">
        <f t="shared" si="76"/>
        <v>PK-PB</v>
      </c>
    </row>
    <row r="670" spans="1:28" x14ac:dyDescent="0.25">
      <c r="A670" s="2">
        <v>45234</v>
      </c>
      <c r="B670" t="s">
        <v>16</v>
      </c>
      <c r="C670" t="s">
        <v>59</v>
      </c>
      <c r="D670" t="s">
        <v>66</v>
      </c>
      <c r="E670" t="s">
        <v>41</v>
      </c>
      <c r="F670" t="s">
        <v>23</v>
      </c>
      <c r="G670" t="s">
        <v>47</v>
      </c>
      <c r="H670">
        <v>1</v>
      </c>
      <c r="I670" s="1">
        <v>4647.3</v>
      </c>
      <c r="J670" s="1">
        <f t="shared" si="72"/>
        <v>4182.5700000000006</v>
      </c>
      <c r="K670" s="1">
        <f t="shared" si="73"/>
        <v>464.73</v>
      </c>
      <c r="L670" s="1">
        <v>4647.3</v>
      </c>
      <c r="M670" s="1">
        <f t="shared" si="74"/>
        <v>836.51400000000001</v>
      </c>
      <c r="N670" s="1">
        <f t="shared" si="75"/>
        <v>5483.8140000000003</v>
      </c>
      <c r="S670" t="str">
        <f t="shared" si="70"/>
        <v>Khyber Pakhtunkhwa</v>
      </c>
      <c r="W670" t="str">
        <f t="shared" si="71"/>
        <v>North</v>
      </c>
      <c r="AB670" t="str">
        <f t="shared" si="76"/>
        <v>Khyber Pakhtunkhwa</v>
      </c>
    </row>
    <row r="671" spans="1:28" x14ac:dyDescent="0.25">
      <c r="A671" s="2">
        <v>44964</v>
      </c>
      <c r="B671" t="s">
        <v>21</v>
      </c>
      <c r="C671" t="s">
        <v>60</v>
      </c>
      <c r="D671" t="s">
        <v>12</v>
      </c>
      <c r="E671" t="s">
        <v>18</v>
      </c>
      <c r="F671" t="s">
        <v>23</v>
      </c>
      <c r="G671" t="s">
        <v>24</v>
      </c>
      <c r="H671">
        <v>20</v>
      </c>
      <c r="I671" s="1">
        <v>2302.4699999999998</v>
      </c>
      <c r="J671" s="1">
        <f t="shared" si="72"/>
        <v>41444.46</v>
      </c>
      <c r="K671" s="1">
        <f t="shared" si="73"/>
        <v>4604.9400000000005</v>
      </c>
      <c r="L671" s="1">
        <v>46049.4</v>
      </c>
      <c r="M671" s="1">
        <f t="shared" si="74"/>
        <v>8288.8919999999998</v>
      </c>
      <c r="N671" s="1">
        <f t="shared" si="75"/>
        <v>54338.292000000001</v>
      </c>
      <c r="S671" t="str">
        <f t="shared" si="70"/>
        <v>Sindh</v>
      </c>
      <c r="W671" t="str">
        <f t="shared" si="71"/>
        <v>South</v>
      </c>
      <c r="AB671" t="str">
        <f t="shared" si="76"/>
        <v>PK-SD</v>
      </c>
    </row>
    <row r="672" spans="1:28" x14ac:dyDescent="0.25">
      <c r="A672" s="2">
        <v>45011</v>
      </c>
      <c r="B672" t="s">
        <v>43</v>
      </c>
      <c r="C672" t="s">
        <v>61</v>
      </c>
      <c r="D672" t="s">
        <v>65</v>
      </c>
      <c r="E672" t="s">
        <v>64</v>
      </c>
      <c r="F672" t="s">
        <v>14</v>
      </c>
      <c r="G672" t="s">
        <v>45</v>
      </c>
      <c r="H672">
        <v>17</v>
      </c>
      <c r="I672" s="1">
        <v>2805.45</v>
      </c>
      <c r="J672" s="1">
        <f t="shared" si="72"/>
        <v>42923.385000000002</v>
      </c>
      <c r="K672" s="1">
        <f t="shared" si="73"/>
        <v>4769.2650000000003</v>
      </c>
      <c r="L672" s="1">
        <v>47692.65</v>
      </c>
      <c r="M672" s="1">
        <f t="shared" si="74"/>
        <v>8584.6769999999997</v>
      </c>
      <c r="N672" s="1">
        <f t="shared" si="75"/>
        <v>56277.327000000005</v>
      </c>
      <c r="S672" t="str">
        <f t="shared" si="70"/>
        <v>Punjab</v>
      </c>
      <c r="W672" t="str">
        <f t="shared" si="71"/>
        <v>East</v>
      </c>
      <c r="AB672" t="str">
        <f t="shared" si="76"/>
        <v>PK-PB</v>
      </c>
    </row>
    <row r="673" spans="1:28" x14ac:dyDescent="0.25">
      <c r="A673" s="2">
        <v>45030</v>
      </c>
      <c r="B673" t="s">
        <v>43</v>
      </c>
      <c r="C673" t="s">
        <v>17</v>
      </c>
      <c r="D673" t="s">
        <v>65</v>
      </c>
      <c r="E673" t="s">
        <v>64</v>
      </c>
      <c r="F673" t="s">
        <v>32</v>
      </c>
      <c r="G673" t="s">
        <v>36</v>
      </c>
      <c r="H673">
        <v>3</v>
      </c>
      <c r="I673" s="1">
        <v>413.26</v>
      </c>
      <c r="J673" s="1">
        <f t="shared" si="72"/>
        <v>1115.8019999999999</v>
      </c>
      <c r="K673" s="1">
        <f t="shared" si="73"/>
        <v>123.97800000000001</v>
      </c>
      <c r="L673" s="1">
        <v>1239.78</v>
      </c>
      <c r="M673" s="1">
        <f t="shared" si="74"/>
        <v>223.16039999999998</v>
      </c>
      <c r="N673" s="1">
        <f t="shared" si="75"/>
        <v>1462.9404</v>
      </c>
      <c r="S673" t="str">
        <f t="shared" si="70"/>
        <v>Punjab</v>
      </c>
      <c r="W673" t="str">
        <f t="shared" si="71"/>
        <v>East</v>
      </c>
      <c r="AB673" t="str">
        <f t="shared" si="76"/>
        <v>PK-PB</v>
      </c>
    </row>
    <row r="674" spans="1:28" x14ac:dyDescent="0.25">
      <c r="A674" s="2">
        <v>45004</v>
      </c>
      <c r="B674" t="s">
        <v>29</v>
      </c>
      <c r="C674" t="s">
        <v>60</v>
      </c>
      <c r="D674" t="s">
        <v>12</v>
      </c>
      <c r="E674" t="s">
        <v>18</v>
      </c>
      <c r="F674" t="s">
        <v>23</v>
      </c>
      <c r="G674" t="s">
        <v>37</v>
      </c>
      <c r="H674">
        <v>17</v>
      </c>
      <c r="I674" s="1">
        <v>3203.04</v>
      </c>
      <c r="J674" s="1">
        <f t="shared" si="72"/>
        <v>49006.512000000002</v>
      </c>
      <c r="K674" s="1">
        <f t="shared" si="73"/>
        <v>5445.1680000000006</v>
      </c>
      <c r="L674" s="1">
        <v>54451.68</v>
      </c>
      <c r="M674" s="1">
        <f t="shared" si="74"/>
        <v>9801.3024000000005</v>
      </c>
      <c r="N674" s="1">
        <f t="shared" si="75"/>
        <v>64252.982400000001</v>
      </c>
      <c r="S674" t="str">
        <f t="shared" si="70"/>
        <v>Sindh</v>
      </c>
      <c r="W674" t="str">
        <f t="shared" si="71"/>
        <v>South</v>
      </c>
      <c r="AB674" t="str">
        <f t="shared" si="76"/>
        <v>PK-SD</v>
      </c>
    </row>
    <row r="675" spans="1:28" x14ac:dyDescent="0.25">
      <c r="A675" s="2">
        <v>45030</v>
      </c>
      <c r="B675" t="s">
        <v>31</v>
      </c>
      <c r="C675" t="s">
        <v>35</v>
      </c>
      <c r="D675" t="s">
        <v>65</v>
      </c>
      <c r="E675" t="s">
        <v>64</v>
      </c>
      <c r="F675" t="s">
        <v>23</v>
      </c>
      <c r="G675" t="s">
        <v>24</v>
      </c>
      <c r="H675">
        <v>4</v>
      </c>
      <c r="I675" s="1">
        <v>1906.89</v>
      </c>
      <c r="J675" s="1">
        <f t="shared" si="72"/>
        <v>6864.8040000000001</v>
      </c>
      <c r="K675" s="1">
        <f t="shared" si="73"/>
        <v>762.75600000000009</v>
      </c>
      <c r="L675" s="1">
        <v>7627.56</v>
      </c>
      <c r="M675" s="1">
        <f t="shared" si="74"/>
        <v>1372.9608000000001</v>
      </c>
      <c r="N675" s="1">
        <f t="shared" si="75"/>
        <v>9000.5208000000002</v>
      </c>
      <c r="S675" t="str">
        <f t="shared" si="70"/>
        <v>Punjab</v>
      </c>
      <c r="W675" t="str">
        <f t="shared" si="71"/>
        <v>East</v>
      </c>
      <c r="AB675" t="str">
        <f t="shared" si="76"/>
        <v>PK-PB</v>
      </c>
    </row>
    <row r="676" spans="1:28" x14ac:dyDescent="0.25">
      <c r="A676" s="2">
        <v>45103</v>
      </c>
      <c r="B676" t="s">
        <v>40</v>
      </c>
      <c r="C676" t="s">
        <v>58</v>
      </c>
      <c r="D676" t="s">
        <v>12</v>
      </c>
      <c r="E676" t="s">
        <v>18</v>
      </c>
      <c r="F676" t="s">
        <v>27</v>
      </c>
      <c r="G676" t="s">
        <v>46</v>
      </c>
      <c r="H676">
        <v>14</v>
      </c>
      <c r="I676" s="1">
        <v>3829.68</v>
      </c>
      <c r="J676" s="1">
        <f t="shared" si="72"/>
        <v>48253.968000000001</v>
      </c>
      <c r="K676" s="1">
        <f t="shared" si="73"/>
        <v>5361.5519999999997</v>
      </c>
      <c r="L676" s="1">
        <v>53615.519999999997</v>
      </c>
      <c r="M676" s="1">
        <f t="shared" si="74"/>
        <v>9650.7935999999991</v>
      </c>
      <c r="N676" s="1">
        <f t="shared" si="75"/>
        <v>63266.313599999994</v>
      </c>
      <c r="S676" t="str">
        <f t="shared" si="70"/>
        <v>Sindh</v>
      </c>
      <c r="W676" t="str">
        <f t="shared" si="71"/>
        <v>South</v>
      </c>
      <c r="AB676" t="str">
        <f t="shared" si="76"/>
        <v>PK-SD</v>
      </c>
    </row>
    <row r="677" spans="1:28" x14ac:dyDescent="0.25">
      <c r="A677" s="2">
        <v>45040</v>
      </c>
      <c r="B677" t="s">
        <v>16</v>
      </c>
      <c r="C677" t="s">
        <v>56</v>
      </c>
      <c r="D677" t="s">
        <v>12</v>
      </c>
      <c r="E677" t="s">
        <v>18</v>
      </c>
      <c r="F677" t="s">
        <v>19</v>
      </c>
      <c r="G677" t="s">
        <v>20</v>
      </c>
      <c r="H677">
        <v>19</v>
      </c>
      <c r="I677" s="1">
        <v>2636.08</v>
      </c>
      <c r="J677" s="1">
        <f t="shared" si="72"/>
        <v>45076.968000000001</v>
      </c>
      <c r="K677" s="1">
        <f t="shared" si="73"/>
        <v>5008.5519999999997</v>
      </c>
      <c r="L677" s="1">
        <v>50085.52</v>
      </c>
      <c r="M677" s="1">
        <f t="shared" si="74"/>
        <v>9015.3935999999994</v>
      </c>
      <c r="N677" s="1">
        <f t="shared" si="75"/>
        <v>59100.9136</v>
      </c>
      <c r="S677" t="str">
        <f t="shared" si="70"/>
        <v>Sindh</v>
      </c>
      <c r="W677" t="str">
        <f t="shared" si="71"/>
        <v>South</v>
      </c>
      <c r="AB677" t="str">
        <f t="shared" si="76"/>
        <v>PK-SD</v>
      </c>
    </row>
    <row r="678" spans="1:28" x14ac:dyDescent="0.25">
      <c r="A678" s="2">
        <v>45149</v>
      </c>
      <c r="B678" t="s">
        <v>10</v>
      </c>
      <c r="C678" t="s">
        <v>17</v>
      </c>
      <c r="D678" t="s">
        <v>65</v>
      </c>
      <c r="E678" t="s">
        <v>64</v>
      </c>
      <c r="F678" t="s">
        <v>32</v>
      </c>
      <c r="G678" t="s">
        <v>33</v>
      </c>
      <c r="H678">
        <v>13</v>
      </c>
      <c r="I678" s="1">
        <v>3994.86</v>
      </c>
      <c r="J678" s="1">
        <f t="shared" si="72"/>
        <v>46739.862000000001</v>
      </c>
      <c r="K678" s="1">
        <f t="shared" si="73"/>
        <v>5193.3180000000002</v>
      </c>
      <c r="L678" s="1">
        <v>51933.18</v>
      </c>
      <c r="M678" s="1">
        <f t="shared" si="74"/>
        <v>9347.9724000000006</v>
      </c>
      <c r="N678" s="1">
        <f t="shared" si="75"/>
        <v>61281.152399999999</v>
      </c>
      <c r="S678" t="str">
        <f t="shared" si="70"/>
        <v>Punjab</v>
      </c>
      <c r="W678" t="str">
        <f t="shared" si="71"/>
        <v>East</v>
      </c>
      <c r="AB678" t="str">
        <f t="shared" si="76"/>
        <v>PK-PB</v>
      </c>
    </row>
    <row r="679" spans="1:28" x14ac:dyDescent="0.25">
      <c r="A679" s="2">
        <v>45102</v>
      </c>
      <c r="B679" t="s">
        <v>29</v>
      </c>
      <c r="C679" t="s">
        <v>35</v>
      </c>
      <c r="D679" t="s">
        <v>65</v>
      </c>
      <c r="E679" t="s">
        <v>64</v>
      </c>
      <c r="F679" t="s">
        <v>19</v>
      </c>
      <c r="G679" t="s">
        <v>30</v>
      </c>
      <c r="H679">
        <v>12</v>
      </c>
      <c r="I679" s="1">
        <v>1554.75</v>
      </c>
      <c r="J679" s="1">
        <f t="shared" si="72"/>
        <v>16791.3</v>
      </c>
      <c r="K679" s="1">
        <f t="shared" si="73"/>
        <v>1865.7</v>
      </c>
      <c r="L679" s="1">
        <v>18657</v>
      </c>
      <c r="M679" s="1">
        <f t="shared" si="74"/>
        <v>3358.2599999999998</v>
      </c>
      <c r="N679" s="1">
        <f t="shared" si="75"/>
        <v>22015.26</v>
      </c>
      <c r="S679" t="str">
        <f t="shared" si="70"/>
        <v>Punjab</v>
      </c>
      <c r="W679" t="str">
        <f t="shared" si="71"/>
        <v>East</v>
      </c>
      <c r="AB679" t="str">
        <f t="shared" si="76"/>
        <v>PK-PB</v>
      </c>
    </row>
    <row r="680" spans="1:28" x14ac:dyDescent="0.25">
      <c r="A680" s="2">
        <v>44933</v>
      </c>
      <c r="B680" t="s">
        <v>31</v>
      </c>
      <c r="C680" t="s">
        <v>57</v>
      </c>
      <c r="D680" t="s">
        <v>22</v>
      </c>
      <c r="E680" t="s">
        <v>13</v>
      </c>
      <c r="F680" t="s">
        <v>19</v>
      </c>
      <c r="G680" t="s">
        <v>52</v>
      </c>
      <c r="H680">
        <v>9</v>
      </c>
      <c r="I680" s="1">
        <v>4674.04</v>
      </c>
      <c r="J680" s="1">
        <f t="shared" si="72"/>
        <v>37859.724000000002</v>
      </c>
      <c r="K680" s="1">
        <f t="shared" si="73"/>
        <v>4206.6360000000004</v>
      </c>
      <c r="L680" s="1">
        <v>42066.36</v>
      </c>
      <c r="M680" s="1">
        <f t="shared" si="74"/>
        <v>7571.9448000000002</v>
      </c>
      <c r="N680" s="1">
        <f t="shared" si="75"/>
        <v>49638.304799999998</v>
      </c>
      <c r="S680" t="str">
        <f t="shared" si="70"/>
        <v>Balochistan</v>
      </c>
      <c r="W680" t="str">
        <f t="shared" si="71"/>
        <v>West</v>
      </c>
      <c r="AB680" t="str">
        <f t="shared" si="76"/>
        <v>PK-BA</v>
      </c>
    </row>
    <row r="681" spans="1:28" x14ac:dyDescent="0.25">
      <c r="A681" s="2">
        <v>44961</v>
      </c>
      <c r="B681" t="s">
        <v>31</v>
      </c>
      <c r="C681" t="s">
        <v>63</v>
      </c>
      <c r="D681" t="s">
        <v>65</v>
      </c>
      <c r="E681" t="s">
        <v>64</v>
      </c>
      <c r="F681" t="s">
        <v>14</v>
      </c>
      <c r="G681" t="s">
        <v>15</v>
      </c>
      <c r="H681">
        <v>2</v>
      </c>
      <c r="I681" s="1">
        <v>1252.3</v>
      </c>
      <c r="J681" s="1">
        <f t="shared" si="72"/>
        <v>2254.14</v>
      </c>
      <c r="K681" s="1">
        <f t="shared" si="73"/>
        <v>250.46</v>
      </c>
      <c r="L681" s="1">
        <v>2504.6</v>
      </c>
      <c r="M681" s="1">
        <f t="shared" si="74"/>
        <v>450.82799999999997</v>
      </c>
      <c r="N681" s="1">
        <f t="shared" si="75"/>
        <v>2955.4279999999999</v>
      </c>
      <c r="S681" t="str">
        <f t="shared" si="70"/>
        <v>Punjab</v>
      </c>
      <c r="W681" t="str">
        <f t="shared" si="71"/>
        <v>East</v>
      </c>
      <c r="AB681" t="str">
        <f t="shared" si="76"/>
        <v>PK-PB</v>
      </c>
    </row>
    <row r="682" spans="1:28" x14ac:dyDescent="0.25">
      <c r="A682" s="2">
        <v>45199</v>
      </c>
      <c r="B682" t="s">
        <v>25</v>
      </c>
      <c r="C682" t="s">
        <v>62</v>
      </c>
      <c r="D682" t="s">
        <v>65</v>
      </c>
      <c r="E682" t="s">
        <v>64</v>
      </c>
      <c r="F682" t="s">
        <v>19</v>
      </c>
      <c r="G682" t="s">
        <v>30</v>
      </c>
      <c r="H682">
        <v>15</v>
      </c>
      <c r="I682" s="1">
        <v>1738.86</v>
      </c>
      <c r="J682" s="1">
        <f t="shared" si="72"/>
        <v>23474.61</v>
      </c>
      <c r="K682" s="1">
        <f t="shared" si="73"/>
        <v>2608.2900000000004</v>
      </c>
      <c r="L682" s="1">
        <v>26082.9</v>
      </c>
      <c r="M682" s="1">
        <f t="shared" si="74"/>
        <v>4694.9220000000005</v>
      </c>
      <c r="N682" s="1">
        <f t="shared" si="75"/>
        <v>30777.822</v>
      </c>
      <c r="S682" t="str">
        <f t="shared" si="70"/>
        <v>Punjab</v>
      </c>
      <c r="W682" t="str">
        <f t="shared" si="71"/>
        <v>East</v>
      </c>
      <c r="AB682" t="str">
        <f t="shared" si="76"/>
        <v>PK-PB</v>
      </c>
    </row>
    <row r="683" spans="1:28" x14ac:dyDescent="0.25">
      <c r="A683" s="2">
        <v>45229</v>
      </c>
      <c r="B683" t="s">
        <v>16</v>
      </c>
      <c r="C683" t="s">
        <v>60</v>
      </c>
      <c r="D683" t="s">
        <v>12</v>
      </c>
      <c r="E683" t="s">
        <v>18</v>
      </c>
      <c r="F683" t="s">
        <v>23</v>
      </c>
      <c r="G683" t="s">
        <v>37</v>
      </c>
      <c r="H683">
        <v>4</v>
      </c>
      <c r="I683" s="1">
        <v>2527.15</v>
      </c>
      <c r="J683" s="1">
        <f t="shared" si="72"/>
        <v>9097.74</v>
      </c>
      <c r="K683" s="1">
        <f t="shared" si="73"/>
        <v>1010.8600000000001</v>
      </c>
      <c r="L683" s="1">
        <v>10108.6</v>
      </c>
      <c r="M683" s="1">
        <f t="shared" si="74"/>
        <v>1819.548</v>
      </c>
      <c r="N683" s="1">
        <f t="shared" si="75"/>
        <v>11928.148000000001</v>
      </c>
      <c r="S683" t="str">
        <f t="shared" si="70"/>
        <v>Sindh</v>
      </c>
      <c r="W683" t="str">
        <f t="shared" si="71"/>
        <v>South</v>
      </c>
      <c r="AB683" t="str">
        <f t="shared" si="76"/>
        <v>PK-SD</v>
      </c>
    </row>
    <row r="684" spans="1:28" x14ac:dyDescent="0.25">
      <c r="A684" s="2">
        <v>44958</v>
      </c>
      <c r="B684" t="s">
        <v>25</v>
      </c>
      <c r="C684" t="s">
        <v>35</v>
      </c>
      <c r="D684" t="s">
        <v>65</v>
      </c>
      <c r="E684" t="s">
        <v>64</v>
      </c>
      <c r="F684" t="s">
        <v>23</v>
      </c>
      <c r="G684" t="s">
        <v>24</v>
      </c>
      <c r="H684">
        <v>17</v>
      </c>
      <c r="I684" s="1">
        <v>4247.5600000000004</v>
      </c>
      <c r="J684" s="1">
        <f t="shared" si="72"/>
        <v>64987.668000000005</v>
      </c>
      <c r="K684" s="1">
        <f t="shared" si="73"/>
        <v>7220.8520000000008</v>
      </c>
      <c r="L684" s="1">
        <v>72208.52</v>
      </c>
      <c r="M684" s="1">
        <f t="shared" si="74"/>
        <v>12997.533600000001</v>
      </c>
      <c r="N684" s="1">
        <f t="shared" si="75"/>
        <v>85206.053599999999</v>
      </c>
      <c r="S684" t="str">
        <f t="shared" si="70"/>
        <v>Punjab</v>
      </c>
      <c r="W684" t="str">
        <f t="shared" si="71"/>
        <v>East</v>
      </c>
      <c r="AB684" t="str">
        <f t="shared" si="76"/>
        <v>PK-PB</v>
      </c>
    </row>
    <row r="685" spans="1:28" x14ac:dyDescent="0.25">
      <c r="A685" s="2">
        <v>45279</v>
      </c>
      <c r="B685" t="s">
        <v>40</v>
      </c>
      <c r="C685" t="s">
        <v>56</v>
      </c>
      <c r="D685" t="s">
        <v>12</v>
      </c>
      <c r="E685" t="s">
        <v>18</v>
      </c>
      <c r="F685" t="s">
        <v>27</v>
      </c>
      <c r="G685" t="s">
        <v>28</v>
      </c>
      <c r="H685">
        <v>8</v>
      </c>
      <c r="I685" s="1">
        <v>978.4</v>
      </c>
      <c r="J685" s="1">
        <f t="shared" si="72"/>
        <v>7044.48</v>
      </c>
      <c r="K685" s="1">
        <f t="shared" si="73"/>
        <v>782.72</v>
      </c>
      <c r="L685" s="1">
        <v>7827.2</v>
      </c>
      <c r="M685" s="1">
        <f t="shared" si="74"/>
        <v>1408.896</v>
      </c>
      <c r="N685" s="1">
        <f t="shared" si="75"/>
        <v>9236.0959999999995</v>
      </c>
      <c r="S685" t="str">
        <f t="shared" si="70"/>
        <v>Sindh</v>
      </c>
      <c r="W685" t="str">
        <f t="shared" si="71"/>
        <v>South</v>
      </c>
      <c r="AB685" t="str">
        <f t="shared" si="76"/>
        <v>PK-SD</v>
      </c>
    </row>
    <row r="686" spans="1:28" x14ac:dyDescent="0.25">
      <c r="A686" s="2">
        <v>45141</v>
      </c>
      <c r="B686" t="s">
        <v>40</v>
      </c>
      <c r="C686" t="s">
        <v>63</v>
      </c>
      <c r="D686" t="s">
        <v>65</v>
      </c>
      <c r="E686" t="s">
        <v>64</v>
      </c>
      <c r="F686" t="s">
        <v>14</v>
      </c>
      <c r="G686" t="s">
        <v>51</v>
      </c>
      <c r="H686">
        <v>5</v>
      </c>
      <c r="I686" s="1">
        <v>1530.16</v>
      </c>
      <c r="J686" s="1">
        <f t="shared" si="72"/>
        <v>6885.72</v>
      </c>
      <c r="K686" s="1">
        <f t="shared" si="73"/>
        <v>765.08</v>
      </c>
      <c r="L686" s="1">
        <v>7650.8</v>
      </c>
      <c r="M686" s="1">
        <f t="shared" si="74"/>
        <v>1377.144</v>
      </c>
      <c r="N686" s="1">
        <f t="shared" si="75"/>
        <v>9027.9439999999995</v>
      </c>
      <c r="S686" t="str">
        <f t="shared" si="70"/>
        <v>Punjab</v>
      </c>
      <c r="W686" t="str">
        <f t="shared" si="71"/>
        <v>East</v>
      </c>
      <c r="AB686" t="str">
        <f t="shared" si="76"/>
        <v>PK-PB</v>
      </c>
    </row>
    <row r="687" spans="1:28" x14ac:dyDescent="0.25">
      <c r="A687" s="2">
        <v>44962</v>
      </c>
      <c r="B687" t="s">
        <v>43</v>
      </c>
      <c r="C687" t="s">
        <v>17</v>
      </c>
      <c r="D687" t="s">
        <v>65</v>
      </c>
      <c r="E687" t="s">
        <v>64</v>
      </c>
      <c r="F687" t="s">
        <v>14</v>
      </c>
      <c r="G687" t="s">
        <v>51</v>
      </c>
      <c r="H687">
        <v>15</v>
      </c>
      <c r="I687" s="1">
        <v>4748.62</v>
      </c>
      <c r="J687" s="1">
        <f t="shared" si="72"/>
        <v>64106.37</v>
      </c>
      <c r="K687" s="1">
        <f t="shared" si="73"/>
        <v>7122.93</v>
      </c>
      <c r="L687" s="1">
        <v>71229.3</v>
      </c>
      <c r="M687" s="1">
        <f t="shared" si="74"/>
        <v>12821.273999999999</v>
      </c>
      <c r="N687" s="1">
        <f t="shared" si="75"/>
        <v>84050.574000000008</v>
      </c>
      <c r="S687" t="str">
        <f t="shared" si="70"/>
        <v>Punjab</v>
      </c>
      <c r="W687" t="str">
        <f t="shared" si="71"/>
        <v>East</v>
      </c>
      <c r="AB687" t="str">
        <f t="shared" si="76"/>
        <v>PK-PB</v>
      </c>
    </row>
    <row r="688" spans="1:28" x14ac:dyDescent="0.25">
      <c r="A688" s="2">
        <v>45249</v>
      </c>
      <c r="B688" t="s">
        <v>40</v>
      </c>
      <c r="C688" t="s">
        <v>54</v>
      </c>
      <c r="D688" t="s">
        <v>12</v>
      </c>
      <c r="E688" t="s">
        <v>18</v>
      </c>
      <c r="F688" t="s">
        <v>14</v>
      </c>
      <c r="G688" t="s">
        <v>15</v>
      </c>
      <c r="H688">
        <v>5</v>
      </c>
      <c r="I688" s="1">
        <v>4402.72</v>
      </c>
      <c r="J688" s="1">
        <f t="shared" si="72"/>
        <v>19812.239999999998</v>
      </c>
      <c r="K688" s="1">
        <f t="shared" si="73"/>
        <v>2201.36</v>
      </c>
      <c r="L688" s="1">
        <v>22013.599999999999</v>
      </c>
      <c r="M688" s="1">
        <f t="shared" si="74"/>
        <v>3962.4479999999994</v>
      </c>
      <c r="N688" s="1">
        <f t="shared" si="75"/>
        <v>25976.047999999999</v>
      </c>
      <c r="S688" t="str">
        <f t="shared" si="70"/>
        <v>Sindh</v>
      </c>
      <c r="W688" t="str">
        <f t="shared" si="71"/>
        <v>South</v>
      </c>
      <c r="AB688" t="str">
        <f t="shared" si="76"/>
        <v>PK-SD</v>
      </c>
    </row>
    <row r="689" spans="1:28" x14ac:dyDescent="0.25">
      <c r="A689" s="2">
        <v>45117</v>
      </c>
      <c r="B689" t="s">
        <v>10</v>
      </c>
      <c r="C689" t="s">
        <v>26</v>
      </c>
      <c r="D689" t="s">
        <v>12</v>
      </c>
      <c r="E689" t="s">
        <v>18</v>
      </c>
      <c r="F689" t="s">
        <v>23</v>
      </c>
      <c r="G689" t="s">
        <v>24</v>
      </c>
      <c r="H689">
        <v>16</v>
      </c>
      <c r="I689" s="1">
        <v>3858.12</v>
      </c>
      <c r="J689" s="1">
        <f t="shared" si="72"/>
        <v>55556.928</v>
      </c>
      <c r="K689" s="1">
        <f t="shared" si="73"/>
        <v>6172.9920000000002</v>
      </c>
      <c r="L689" s="1">
        <v>61729.919999999998</v>
      </c>
      <c r="M689" s="1">
        <f t="shared" si="74"/>
        <v>11111.3856</v>
      </c>
      <c r="N689" s="1">
        <f t="shared" si="75"/>
        <v>72841.305599999992</v>
      </c>
      <c r="S689" t="str">
        <f t="shared" si="70"/>
        <v>Sindh</v>
      </c>
      <c r="W689" t="str">
        <f t="shared" si="71"/>
        <v>South</v>
      </c>
      <c r="AB689" t="str">
        <f t="shared" si="76"/>
        <v>PK-SD</v>
      </c>
    </row>
    <row r="690" spans="1:28" x14ac:dyDescent="0.25">
      <c r="A690" s="2">
        <v>44956</v>
      </c>
      <c r="B690" t="s">
        <v>21</v>
      </c>
      <c r="C690" t="s">
        <v>63</v>
      </c>
      <c r="D690" t="s">
        <v>65</v>
      </c>
      <c r="E690" t="s">
        <v>64</v>
      </c>
      <c r="F690" t="s">
        <v>27</v>
      </c>
      <c r="G690" t="s">
        <v>42</v>
      </c>
      <c r="H690">
        <v>10</v>
      </c>
      <c r="I690" s="1">
        <v>4939.99</v>
      </c>
      <c r="J690" s="1">
        <f t="shared" si="72"/>
        <v>44459.91</v>
      </c>
      <c r="K690" s="1">
        <f t="shared" si="73"/>
        <v>4939.9900000000007</v>
      </c>
      <c r="L690" s="1">
        <v>49399.9</v>
      </c>
      <c r="M690" s="1">
        <f t="shared" si="74"/>
        <v>8891.982</v>
      </c>
      <c r="N690" s="1">
        <f t="shared" si="75"/>
        <v>58291.881999999998</v>
      </c>
      <c r="S690" t="str">
        <f t="shared" si="70"/>
        <v>Punjab</v>
      </c>
      <c r="W690" t="str">
        <f t="shared" si="71"/>
        <v>East</v>
      </c>
      <c r="AB690" t="str">
        <f t="shared" si="76"/>
        <v>PK-PB</v>
      </c>
    </row>
    <row r="691" spans="1:28" x14ac:dyDescent="0.25">
      <c r="A691" s="2">
        <v>45128</v>
      </c>
      <c r="B691" t="s">
        <v>10</v>
      </c>
      <c r="C691" t="s">
        <v>17</v>
      </c>
      <c r="D691" t="s">
        <v>65</v>
      </c>
      <c r="E691" t="s">
        <v>64</v>
      </c>
      <c r="F691" t="s">
        <v>14</v>
      </c>
      <c r="G691" t="s">
        <v>53</v>
      </c>
      <c r="H691">
        <v>8</v>
      </c>
      <c r="I691" s="1">
        <v>2394.87</v>
      </c>
      <c r="J691" s="1">
        <f t="shared" si="72"/>
        <v>17243.063999999998</v>
      </c>
      <c r="K691" s="1">
        <f t="shared" si="73"/>
        <v>1915.896</v>
      </c>
      <c r="L691" s="1">
        <v>19158.96</v>
      </c>
      <c r="M691" s="1">
        <f t="shared" si="74"/>
        <v>3448.6127999999999</v>
      </c>
      <c r="N691" s="1">
        <f t="shared" si="75"/>
        <v>22607.572799999998</v>
      </c>
      <c r="S691" t="str">
        <f t="shared" si="70"/>
        <v>Punjab</v>
      </c>
      <c r="W691" t="str">
        <f t="shared" si="71"/>
        <v>East</v>
      </c>
      <c r="AB691" t="str">
        <f t="shared" si="76"/>
        <v>PK-PB</v>
      </c>
    </row>
    <row r="692" spans="1:28" x14ac:dyDescent="0.25">
      <c r="A692" s="2">
        <v>45257</v>
      </c>
      <c r="B692" t="s">
        <v>16</v>
      </c>
      <c r="C692" t="s">
        <v>63</v>
      </c>
      <c r="D692" t="s">
        <v>65</v>
      </c>
      <c r="E692" t="s">
        <v>64</v>
      </c>
      <c r="F692" t="s">
        <v>23</v>
      </c>
      <c r="G692" t="s">
        <v>47</v>
      </c>
      <c r="H692">
        <v>11</v>
      </c>
      <c r="I692" s="1">
        <v>3277.74</v>
      </c>
      <c r="J692" s="1">
        <f t="shared" si="72"/>
        <v>32449.626</v>
      </c>
      <c r="K692" s="1">
        <f t="shared" si="73"/>
        <v>3605.5140000000001</v>
      </c>
      <c r="L692" s="1">
        <v>36055.14</v>
      </c>
      <c r="M692" s="1">
        <f t="shared" si="74"/>
        <v>6489.9251999999997</v>
      </c>
      <c r="N692" s="1">
        <f t="shared" si="75"/>
        <v>42545.065199999997</v>
      </c>
      <c r="S692" t="str">
        <f t="shared" si="70"/>
        <v>Punjab</v>
      </c>
      <c r="W692" t="str">
        <f t="shared" si="71"/>
        <v>East</v>
      </c>
      <c r="AB692" t="str">
        <f t="shared" si="76"/>
        <v>PK-PB</v>
      </c>
    </row>
    <row r="693" spans="1:28" x14ac:dyDescent="0.25">
      <c r="A693" s="2">
        <v>45009</v>
      </c>
      <c r="B693" t="s">
        <v>29</v>
      </c>
      <c r="C693" t="s">
        <v>54</v>
      </c>
      <c r="D693" t="s">
        <v>12</v>
      </c>
      <c r="E693" t="s">
        <v>18</v>
      </c>
      <c r="F693" t="s">
        <v>14</v>
      </c>
      <c r="G693" t="s">
        <v>53</v>
      </c>
      <c r="H693">
        <v>5</v>
      </c>
      <c r="I693" s="1">
        <v>2411.33</v>
      </c>
      <c r="J693" s="1">
        <f t="shared" si="72"/>
        <v>10850.985000000001</v>
      </c>
      <c r="K693" s="1">
        <f t="shared" si="73"/>
        <v>1205.665</v>
      </c>
      <c r="L693" s="1">
        <v>12056.65</v>
      </c>
      <c r="M693" s="1">
        <f t="shared" si="74"/>
        <v>2170.1969999999997</v>
      </c>
      <c r="N693" s="1">
        <f t="shared" si="75"/>
        <v>14226.847</v>
      </c>
      <c r="S693" t="str">
        <f t="shared" si="70"/>
        <v>Sindh</v>
      </c>
      <c r="W693" t="str">
        <f t="shared" si="71"/>
        <v>South</v>
      </c>
      <c r="AB693" t="str">
        <f t="shared" si="76"/>
        <v>PK-SD</v>
      </c>
    </row>
    <row r="694" spans="1:28" x14ac:dyDescent="0.25">
      <c r="A694" s="2">
        <v>45016</v>
      </c>
      <c r="B694" t="s">
        <v>21</v>
      </c>
      <c r="C694" t="s">
        <v>35</v>
      </c>
      <c r="D694" t="s">
        <v>65</v>
      </c>
      <c r="E694" t="s">
        <v>64</v>
      </c>
      <c r="F694" t="s">
        <v>19</v>
      </c>
      <c r="G694" t="s">
        <v>48</v>
      </c>
      <c r="H694">
        <v>17</v>
      </c>
      <c r="I694" s="1">
        <v>3844.7</v>
      </c>
      <c r="J694" s="1">
        <f t="shared" si="72"/>
        <v>58823.91</v>
      </c>
      <c r="K694" s="1">
        <f t="shared" si="73"/>
        <v>6535.9900000000007</v>
      </c>
      <c r="L694" s="1">
        <v>65359.9</v>
      </c>
      <c r="M694" s="1">
        <f t="shared" si="74"/>
        <v>11764.781999999999</v>
      </c>
      <c r="N694" s="1">
        <f t="shared" si="75"/>
        <v>77124.682000000001</v>
      </c>
      <c r="S694" t="str">
        <f t="shared" si="70"/>
        <v>Punjab</v>
      </c>
      <c r="W694" t="str">
        <f t="shared" si="71"/>
        <v>East</v>
      </c>
      <c r="AB694" t="str">
        <f t="shared" si="76"/>
        <v>PK-PB</v>
      </c>
    </row>
    <row r="695" spans="1:28" x14ac:dyDescent="0.25">
      <c r="A695" s="2">
        <v>45136</v>
      </c>
      <c r="B695" t="s">
        <v>40</v>
      </c>
      <c r="C695" t="s">
        <v>17</v>
      </c>
      <c r="D695" t="s">
        <v>65</v>
      </c>
      <c r="E695" t="s">
        <v>64</v>
      </c>
      <c r="F695" t="s">
        <v>23</v>
      </c>
      <c r="G695" t="s">
        <v>39</v>
      </c>
      <c r="H695">
        <v>14</v>
      </c>
      <c r="I695" s="1">
        <v>816.99</v>
      </c>
      <c r="J695" s="1">
        <f t="shared" si="72"/>
        <v>10294.074000000001</v>
      </c>
      <c r="K695" s="1">
        <f t="shared" si="73"/>
        <v>1143.7860000000001</v>
      </c>
      <c r="L695" s="1">
        <v>11437.86</v>
      </c>
      <c r="M695" s="1">
        <f t="shared" si="74"/>
        <v>2058.8148000000001</v>
      </c>
      <c r="N695" s="1">
        <f t="shared" si="75"/>
        <v>13496.674800000001</v>
      </c>
      <c r="S695" t="str">
        <f t="shared" si="70"/>
        <v>Punjab</v>
      </c>
      <c r="W695" t="str">
        <f t="shared" si="71"/>
        <v>East</v>
      </c>
      <c r="AB695" t="str">
        <f t="shared" si="76"/>
        <v>PK-PB</v>
      </c>
    </row>
    <row r="696" spans="1:28" x14ac:dyDescent="0.25">
      <c r="A696" s="2">
        <v>45273</v>
      </c>
      <c r="B696" t="s">
        <v>34</v>
      </c>
      <c r="C696" t="s">
        <v>56</v>
      </c>
      <c r="D696" t="s">
        <v>12</v>
      </c>
      <c r="E696" t="s">
        <v>18</v>
      </c>
      <c r="F696" t="s">
        <v>32</v>
      </c>
      <c r="G696" t="s">
        <v>50</v>
      </c>
      <c r="H696">
        <v>3</v>
      </c>
      <c r="I696" s="1">
        <v>3102.92</v>
      </c>
      <c r="J696" s="1">
        <f t="shared" si="72"/>
        <v>8377.884</v>
      </c>
      <c r="K696" s="1">
        <f t="shared" si="73"/>
        <v>930.87600000000009</v>
      </c>
      <c r="L696" s="1">
        <v>9308.76</v>
      </c>
      <c r="M696" s="1">
        <f t="shared" si="74"/>
        <v>1675.5768</v>
      </c>
      <c r="N696" s="1">
        <f t="shared" si="75"/>
        <v>10984.336800000001</v>
      </c>
      <c r="S696" t="str">
        <f t="shared" si="70"/>
        <v>Sindh</v>
      </c>
      <c r="W696" t="str">
        <f t="shared" si="71"/>
        <v>South</v>
      </c>
      <c r="AB696" t="str">
        <f t="shared" si="76"/>
        <v>PK-SD</v>
      </c>
    </row>
    <row r="697" spans="1:28" x14ac:dyDescent="0.25">
      <c r="A697" s="2">
        <v>44970</v>
      </c>
      <c r="B697" t="s">
        <v>25</v>
      </c>
      <c r="C697" t="s">
        <v>35</v>
      </c>
      <c r="D697" t="s">
        <v>65</v>
      </c>
      <c r="E697" t="s">
        <v>64</v>
      </c>
      <c r="F697" t="s">
        <v>32</v>
      </c>
      <c r="G697" t="s">
        <v>36</v>
      </c>
      <c r="H697">
        <v>11</v>
      </c>
      <c r="I697" s="1">
        <v>490.34</v>
      </c>
      <c r="J697" s="1">
        <f t="shared" si="72"/>
        <v>4854.366</v>
      </c>
      <c r="K697" s="1">
        <f t="shared" si="73"/>
        <v>539.37400000000002</v>
      </c>
      <c r="L697" s="1">
        <v>5393.74</v>
      </c>
      <c r="M697" s="1">
        <f t="shared" si="74"/>
        <v>970.87319999999988</v>
      </c>
      <c r="N697" s="1">
        <f t="shared" si="75"/>
        <v>6364.6131999999998</v>
      </c>
      <c r="S697" t="str">
        <f t="shared" si="70"/>
        <v>Punjab</v>
      </c>
      <c r="W697" t="str">
        <f t="shared" si="71"/>
        <v>East</v>
      </c>
      <c r="AB697" t="str">
        <f t="shared" si="76"/>
        <v>PK-PB</v>
      </c>
    </row>
    <row r="698" spans="1:28" x14ac:dyDescent="0.25">
      <c r="A698" s="2">
        <v>45186</v>
      </c>
      <c r="B698" t="s">
        <v>31</v>
      </c>
      <c r="C698" t="s">
        <v>59</v>
      </c>
      <c r="D698" t="s">
        <v>66</v>
      </c>
      <c r="E698" t="s">
        <v>41</v>
      </c>
      <c r="F698" t="s">
        <v>23</v>
      </c>
      <c r="G698" t="s">
        <v>39</v>
      </c>
      <c r="H698">
        <v>6</v>
      </c>
      <c r="I698" s="1">
        <v>4079.26</v>
      </c>
      <c r="J698" s="1">
        <f t="shared" si="72"/>
        <v>22028.004000000001</v>
      </c>
      <c r="K698" s="1">
        <f t="shared" si="73"/>
        <v>2447.556</v>
      </c>
      <c r="L698" s="1">
        <v>24475.56</v>
      </c>
      <c r="M698" s="1">
        <f t="shared" si="74"/>
        <v>4405.6008000000002</v>
      </c>
      <c r="N698" s="1">
        <f t="shared" si="75"/>
        <v>28881.160800000001</v>
      </c>
      <c r="S698" t="str">
        <f t="shared" si="70"/>
        <v>Khyber Pakhtunkhwa</v>
      </c>
      <c r="W698" t="str">
        <f t="shared" si="71"/>
        <v>North</v>
      </c>
      <c r="AB698" t="str">
        <f t="shared" si="76"/>
        <v>Khyber Pakhtunkhwa</v>
      </c>
    </row>
    <row r="699" spans="1:28" x14ac:dyDescent="0.25">
      <c r="A699" s="2">
        <v>44988</v>
      </c>
      <c r="B699" t="s">
        <v>10</v>
      </c>
      <c r="C699" t="s">
        <v>26</v>
      </c>
      <c r="D699" t="s">
        <v>12</v>
      </c>
      <c r="E699" t="s">
        <v>18</v>
      </c>
      <c r="F699" t="s">
        <v>14</v>
      </c>
      <c r="G699" t="s">
        <v>53</v>
      </c>
      <c r="H699">
        <v>12</v>
      </c>
      <c r="I699" s="1">
        <v>3229.61</v>
      </c>
      <c r="J699" s="1">
        <f t="shared" si="72"/>
        <v>34879.788</v>
      </c>
      <c r="K699" s="1">
        <f t="shared" si="73"/>
        <v>3875.5320000000002</v>
      </c>
      <c r="L699" s="1">
        <v>38755.32</v>
      </c>
      <c r="M699" s="1">
        <f t="shared" si="74"/>
        <v>6975.9575999999997</v>
      </c>
      <c r="N699" s="1">
        <f t="shared" si="75"/>
        <v>45731.277600000001</v>
      </c>
      <c r="S699" t="str">
        <f t="shared" si="70"/>
        <v>Sindh</v>
      </c>
      <c r="W699" t="str">
        <f t="shared" si="71"/>
        <v>South</v>
      </c>
      <c r="AB699" t="str">
        <f t="shared" si="76"/>
        <v>PK-SD</v>
      </c>
    </row>
    <row r="700" spans="1:28" x14ac:dyDescent="0.25">
      <c r="A700" s="2">
        <v>45208</v>
      </c>
      <c r="B700" t="s">
        <v>29</v>
      </c>
      <c r="C700" t="s">
        <v>55</v>
      </c>
      <c r="D700" t="s">
        <v>66</v>
      </c>
      <c r="E700" t="s">
        <v>41</v>
      </c>
      <c r="F700" t="s">
        <v>19</v>
      </c>
      <c r="G700" t="s">
        <v>48</v>
      </c>
      <c r="H700">
        <v>16</v>
      </c>
      <c r="I700" s="1">
        <v>1873.12</v>
      </c>
      <c r="J700" s="1">
        <f t="shared" si="72"/>
        <v>26972.928</v>
      </c>
      <c r="K700" s="1">
        <f t="shared" si="73"/>
        <v>2996.9920000000002</v>
      </c>
      <c r="L700" s="1">
        <v>29969.919999999998</v>
      </c>
      <c r="M700" s="1">
        <f t="shared" si="74"/>
        <v>5394.5855999999994</v>
      </c>
      <c r="N700" s="1">
        <f t="shared" si="75"/>
        <v>35364.505599999997</v>
      </c>
      <c r="S700" t="str">
        <f t="shared" si="70"/>
        <v>Khyber Pakhtunkhwa</v>
      </c>
      <c r="W700" t="str">
        <f t="shared" si="71"/>
        <v>North</v>
      </c>
      <c r="AB700" t="str">
        <f t="shared" si="76"/>
        <v>Khyber Pakhtunkhwa</v>
      </c>
    </row>
    <row r="701" spans="1:28" x14ac:dyDescent="0.25">
      <c r="A701" s="2">
        <v>44996</v>
      </c>
      <c r="B701" t="s">
        <v>25</v>
      </c>
      <c r="C701" t="s">
        <v>26</v>
      </c>
      <c r="D701" t="s">
        <v>12</v>
      </c>
      <c r="E701" t="s">
        <v>18</v>
      </c>
      <c r="F701" t="s">
        <v>27</v>
      </c>
      <c r="G701" t="s">
        <v>44</v>
      </c>
      <c r="H701">
        <v>7</v>
      </c>
      <c r="I701" s="1">
        <v>1640.58</v>
      </c>
      <c r="J701" s="1">
        <f t="shared" si="72"/>
        <v>10335.654</v>
      </c>
      <c r="K701" s="1">
        <f t="shared" si="73"/>
        <v>1148.4059999999999</v>
      </c>
      <c r="L701" s="1">
        <v>11484.06</v>
      </c>
      <c r="M701" s="1">
        <f t="shared" si="74"/>
        <v>2067.1307999999999</v>
      </c>
      <c r="N701" s="1">
        <f t="shared" si="75"/>
        <v>13551.1908</v>
      </c>
      <c r="S701" t="str">
        <f t="shared" si="70"/>
        <v>Sindh</v>
      </c>
      <c r="W701" t="str">
        <f t="shared" si="71"/>
        <v>South</v>
      </c>
      <c r="AB701" t="str">
        <f t="shared" si="76"/>
        <v>PK-SD</v>
      </c>
    </row>
    <row r="702" spans="1:28" x14ac:dyDescent="0.25">
      <c r="A702" s="2">
        <v>45015</v>
      </c>
      <c r="B702" t="s">
        <v>10</v>
      </c>
      <c r="C702" t="s">
        <v>11</v>
      </c>
      <c r="D702" t="s">
        <v>22</v>
      </c>
      <c r="E702" t="s">
        <v>13</v>
      </c>
      <c r="F702" t="s">
        <v>32</v>
      </c>
      <c r="G702" t="s">
        <v>36</v>
      </c>
      <c r="H702">
        <v>13</v>
      </c>
      <c r="I702" s="1">
        <v>4843.21</v>
      </c>
      <c r="J702" s="1">
        <f t="shared" si="72"/>
        <v>56665.557000000001</v>
      </c>
      <c r="K702" s="1">
        <f t="shared" si="73"/>
        <v>6296.1730000000007</v>
      </c>
      <c r="L702" s="1">
        <v>62961.73</v>
      </c>
      <c r="M702" s="1">
        <f t="shared" si="74"/>
        <v>11333.1114</v>
      </c>
      <c r="N702" s="1">
        <f t="shared" si="75"/>
        <v>74294.841400000005</v>
      </c>
      <c r="S702" t="str">
        <f t="shared" si="70"/>
        <v>Balochistan</v>
      </c>
      <c r="W702" t="str">
        <f t="shared" si="71"/>
        <v>West</v>
      </c>
      <c r="AB702" t="str">
        <f t="shared" si="76"/>
        <v>PK-BA</v>
      </c>
    </row>
    <row r="703" spans="1:28" x14ac:dyDescent="0.25">
      <c r="A703" s="2">
        <v>45229</v>
      </c>
      <c r="B703" t="s">
        <v>43</v>
      </c>
      <c r="C703" t="s">
        <v>58</v>
      </c>
      <c r="D703" t="s">
        <v>12</v>
      </c>
      <c r="E703" t="s">
        <v>18</v>
      </c>
      <c r="F703" t="s">
        <v>19</v>
      </c>
      <c r="G703" t="s">
        <v>20</v>
      </c>
      <c r="H703">
        <v>13</v>
      </c>
      <c r="I703" s="1">
        <v>1782.01</v>
      </c>
      <c r="J703" s="1">
        <f t="shared" si="72"/>
        <v>20849.517</v>
      </c>
      <c r="K703" s="1">
        <f t="shared" si="73"/>
        <v>2316.6130000000003</v>
      </c>
      <c r="L703" s="1">
        <v>23166.13</v>
      </c>
      <c r="M703" s="1">
        <f t="shared" si="74"/>
        <v>4169.9034000000001</v>
      </c>
      <c r="N703" s="1">
        <f t="shared" si="75"/>
        <v>27336.0334</v>
      </c>
      <c r="S703" t="str">
        <f t="shared" si="70"/>
        <v>Sindh</v>
      </c>
      <c r="W703" t="str">
        <f t="shared" si="71"/>
        <v>South</v>
      </c>
      <c r="AB703" t="str">
        <f t="shared" si="76"/>
        <v>PK-SD</v>
      </c>
    </row>
    <row r="704" spans="1:28" x14ac:dyDescent="0.25">
      <c r="A704" s="2">
        <v>45136</v>
      </c>
      <c r="B704" t="s">
        <v>43</v>
      </c>
      <c r="C704" t="s">
        <v>57</v>
      </c>
      <c r="D704" t="s">
        <v>22</v>
      </c>
      <c r="E704" t="s">
        <v>13</v>
      </c>
      <c r="F704" t="s">
        <v>27</v>
      </c>
      <c r="G704" t="s">
        <v>44</v>
      </c>
      <c r="H704">
        <v>19</v>
      </c>
      <c r="I704" s="1">
        <v>1120.5999999999999</v>
      </c>
      <c r="J704" s="1">
        <f t="shared" si="72"/>
        <v>19162.260000000002</v>
      </c>
      <c r="K704" s="1">
        <f t="shared" si="73"/>
        <v>2129.1400000000003</v>
      </c>
      <c r="L704" s="1">
        <v>21291.4</v>
      </c>
      <c r="M704" s="1">
        <f t="shared" si="74"/>
        <v>3832.4520000000002</v>
      </c>
      <c r="N704" s="1">
        <f t="shared" si="75"/>
        <v>25123.852000000003</v>
      </c>
      <c r="S704" t="str">
        <f t="shared" si="70"/>
        <v>Balochistan</v>
      </c>
      <c r="W704" t="str">
        <f t="shared" si="71"/>
        <v>West</v>
      </c>
      <c r="AB704" t="str">
        <f t="shared" si="76"/>
        <v>PK-BA</v>
      </c>
    </row>
    <row r="705" spans="1:28" x14ac:dyDescent="0.25">
      <c r="A705" s="2">
        <v>44981</v>
      </c>
      <c r="B705" t="s">
        <v>34</v>
      </c>
      <c r="C705" t="s">
        <v>54</v>
      </c>
      <c r="D705" t="s">
        <v>12</v>
      </c>
      <c r="E705" t="s">
        <v>18</v>
      </c>
      <c r="F705" t="s">
        <v>14</v>
      </c>
      <c r="G705" t="s">
        <v>45</v>
      </c>
      <c r="H705">
        <v>2</v>
      </c>
      <c r="I705" s="1">
        <v>1927.02</v>
      </c>
      <c r="J705" s="1">
        <f t="shared" si="72"/>
        <v>3468.636</v>
      </c>
      <c r="K705" s="1">
        <f t="shared" si="73"/>
        <v>385.404</v>
      </c>
      <c r="L705" s="1">
        <v>3854.04</v>
      </c>
      <c r="M705" s="1">
        <f t="shared" si="74"/>
        <v>693.72719999999993</v>
      </c>
      <c r="N705" s="1">
        <f t="shared" si="75"/>
        <v>4547.7672000000002</v>
      </c>
      <c r="S705" t="str">
        <f t="shared" si="70"/>
        <v>Sindh</v>
      </c>
      <c r="W705" t="str">
        <f t="shared" si="71"/>
        <v>South</v>
      </c>
      <c r="AB705" t="str">
        <f t="shared" si="76"/>
        <v>PK-SD</v>
      </c>
    </row>
    <row r="706" spans="1:28" x14ac:dyDescent="0.25">
      <c r="A706" s="2">
        <v>44977</v>
      </c>
      <c r="B706" t="s">
        <v>25</v>
      </c>
      <c r="C706" t="s">
        <v>26</v>
      </c>
      <c r="D706" t="s">
        <v>12</v>
      </c>
      <c r="E706" t="s">
        <v>18</v>
      </c>
      <c r="F706" t="s">
        <v>14</v>
      </c>
      <c r="G706" t="s">
        <v>51</v>
      </c>
      <c r="H706">
        <v>15</v>
      </c>
      <c r="I706" s="1">
        <v>4642.6899999999996</v>
      </c>
      <c r="J706" s="1">
        <f t="shared" si="72"/>
        <v>62676.31500000001</v>
      </c>
      <c r="K706" s="1">
        <f t="shared" si="73"/>
        <v>6964.0350000000008</v>
      </c>
      <c r="L706" s="1">
        <v>69640.350000000006</v>
      </c>
      <c r="M706" s="1">
        <f t="shared" si="74"/>
        <v>12535.263000000001</v>
      </c>
      <c r="N706" s="1">
        <f t="shared" si="75"/>
        <v>82175.613000000012</v>
      </c>
      <c r="S706" t="str">
        <f t="shared" ref="S706:S769" si="77">VLOOKUP(C706,$Q$2:$R$15,2,FALSE)</f>
        <v>Sindh</v>
      </c>
      <c r="W706" t="str">
        <f t="shared" ref="W706:W769" si="78">VLOOKUP(D706,$U$2:$V$5,2,FALSE)</f>
        <v>South</v>
      </c>
      <c r="AB706" t="str">
        <f t="shared" si="76"/>
        <v>PK-SD</v>
      </c>
    </row>
    <row r="707" spans="1:28" x14ac:dyDescent="0.25">
      <c r="A707" s="2">
        <v>45169</v>
      </c>
      <c r="B707" t="s">
        <v>25</v>
      </c>
      <c r="C707" t="s">
        <v>26</v>
      </c>
      <c r="D707" t="s">
        <v>12</v>
      </c>
      <c r="E707" t="s">
        <v>18</v>
      </c>
      <c r="F707" t="s">
        <v>19</v>
      </c>
      <c r="G707" t="s">
        <v>20</v>
      </c>
      <c r="H707">
        <v>19</v>
      </c>
      <c r="I707" s="1">
        <v>3316.87</v>
      </c>
      <c r="J707" s="1">
        <f t="shared" ref="J707:J770" si="79">L707*90%</f>
        <v>56718.476999999999</v>
      </c>
      <c r="K707" s="1">
        <f t="shared" ref="K707:K770" si="80">L707*10%</f>
        <v>6302.0529999999999</v>
      </c>
      <c r="L707" s="1">
        <v>63020.53</v>
      </c>
      <c r="M707" s="1">
        <f t="shared" ref="M707:M770" si="81">L707*18%</f>
        <v>11343.695399999999</v>
      </c>
      <c r="N707" s="1">
        <f t="shared" ref="N707:N770" si="82">L707+M707</f>
        <v>74364.225399999996</v>
      </c>
      <c r="S707" t="str">
        <f t="shared" si="77"/>
        <v>Sindh</v>
      </c>
      <c r="W707" t="str">
        <f t="shared" si="78"/>
        <v>South</v>
      </c>
      <c r="AB707" t="str">
        <f t="shared" ref="AB707:AB770" si="83">VLOOKUP(D707,$Z$2:$AA$5,2,FALSE)</f>
        <v>PK-SD</v>
      </c>
    </row>
    <row r="708" spans="1:28" x14ac:dyDescent="0.25">
      <c r="A708" s="2">
        <v>45142</v>
      </c>
      <c r="B708" t="s">
        <v>16</v>
      </c>
      <c r="C708" t="s">
        <v>60</v>
      </c>
      <c r="D708" t="s">
        <v>12</v>
      </c>
      <c r="E708" t="s">
        <v>18</v>
      </c>
      <c r="F708" t="s">
        <v>19</v>
      </c>
      <c r="G708" t="s">
        <v>52</v>
      </c>
      <c r="H708">
        <v>19</v>
      </c>
      <c r="I708" s="1">
        <v>1372.28</v>
      </c>
      <c r="J708" s="1">
        <f t="shared" si="79"/>
        <v>23465.988000000001</v>
      </c>
      <c r="K708" s="1">
        <f t="shared" si="80"/>
        <v>2607.3320000000003</v>
      </c>
      <c r="L708" s="1">
        <v>26073.32</v>
      </c>
      <c r="M708" s="1">
        <f t="shared" si="81"/>
        <v>4693.1975999999995</v>
      </c>
      <c r="N708" s="1">
        <f t="shared" si="82"/>
        <v>30766.517599999999</v>
      </c>
      <c r="S708" t="str">
        <f t="shared" si="77"/>
        <v>Sindh</v>
      </c>
      <c r="W708" t="str">
        <f t="shared" si="78"/>
        <v>South</v>
      </c>
      <c r="AB708" t="str">
        <f t="shared" si="83"/>
        <v>PK-SD</v>
      </c>
    </row>
    <row r="709" spans="1:28" x14ac:dyDescent="0.25">
      <c r="A709" s="2">
        <v>44932</v>
      </c>
      <c r="B709" t="s">
        <v>25</v>
      </c>
      <c r="C709" t="s">
        <v>54</v>
      </c>
      <c r="D709" t="s">
        <v>12</v>
      </c>
      <c r="E709" t="s">
        <v>18</v>
      </c>
      <c r="F709" t="s">
        <v>19</v>
      </c>
      <c r="G709" t="s">
        <v>52</v>
      </c>
      <c r="H709">
        <v>8</v>
      </c>
      <c r="I709" s="1">
        <v>4786.4799999999996</v>
      </c>
      <c r="J709" s="1">
        <f t="shared" si="79"/>
        <v>34462.655999999995</v>
      </c>
      <c r="K709" s="1">
        <f t="shared" si="80"/>
        <v>3829.1839999999997</v>
      </c>
      <c r="L709" s="1">
        <v>38291.839999999997</v>
      </c>
      <c r="M709" s="1">
        <f t="shared" si="81"/>
        <v>6892.5311999999994</v>
      </c>
      <c r="N709" s="1">
        <f t="shared" si="82"/>
        <v>45184.371199999994</v>
      </c>
      <c r="S709" t="str">
        <f t="shared" si="77"/>
        <v>Sindh</v>
      </c>
      <c r="W709" t="str">
        <f t="shared" si="78"/>
        <v>South</v>
      </c>
      <c r="AB709" t="str">
        <f t="shared" si="83"/>
        <v>PK-SD</v>
      </c>
    </row>
    <row r="710" spans="1:28" x14ac:dyDescent="0.25">
      <c r="A710" s="2">
        <v>44956</v>
      </c>
      <c r="B710" t="s">
        <v>21</v>
      </c>
      <c r="C710" t="s">
        <v>56</v>
      </c>
      <c r="D710" t="s">
        <v>12</v>
      </c>
      <c r="E710" t="s">
        <v>18</v>
      </c>
      <c r="F710" t="s">
        <v>14</v>
      </c>
      <c r="G710" t="s">
        <v>51</v>
      </c>
      <c r="H710">
        <v>18</v>
      </c>
      <c r="I710" s="1">
        <v>620.92999999999995</v>
      </c>
      <c r="J710" s="1">
        <f t="shared" si="79"/>
        <v>10059.066000000001</v>
      </c>
      <c r="K710" s="1">
        <f t="shared" si="80"/>
        <v>1117.674</v>
      </c>
      <c r="L710" s="1">
        <v>11176.74</v>
      </c>
      <c r="M710" s="1">
        <f t="shared" si="81"/>
        <v>2011.8131999999998</v>
      </c>
      <c r="N710" s="1">
        <f t="shared" si="82"/>
        <v>13188.5532</v>
      </c>
      <c r="S710" t="str">
        <f t="shared" si="77"/>
        <v>Sindh</v>
      </c>
      <c r="W710" t="str">
        <f t="shared" si="78"/>
        <v>South</v>
      </c>
      <c r="AB710" t="str">
        <f t="shared" si="83"/>
        <v>PK-SD</v>
      </c>
    </row>
    <row r="711" spans="1:28" x14ac:dyDescent="0.25">
      <c r="A711" s="2">
        <v>45214</v>
      </c>
      <c r="B711" t="s">
        <v>43</v>
      </c>
      <c r="C711" t="s">
        <v>56</v>
      </c>
      <c r="D711" t="s">
        <v>12</v>
      </c>
      <c r="E711" t="s">
        <v>18</v>
      </c>
      <c r="F711" t="s">
        <v>32</v>
      </c>
      <c r="G711" t="s">
        <v>50</v>
      </c>
      <c r="H711">
        <v>4</v>
      </c>
      <c r="I711" s="1">
        <v>1241.21</v>
      </c>
      <c r="J711" s="1">
        <f t="shared" si="79"/>
        <v>4468.3560000000007</v>
      </c>
      <c r="K711" s="1">
        <f t="shared" si="80"/>
        <v>496.48400000000004</v>
      </c>
      <c r="L711" s="1">
        <v>4964.84</v>
      </c>
      <c r="M711" s="1">
        <f t="shared" si="81"/>
        <v>893.6712</v>
      </c>
      <c r="N711" s="1">
        <f t="shared" si="82"/>
        <v>5858.5111999999999</v>
      </c>
      <c r="S711" t="str">
        <f t="shared" si="77"/>
        <v>Sindh</v>
      </c>
      <c r="W711" t="str">
        <f t="shared" si="78"/>
        <v>South</v>
      </c>
      <c r="AB711" t="str">
        <f t="shared" si="83"/>
        <v>PK-SD</v>
      </c>
    </row>
    <row r="712" spans="1:28" x14ac:dyDescent="0.25">
      <c r="A712" s="2">
        <v>45120</v>
      </c>
      <c r="B712" t="s">
        <v>10</v>
      </c>
      <c r="C712" t="s">
        <v>59</v>
      </c>
      <c r="D712" t="s">
        <v>66</v>
      </c>
      <c r="E712" t="s">
        <v>41</v>
      </c>
      <c r="F712" t="s">
        <v>32</v>
      </c>
      <c r="G712" t="s">
        <v>50</v>
      </c>
      <c r="H712">
        <v>10</v>
      </c>
      <c r="I712" s="1">
        <v>1823.34</v>
      </c>
      <c r="J712" s="1">
        <f t="shared" si="79"/>
        <v>16410.060000000001</v>
      </c>
      <c r="K712" s="1">
        <f t="shared" si="80"/>
        <v>1823.3400000000001</v>
      </c>
      <c r="L712" s="1">
        <v>18233.400000000001</v>
      </c>
      <c r="M712" s="1">
        <f t="shared" si="81"/>
        <v>3282.0120000000002</v>
      </c>
      <c r="N712" s="1">
        <f t="shared" si="82"/>
        <v>21515.412</v>
      </c>
      <c r="S712" t="str">
        <f t="shared" si="77"/>
        <v>Khyber Pakhtunkhwa</v>
      </c>
      <c r="W712" t="str">
        <f t="shared" si="78"/>
        <v>North</v>
      </c>
      <c r="AB712" t="str">
        <f t="shared" si="83"/>
        <v>Khyber Pakhtunkhwa</v>
      </c>
    </row>
    <row r="713" spans="1:28" x14ac:dyDescent="0.25">
      <c r="A713" s="2">
        <v>45146</v>
      </c>
      <c r="B713" t="s">
        <v>40</v>
      </c>
      <c r="C713" t="s">
        <v>59</v>
      </c>
      <c r="D713" t="s">
        <v>66</v>
      </c>
      <c r="E713" t="s">
        <v>41</v>
      </c>
      <c r="F713" t="s">
        <v>23</v>
      </c>
      <c r="G713" t="s">
        <v>37</v>
      </c>
      <c r="H713">
        <v>10</v>
      </c>
      <c r="I713" s="1">
        <v>4304.71</v>
      </c>
      <c r="J713" s="1">
        <f t="shared" si="79"/>
        <v>38742.39</v>
      </c>
      <c r="K713" s="1">
        <f t="shared" si="80"/>
        <v>4304.71</v>
      </c>
      <c r="L713" s="1">
        <v>43047.1</v>
      </c>
      <c r="M713" s="1">
        <f t="shared" si="81"/>
        <v>7748.4779999999992</v>
      </c>
      <c r="N713" s="1">
        <f t="shared" si="82"/>
        <v>50795.577999999994</v>
      </c>
      <c r="S713" t="str">
        <f t="shared" si="77"/>
        <v>Khyber Pakhtunkhwa</v>
      </c>
      <c r="W713" t="str">
        <f t="shared" si="78"/>
        <v>North</v>
      </c>
      <c r="AB713" t="str">
        <f t="shared" si="83"/>
        <v>Khyber Pakhtunkhwa</v>
      </c>
    </row>
    <row r="714" spans="1:28" x14ac:dyDescent="0.25">
      <c r="A714" s="2">
        <v>45193</v>
      </c>
      <c r="B714" t="s">
        <v>43</v>
      </c>
      <c r="C714" t="s">
        <v>17</v>
      </c>
      <c r="D714" t="s">
        <v>65</v>
      </c>
      <c r="E714" t="s">
        <v>64</v>
      </c>
      <c r="F714" t="s">
        <v>27</v>
      </c>
      <c r="G714" t="s">
        <v>44</v>
      </c>
      <c r="H714">
        <v>11</v>
      </c>
      <c r="I714" s="1">
        <v>4446.37</v>
      </c>
      <c r="J714" s="1">
        <f t="shared" si="79"/>
        <v>44019.063000000002</v>
      </c>
      <c r="K714" s="1">
        <f t="shared" si="80"/>
        <v>4891.0070000000005</v>
      </c>
      <c r="L714" s="1">
        <v>48910.07</v>
      </c>
      <c r="M714" s="1">
        <f t="shared" si="81"/>
        <v>8803.8125999999993</v>
      </c>
      <c r="N714" s="1">
        <f t="shared" si="82"/>
        <v>57713.882599999997</v>
      </c>
      <c r="S714" t="str">
        <f t="shared" si="77"/>
        <v>Punjab</v>
      </c>
      <c r="W714" t="str">
        <f t="shared" si="78"/>
        <v>East</v>
      </c>
      <c r="AB714" t="str">
        <f t="shared" si="83"/>
        <v>PK-PB</v>
      </c>
    </row>
    <row r="715" spans="1:28" x14ac:dyDescent="0.25">
      <c r="A715" s="2">
        <v>45227</v>
      </c>
      <c r="B715" t="s">
        <v>21</v>
      </c>
      <c r="C715" t="s">
        <v>26</v>
      </c>
      <c r="D715" t="s">
        <v>12</v>
      </c>
      <c r="E715" t="s">
        <v>18</v>
      </c>
      <c r="F715" t="s">
        <v>27</v>
      </c>
      <c r="G715" t="s">
        <v>28</v>
      </c>
      <c r="H715">
        <v>8</v>
      </c>
      <c r="I715" s="1">
        <v>465.32</v>
      </c>
      <c r="J715" s="1">
        <f t="shared" si="79"/>
        <v>3350.3040000000001</v>
      </c>
      <c r="K715" s="1">
        <f t="shared" si="80"/>
        <v>372.25600000000003</v>
      </c>
      <c r="L715" s="1">
        <v>3722.56</v>
      </c>
      <c r="M715" s="1">
        <f t="shared" si="81"/>
        <v>670.06079999999997</v>
      </c>
      <c r="N715" s="1">
        <f t="shared" si="82"/>
        <v>4392.6207999999997</v>
      </c>
      <c r="S715" t="str">
        <f t="shared" si="77"/>
        <v>Sindh</v>
      </c>
      <c r="W715" t="str">
        <f t="shared" si="78"/>
        <v>South</v>
      </c>
      <c r="AB715" t="str">
        <f t="shared" si="83"/>
        <v>PK-SD</v>
      </c>
    </row>
    <row r="716" spans="1:28" x14ac:dyDescent="0.25">
      <c r="A716" s="2">
        <v>45221</v>
      </c>
      <c r="B716" t="s">
        <v>31</v>
      </c>
      <c r="C716" t="s">
        <v>55</v>
      </c>
      <c r="D716" t="s">
        <v>66</v>
      </c>
      <c r="E716" t="s">
        <v>41</v>
      </c>
      <c r="F716" t="s">
        <v>19</v>
      </c>
      <c r="G716" t="s">
        <v>48</v>
      </c>
      <c r="H716">
        <v>1</v>
      </c>
      <c r="I716" s="1">
        <v>3431.7</v>
      </c>
      <c r="J716" s="1">
        <f t="shared" si="79"/>
        <v>3088.5299999999997</v>
      </c>
      <c r="K716" s="1">
        <f t="shared" si="80"/>
        <v>343.17</v>
      </c>
      <c r="L716" s="1">
        <v>3431.7</v>
      </c>
      <c r="M716" s="1">
        <f t="shared" si="81"/>
        <v>617.7059999999999</v>
      </c>
      <c r="N716" s="1">
        <f t="shared" si="82"/>
        <v>4049.4059999999999</v>
      </c>
      <c r="S716" t="str">
        <f t="shared" si="77"/>
        <v>Khyber Pakhtunkhwa</v>
      </c>
      <c r="W716" t="str">
        <f t="shared" si="78"/>
        <v>North</v>
      </c>
      <c r="AB716" t="str">
        <f t="shared" si="83"/>
        <v>Khyber Pakhtunkhwa</v>
      </c>
    </row>
    <row r="717" spans="1:28" x14ac:dyDescent="0.25">
      <c r="A717" s="2">
        <v>45198</v>
      </c>
      <c r="B717" t="s">
        <v>25</v>
      </c>
      <c r="C717" t="s">
        <v>26</v>
      </c>
      <c r="D717" t="s">
        <v>12</v>
      </c>
      <c r="E717" t="s">
        <v>18</v>
      </c>
      <c r="F717" t="s">
        <v>14</v>
      </c>
      <c r="G717" t="s">
        <v>51</v>
      </c>
      <c r="H717">
        <v>20</v>
      </c>
      <c r="I717" s="1">
        <v>1365.33</v>
      </c>
      <c r="J717" s="1">
        <f t="shared" si="79"/>
        <v>24575.94</v>
      </c>
      <c r="K717" s="1">
        <f t="shared" si="80"/>
        <v>2730.66</v>
      </c>
      <c r="L717" s="1">
        <v>27306.6</v>
      </c>
      <c r="M717" s="1">
        <f t="shared" si="81"/>
        <v>4915.1879999999992</v>
      </c>
      <c r="N717" s="1">
        <f t="shared" si="82"/>
        <v>32221.787999999997</v>
      </c>
      <c r="S717" t="str">
        <f t="shared" si="77"/>
        <v>Sindh</v>
      </c>
      <c r="W717" t="str">
        <f t="shared" si="78"/>
        <v>South</v>
      </c>
      <c r="AB717" t="str">
        <f t="shared" si="83"/>
        <v>PK-SD</v>
      </c>
    </row>
    <row r="718" spans="1:28" x14ac:dyDescent="0.25">
      <c r="A718" s="2">
        <v>45276</v>
      </c>
      <c r="B718" t="s">
        <v>21</v>
      </c>
      <c r="C718" t="s">
        <v>17</v>
      </c>
      <c r="D718" t="s">
        <v>65</v>
      </c>
      <c r="E718" t="s">
        <v>64</v>
      </c>
      <c r="F718" t="s">
        <v>32</v>
      </c>
      <c r="G718" t="s">
        <v>33</v>
      </c>
      <c r="H718">
        <v>14</v>
      </c>
      <c r="I718" s="1">
        <v>2343.4</v>
      </c>
      <c r="J718" s="1">
        <f t="shared" si="79"/>
        <v>29526.84</v>
      </c>
      <c r="K718" s="1">
        <f t="shared" si="80"/>
        <v>3280.76</v>
      </c>
      <c r="L718" s="1">
        <v>32807.599999999999</v>
      </c>
      <c r="M718" s="1">
        <f t="shared" si="81"/>
        <v>5905.3679999999995</v>
      </c>
      <c r="N718" s="1">
        <f t="shared" si="82"/>
        <v>38712.968000000001</v>
      </c>
      <c r="S718" t="str">
        <f t="shared" si="77"/>
        <v>Punjab</v>
      </c>
      <c r="W718" t="str">
        <f t="shared" si="78"/>
        <v>East</v>
      </c>
      <c r="AB718" t="str">
        <f t="shared" si="83"/>
        <v>PK-PB</v>
      </c>
    </row>
    <row r="719" spans="1:28" x14ac:dyDescent="0.25">
      <c r="A719" s="2">
        <v>44932</v>
      </c>
      <c r="B719" t="s">
        <v>38</v>
      </c>
      <c r="C719" t="s">
        <v>35</v>
      </c>
      <c r="D719" t="s">
        <v>65</v>
      </c>
      <c r="E719" t="s">
        <v>64</v>
      </c>
      <c r="F719" t="s">
        <v>32</v>
      </c>
      <c r="G719" t="s">
        <v>36</v>
      </c>
      <c r="H719">
        <v>15</v>
      </c>
      <c r="I719" s="1">
        <v>447.71</v>
      </c>
      <c r="J719" s="1">
        <f t="shared" si="79"/>
        <v>6044.085</v>
      </c>
      <c r="K719" s="1">
        <f t="shared" si="80"/>
        <v>671.56500000000005</v>
      </c>
      <c r="L719" s="1">
        <v>6715.65</v>
      </c>
      <c r="M719" s="1">
        <f t="shared" si="81"/>
        <v>1208.8169999999998</v>
      </c>
      <c r="N719" s="1">
        <f t="shared" si="82"/>
        <v>7924.4669999999996</v>
      </c>
      <c r="S719" t="str">
        <f t="shared" si="77"/>
        <v>Punjab</v>
      </c>
      <c r="W719" t="str">
        <f t="shared" si="78"/>
        <v>East</v>
      </c>
      <c r="AB719" t="str">
        <f t="shared" si="83"/>
        <v>PK-PB</v>
      </c>
    </row>
    <row r="720" spans="1:28" x14ac:dyDescent="0.25">
      <c r="A720" s="2">
        <v>44931</v>
      </c>
      <c r="B720" t="s">
        <v>38</v>
      </c>
      <c r="C720" t="s">
        <v>63</v>
      </c>
      <c r="D720" t="s">
        <v>65</v>
      </c>
      <c r="E720" t="s">
        <v>64</v>
      </c>
      <c r="F720" t="s">
        <v>27</v>
      </c>
      <c r="G720" t="s">
        <v>46</v>
      </c>
      <c r="H720">
        <v>3</v>
      </c>
      <c r="I720" s="1">
        <v>2393.7199999999998</v>
      </c>
      <c r="J720" s="1">
        <f t="shared" si="79"/>
        <v>6463.0439999999999</v>
      </c>
      <c r="K720" s="1">
        <f t="shared" si="80"/>
        <v>718.11599999999999</v>
      </c>
      <c r="L720" s="1">
        <v>7181.16</v>
      </c>
      <c r="M720" s="1">
        <f t="shared" si="81"/>
        <v>1292.6088</v>
      </c>
      <c r="N720" s="1">
        <f t="shared" si="82"/>
        <v>8473.7687999999998</v>
      </c>
      <c r="S720" t="str">
        <f t="shared" si="77"/>
        <v>Punjab</v>
      </c>
      <c r="W720" t="str">
        <f t="shared" si="78"/>
        <v>East</v>
      </c>
      <c r="AB720" t="str">
        <f t="shared" si="83"/>
        <v>PK-PB</v>
      </c>
    </row>
    <row r="721" spans="1:28" x14ac:dyDescent="0.25">
      <c r="A721" s="2">
        <v>45257</v>
      </c>
      <c r="B721" t="s">
        <v>43</v>
      </c>
      <c r="C721" t="s">
        <v>58</v>
      </c>
      <c r="D721" t="s">
        <v>12</v>
      </c>
      <c r="E721" t="s">
        <v>18</v>
      </c>
      <c r="F721" t="s">
        <v>23</v>
      </c>
      <c r="G721" t="s">
        <v>37</v>
      </c>
      <c r="H721">
        <v>20</v>
      </c>
      <c r="I721" s="1">
        <v>138.6</v>
      </c>
      <c r="J721" s="1">
        <f t="shared" si="79"/>
        <v>2494.8000000000002</v>
      </c>
      <c r="K721" s="1">
        <f t="shared" si="80"/>
        <v>277.2</v>
      </c>
      <c r="L721" s="1">
        <v>2772</v>
      </c>
      <c r="M721" s="1">
        <f t="shared" si="81"/>
        <v>498.96</v>
      </c>
      <c r="N721" s="1">
        <f t="shared" si="82"/>
        <v>3270.96</v>
      </c>
      <c r="S721" t="str">
        <f t="shared" si="77"/>
        <v>Sindh</v>
      </c>
      <c r="W721" t="str">
        <f t="shared" si="78"/>
        <v>South</v>
      </c>
      <c r="AB721" t="str">
        <f t="shared" si="83"/>
        <v>PK-SD</v>
      </c>
    </row>
    <row r="722" spans="1:28" x14ac:dyDescent="0.25">
      <c r="A722" s="2">
        <v>45291</v>
      </c>
      <c r="B722" t="s">
        <v>34</v>
      </c>
      <c r="C722" t="s">
        <v>26</v>
      </c>
      <c r="D722" t="s">
        <v>12</v>
      </c>
      <c r="E722" t="s">
        <v>18</v>
      </c>
      <c r="F722" t="s">
        <v>27</v>
      </c>
      <c r="G722" t="s">
        <v>28</v>
      </c>
      <c r="H722">
        <v>6</v>
      </c>
      <c r="I722" s="1">
        <v>3119.62</v>
      </c>
      <c r="J722" s="1">
        <f t="shared" si="79"/>
        <v>16845.948</v>
      </c>
      <c r="K722" s="1">
        <f t="shared" si="80"/>
        <v>1871.7720000000002</v>
      </c>
      <c r="L722" s="1">
        <v>18717.72</v>
      </c>
      <c r="M722" s="1">
        <f t="shared" si="81"/>
        <v>3369.1896000000002</v>
      </c>
      <c r="N722" s="1">
        <f t="shared" si="82"/>
        <v>22086.909600000003</v>
      </c>
      <c r="S722" t="str">
        <f t="shared" si="77"/>
        <v>Sindh</v>
      </c>
      <c r="W722" t="str">
        <f t="shared" si="78"/>
        <v>South</v>
      </c>
      <c r="AB722" t="str">
        <f t="shared" si="83"/>
        <v>PK-SD</v>
      </c>
    </row>
    <row r="723" spans="1:28" x14ac:dyDescent="0.25">
      <c r="A723" s="2">
        <v>45189</v>
      </c>
      <c r="B723" t="s">
        <v>29</v>
      </c>
      <c r="C723" t="s">
        <v>56</v>
      </c>
      <c r="D723" t="s">
        <v>12</v>
      </c>
      <c r="E723" t="s">
        <v>18</v>
      </c>
      <c r="F723" t="s">
        <v>32</v>
      </c>
      <c r="G723" t="s">
        <v>50</v>
      </c>
      <c r="H723">
        <v>1</v>
      </c>
      <c r="I723" s="1">
        <v>4175.7</v>
      </c>
      <c r="J723" s="1">
        <f t="shared" si="79"/>
        <v>3758.13</v>
      </c>
      <c r="K723" s="1">
        <f t="shared" si="80"/>
        <v>417.57</v>
      </c>
      <c r="L723" s="1">
        <v>4175.7</v>
      </c>
      <c r="M723" s="1">
        <f t="shared" si="81"/>
        <v>751.62599999999998</v>
      </c>
      <c r="N723" s="1">
        <f t="shared" si="82"/>
        <v>4927.326</v>
      </c>
      <c r="S723" t="str">
        <f t="shared" si="77"/>
        <v>Sindh</v>
      </c>
      <c r="W723" t="str">
        <f t="shared" si="78"/>
        <v>South</v>
      </c>
      <c r="AB723" t="str">
        <f t="shared" si="83"/>
        <v>PK-SD</v>
      </c>
    </row>
    <row r="724" spans="1:28" x14ac:dyDescent="0.25">
      <c r="A724" s="2">
        <v>45283</v>
      </c>
      <c r="B724" t="s">
        <v>40</v>
      </c>
      <c r="C724" t="s">
        <v>61</v>
      </c>
      <c r="D724" t="s">
        <v>65</v>
      </c>
      <c r="E724" t="s">
        <v>64</v>
      </c>
      <c r="F724" t="s">
        <v>19</v>
      </c>
      <c r="G724" t="s">
        <v>48</v>
      </c>
      <c r="H724">
        <v>17</v>
      </c>
      <c r="I724" s="1">
        <v>2655.23</v>
      </c>
      <c r="J724" s="1">
        <f t="shared" si="79"/>
        <v>40625.019000000008</v>
      </c>
      <c r="K724" s="1">
        <f t="shared" si="80"/>
        <v>4513.8910000000005</v>
      </c>
      <c r="L724" s="1">
        <v>45138.91</v>
      </c>
      <c r="M724" s="1">
        <f t="shared" si="81"/>
        <v>8125.0038000000004</v>
      </c>
      <c r="N724" s="1">
        <f t="shared" si="82"/>
        <v>53263.913800000002</v>
      </c>
      <c r="S724" t="str">
        <f t="shared" si="77"/>
        <v>Punjab</v>
      </c>
      <c r="W724" t="str">
        <f t="shared" si="78"/>
        <v>East</v>
      </c>
      <c r="AB724" t="str">
        <f t="shared" si="83"/>
        <v>PK-PB</v>
      </c>
    </row>
    <row r="725" spans="1:28" x14ac:dyDescent="0.25">
      <c r="A725" s="2">
        <v>45201</v>
      </c>
      <c r="B725" t="s">
        <v>38</v>
      </c>
      <c r="C725" t="s">
        <v>26</v>
      </c>
      <c r="D725" t="s">
        <v>12</v>
      </c>
      <c r="E725" t="s">
        <v>18</v>
      </c>
      <c r="F725" t="s">
        <v>27</v>
      </c>
      <c r="G725" t="s">
        <v>46</v>
      </c>
      <c r="H725">
        <v>14</v>
      </c>
      <c r="I725" s="1">
        <v>4235.22</v>
      </c>
      <c r="J725" s="1">
        <f t="shared" si="79"/>
        <v>53363.772000000004</v>
      </c>
      <c r="K725" s="1">
        <f t="shared" si="80"/>
        <v>5929.3080000000009</v>
      </c>
      <c r="L725" s="1">
        <v>59293.08</v>
      </c>
      <c r="M725" s="1">
        <f t="shared" si="81"/>
        <v>10672.7544</v>
      </c>
      <c r="N725" s="1">
        <f t="shared" si="82"/>
        <v>69965.834400000007</v>
      </c>
      <c r="S725" t="str">
        <f t="shared" si="77"/>
        <v>Sindh</v>
      </c>
      <c r="W725" t="str">
        <f t="shared" si="78"/>
        <v>South</v>
      </c>
      <c r="AB725" t="str">
        <f t="shared" si="83"/>
        <v>PK-SD</v>
      </c>
    </row>
    <row r="726" spans="1:28" x14ac:dyDescent="0.25">
      <c r="A726" s="2">
        <v>45071</v>
      </c>
      <c r="B726" t="s">
        <v>10</v>
      </c>
      <c r="C726" t="s">
        <v>58</v>
      </c>
      <c r="D726" t="s">
        <v>12</v>
      </c>
      <c r="E726" t="s">
        <v>18</v>
      </c>
      <c r="F726" t="s">
        <v>19</v>
      </c>
      <c r="G726" t="s">
        <v>48</v>
      </c>
      <c r="H726">
        <v>20</v>
      </c>
      <c r="I726" s="1">
        <v>3393.01</v>
      </c>
      <c r="J726" s="1">
        <f t="shared" si="79"/>
        <v>61074.18</v>
      </c>
      <c r="K726" s="1">
        <f t="shared" si="80"/>
        <v>6786.02</v>
      </c>
      <c r="L726" s="1">
        <v>67860.2</v>
      </c>
      <c r="M726" s="1">
        <f t="shared" si="81"/>
        <v>12214.835999999999</v>
      </c>
      <c r="N726" s="1">
        <f t="shared" si="82"/>
        <v>80075.035999999993</v>
      </c>
      <c r="S726" t="str">
        <f t="shared" si="77"/>
        <v>Sindh</v>
      </c>
      <c r="W726" t="str">
        <f t="shared" si="78"/>
        <v>South</v>
      </c>
      <c r="AB726" t="str">
        <f t="shared" si="83"/>
        <v>PK-SD</v>
      </c>
    </row>
    <row r="727" spans="1:28" x14ac:dyDescent="0.25">
      <c r="A727" s="2">
        <v>45018</v>
      </c>
      <c r="B727" t="s">
        <v>38</v>
      </c>
      <c r="C727" t="s">
        <v>57</v>
      </c>
      <c r="D727" t="s">
        <v>22</v>
      </c>
      <c r="E727" t="s">
        <v>13</v>
      </c>
      <c r="F727" t="s">
        <v>32</v>
      </c>
      <c r="G727" t="s">
        <v>33</v>
      </c>
      <c r="H727">
        <v>14</v>
      </c>
      <c r="I727" s="1">
        <v>1247.48</v>
      </c>
      <c r="J727" s="1">
        <f t="shared" si="79"/>
        <v>15718.248000000001</v>
      </c>
      <c r="K727" s="1">
        <f t="shared" si="80"/>
        <v>1746.4720000000002</v>
      </c>
      <c r="L727" s="1">
        <v>17464.72</v>
      </c>
      <c r="M727" s="1">
        <f t="shared" si="81"/>
        <v>3143.6496000000002</v>
      </c>
      <c r="N727" s="1">
        <f t="shared" si="82"/>
        <v>20608.369600000002</v>
      </c>
      <c r="S727" t="str">
        <f t="shared" si="77"/>
        <v>Balochistan</v>
      </c>
      <c r="W727" t="str">
        <f t="shared" si="78"/>
        <v>West</v>
      </c>
      <c r="AB727" t="str">
        <f t="shared" si="83"/>
        <v>PK-BA</v>
      </c>
    </row>
    <row r="728" spans="1:28" x14ac:dyDescent="0.25">
      <c r="A728" s="2">
        <v>45143</v>
      </c>
      <c r="B728" t="s">
        <v>40</v>
      </c>
      <c r="C728" t="s">
        <v>35</v>
      </c>
      <c r="D728" t="s">
        <v>65</v>
      </c>
      <c r="E728" t="s">
        <v>64</v>
      </c>
      <c r="F728" t="s">
        <v>23</v>
      </c>
      <c r="G728" t="s">
        <v>24</v>
      </c>
      <c r="H728">
        <v>20</v>
      </c>
      <c r="I728" s="1">
        <v>4428.59</v>
      </c>
      <c r="J728" s="1">
        <f t="shared" si="79"/>
        <v>79714.62000000001</v>
      </c>
      <c r="K728" s="1">
        <f t="shared" si="80"/>
        <v>8857.18</v>
      </c>
      <c r="L728" s="1">
        <v>88571.8</v>
      </c>
      <c r="M728" s="1">
        <f t="shared" si="81"/>
        <v>15942.923999999999</v>
      </c>
      <c r="N728" s="1">
        <f t="shared" si="82"/>
        <v>104514.724</v>
      </c>
      <c r="S728" t="str">
        <f t="shared" si="77"/>
        <v>Punjab</v>
      </c>
      <c r="W728" t="str">
        <f t="shared" si="78"/>
        <v>East</v>
      </c>
      <c r="AB728" t="str">
        <f t="shared" si="83"/>
        <v>PK-PB</v>
      </c>
    </row>
    <row r="729" spans="1:28" x14ac:dyDescent="0.25">
      <c r="A729" s="2">
        <v>45265</v>
      </c>
      <c r="B729" t="s">
        <v>29</v>
      </c>
      <c r="C729" t="s">
        <v>56</v>
      </c>
      <c r="D729" t="s">
        <v>12</v>
      </c>
      <c r="E729" t="s">
        <v>18</v>
      </c>
      <c r="F729" t="s">
        <v>19</v>
      </c>
      <c r="G729" t="s">
        <v>20</v>
      </c>
      <c r="H729">
        <v>9</v>
      </c>
      <c r="I729" s="1">
        <v>2251.19</v>
      </c>
      <c r="J729" s="1">
        <f t="shared" si="79"/>
        <v>18234.638999999999</v>
      </c>
      <c r="K729" s="1">
        <f t="shared" si="80"/>
        <v>2026.0709999999999</v>
      </c>
      <c r="L729" s="1">
        <v>20260.71</v>
      </c>
      <c r="M729" s="1">
        <f t="shared" si="81"/>
        <v>3646.9277999999999</v>
      </c>
      <c r="N729" s="1">
        <f t="shared" si="82"/>
        <v>23907.6378</v>
      </c>
      <c r="S729" t="str">
        <f t="shared" si="77"/>
        <v>Sindh</v>
      </c>
      <c r="W729" t="str">
        <f t="shared" si="78"/>
        <v>South</v>
      </c>
      <c r="AB729" t="str">
        <f t="shared" si="83"/>
        <v>PK-SD</v>
      </c>
    </row>
    <row r="730" spans="1:28" x14ac:dyDescent="0.25">
      <c r="A730" s="2">
        <v>45001</v>
      </c>
      <c r="B730" t="s">
        <v>21</v>
      </c>
      <c r="C730" t="s">
        <v>17</v>
      </c>
      <c r="D730" t="s">
        <v>65</v>
      </c>
      <c r="E730" t="s">
        <v>64</v>
      </c>
      <c r="F730" t="s">
        <v>32</v>
      </c>
      <c r="G730" t="s">
        <v>49</v>
      </c>
      <c r="H730">
        <v>19</v>
      </c>
      <c r="I730" s="1">
        <v>2240.89</v>
      </c>
      <c r="J730" s="1">
        <f t="shared" si="79"/>
        <v>38319.219000000005</v>
      </c>
      <c r="K730" s="1">
        <f t="shared" si="80"/>
        <v>4257.6910000000007</v>
      </c>
      <c r="L730" s="1">
        <v>42576.91</v>
      </c>
      <c r="M730" s="1">
        <f t="shared" si="81"/>
        <v>7663.8438000000006</v>
      </c>
      <c r="N730" s="1">
        <f t="shared" si="82"/>
        <v>50240.753800000006</v>
      </c>
      <c r="S730" t="str">
        <f t="shared" si="77"/>
        <v>Punjab</v>
      </c>
      <c r="W730" t="str">
        <f t="shared" si="78"/>
        <v>East</v>
      </c>
      <c r="AB730" t="str">
        <f t="shared" si="83"/>
        <v>PK-PB</v>
      </c>
    </row>
    <row r="731" spans="1:28" x14ac:dyDescent="0.25">
      <c r="A731" s="2">
        <v>45206</v>
      </c>
      <c r="B731" t="s">
        <v>31</v>
      </c>
      <c r="C731" t="s">
        <v>58</v>
      </c>
      <c r="D731" t="s">
        <v>12</v>
      </c>
      <c r="E731" t="s">
        <v>18</v>
      </c>
      <c r="F731" t="s">
        <v>14</v>
      </c>
      <c r="G731" t="s">
        <v>51</v>
      </c>
      <c r="H731">
        <v>19</v>
      </c>
      <c r="I731" s="1">
        <v>4089.21</v>
      </c>
      <c r="J731" s="1">
        <f t="shared" si="79"/>
        <v>69925.491000000009</v>
      </c>
      <c r="K731" s="1">
        <f t="shared" si="80"/>
        <v>7769.4990000000007</v>
      </c>
      <c r="L731" s="1">
        <v>77694.990000000005</v>
      </c>
      <c r="M731" s="1">
        <f t="shared" si="81"/>
        <v>13985.0982</v>
      </c>
      <c r="N731" s="1">
        <f t="shared" si="82"/>
        <v>91680.088199999998</v>
      </c>
      <c r="S731" t="str">
        <f t="shared" si="77"/>
        <v>Sindh</v>
      </c>
      <c r="W731" t="str">
        <f t="shared" si="78"/>
        <v>South</v>
      </c>
      <c r="AB731" t="str">
        <f t="shared" si="83"/>
        <v>PK-SD</v>
      </c>
    </row>
    <row r="732" spans="1:28" x14ac:dyDescent="0.25">
      <c r="A732" s="2">
        <v>45255</v>
      </c>
      <c r="B732" t="s">
        <v>38</v>
      </c>
      <c r="C732" t="s">
        <v>17</v>
      </c>
      <c r="D732" t="s">
        <v>65</v>
      </c>
      <c r="E732" t="s">
        <v>64</v>
      </c>
      <c r="F732" t="s">
        <v>27</v>
      </c>
      <c r="G732" t="s">
        <v>42</v>
      </c>
      <c r="H732">
        <v>6</v>
      </c>
      <c r="I732" s="1">
        <v>4286.28</v>
      </c>
      <c r="J732" s="1">
        <f t="shared" si="79"/>
        <v>23145.912</v>
      </c>
      <c r="K732" s="1">
        <f t="shared" si="80"/>
        <v>2571.768</v>
      </c>
      <c r="L732" s="1">
        <v>25717.68</v>
      </c>
      <c r="M732" s="1">
        <f t="shared" si="81"/>
        <v>4629.1823999999997</v>
      </c>
      <c r="N732" s="1">
        <f t="shared" si="82"/>
        <v>30346.862399999998</v>
      </c>
      <c r="S732" t="str">
        <f t="shared" si="77"/>
        <v>Punjab</v>
      </c>
      <c r="W732" t="str">
        <f t="shared" si="78"/>
        <v>East</v>
      </c>
      <c r="AB732" t="str">
        <f t="shared" si="83"/>
        <v>PK-PB</v>
      </c>
    </row>
    <row r="733" spans="1:28" x14ac:dyDescent="0.25">
      <c r="A733" s="2">
        <v>45076</v>
      </c>
      <c r="B733" t="s">
        <v>25</v>
      </c>
      <c r="C733" t="s">
        <v>55</v>
      </c>
      <c r="D733" t="s">
        <v>66</v>
      </c>
      <c r="E733" t="s">
        <v>41</v>
      </c>
      <c r="F733" t="s">
        <v>32</v>
      </c>
      <c r="G733" t="s">
        <v>36</v>
      </c>
      <c r="H733">
        <v>20</v>
      </c>
      <c r="I733" s="1">
        <v>1316.67</v>
      </c>
      <c r="J733" s="1">
        <f t="shared" si="79"/>
        <v>23700.06</v>
      </c>
      <c r="K733" s="1">
        <f t="shared" si="80"/>
        <v>2633.34</v>
      </c>
      <c r="L733" s="1">
        <v>26333.4</v>
      </c>
      <c r="M733" s="1">
        <f t="shared" si="81"/>
        <v>4740.0119999999997</v>
      </c>
      <c r="N733" s="1">
        <f t="shared" si="82"/>
        <v>31073.412</v>
      </c>
      <c r="S733" t="str">
        <f t="shared" si="77"/>
        <v>Khyber Pakhtunkhwa</v>
      </c>
      <c r="W733" t="str">
        <f t="shared" si="78"/>
        <v>North</v>
      </c>
      <c r="AB733" t="str">
        <f t="shared" si="83"/>
        <v>Khyber Pakhtunkhwa</v>
      </c>
    </row>
    <row r="734" spans="1:28" x14ac:dyDescent="0.25">
      <c r="A734" s="2">
        <v>44941</v>
      </c>
      <c r="B734" t="s">
        <v>38</v>
      </c>
      <c r="C734" t="s">
        <v>60</v>
      </c>
      <c r="D734" t="s">
        <v>12</v>
      </c>
      <c r="E734" t="s">
        <v>18</v>
      </c>
      <c r="F734" t="s">
        <v>23</v>
      </c>
      <c r="G734" t="s">
        <v>47</v>
      </c>
      <c r="H734">
        <v>17</v>
      </c>
      <c r="I734" s="1">
        <v>3145.73</v>
      </c>
      <c r="J734" s="1">
        <f t="shared" si="79"/>
        <v>48129.669000000002</v>
      </c>
      <c r="K734" s="1">
        <f t="shared" si="80"/>
        <v>5347.7410000000009</v>
      </c>
      <c r="L734" s="1">
        <v>53477.41</v>
      </c>
      <c r="M734" s="1">
        <f t="shared" si="81"/>
        <v>9625.9338000000007</v>
      </c>
      <c r="N734" s="1">
        <f t="shared" si="82"/>
        <v>63103.343800000002</v>
      </c>
      <c r="S734" t="str">
        <f t="shared" si="77"/>
        <v>Sindh</v>
      </c>
      <c r="W734" t="str">
        <f t="shared" si="78"/>
        <v>South</v>
      </c>
      <c r="AB734" t="str">
        <f t="shared" si="83"/>
        <v>PK-SD</v>
      </c>
    </row>
    <row r="735" spans="1:28" x14ac:dyDescent="0.25">
      <c r="A735" s="2">
        <v>45187</v>
      </c>
      <c r="B735" t="s">
        <v>38</v>
      </c>
      <c r="C735" t="s">
        <v>59</v>
      </c>
      <c r="D735" t="s">
        <v>66</v>
      </c>
      <c r="E735" t="s">
        <v>41</v>
      </c>
      <c r="F735" t="s">
        <v>23</v>
      </c>
      <c r="G735" t="s">
        <v>37</v>
      </c>
      <c r="H735">
        <v>10</v>
      </c>
      <c r="I735" s="1">
        <v>2523.59</v>
      </c>
      <c r="J735" s="1">
        <f t="shared" si="79"/>
        <v>22712.31</v>
      </c>
      <c r="K735" s="1">
        <f t="shared" si="80"/>
        <v>2523.59</v>
      </c>
      <c r="L735" s="1">
        <v>25235.9</v>
      </c>
      <c r="M735" s="1">
        <f t="shared" si="81"/>
        <v>4542.4620000000004</v>
      </c>
      <c r="N735" s="1">
        <f t="shared" si="82"/>
        <v>29778.362000000001</v>
      </c>
      <c r="S735" t="str">
        <f t="shared" si="77"/>
        <v>Khyber Pakhtunkhwa</v>
      </c>
      <c r="W735" t="str">
        <f t="shared" si="78"/>
        <v>North</v>
      </c>
      <c r="AB735" t="str">
        <f t="shared" si="83"/>
        <v>Khyber Pakhtunkhwa</v>
      </c>
    </row>
    <row r="736" spans="1:28" x14ac:dyDescent="0.25">
      <c r="A736" s="2">
        <v>45195</v>
      </c>
      <c r="B736" t="s">
        <v>21</v>
      </c>
      <c r="C736" t="s">
        <v>61</v>
      </c>
      <c r="D736" t="s">
        <v>65</v>
      </c>
      <c r="E736" t="s">
        <v>64</v>
      </c>
      <c r="F736" t="s">
        <v>19</v>
      </c>
      <c r="G736" t="s">
        <v>20</v>
      </c>
      <c r="H736">
        <v>2</v>
      </c>
      <c r="I736" s="1">
        <v>2851.64</v>
      </c>
      <c r="J736" s="1">
        <f t="shared" si="79"/>
        <v>5132.9520000000002</v>
      </c>
      <c r="K736" s="1">
        <f t="shared" si="80"/>
        <v>570.32799999999997</v>
      </c>
      <c r="L736" s="1">
        <v>5703.28</v>
      </c>
      <c r="M736" s="1">
        <f t="shared" si="81"/>
        <v>1026.5903999999998</v>
      </c>
      <c r="N736" s="1">
        <f t="shared" si="82"/>
        <v>6729.8703999999998</v>
      </c>
      <c r="S736" t="str">
        <f t="shared" si="77"/>
        <v>Punjab</v>
      </c>
      <c r="W736" t="str">
        <f t="shared" si="78"/>
        <v>East</v>
      </c>
      <c r="AB736" t="str">
        <f t="shared" si="83"/>
        <v>PK-PB</v>
      </c>
    </row>
    <row r="737" spans="1:28" x14ac:dyDescent="0.25">
      <c r="A737" s="2">
        <v>45196</v>
      </c>
      <c r="B737" t="s">
        <v>38</v>
      </c>
      <c r="C737" t="s">
        <v>59</v>
      </c>
      <c r="D737" t="s">
        <v>66</v>
      </c>
      <c r="E737" t="s">
        <v>41</v>
      </c>
      <c r="F737" t="s">
        <v>19</v>
      </c>
      <c r="G737" t="s">
        <v>20</v>
      </c>
      <c r="H737">
        <v>20</v>
      </c>
      <c r="I737" s="1">
        <v>3193.18</v>
      </c>
      <c r="J737" s="1">
        <f t="shared" si="79"/>
        <v>57477.24</v>
      </c>
      <c r="K737" s="1">
        <f t="shared" si="80"/>
        <v>6386.3600000000006</v>
      </c>
      <c r="L737" s="1">
        <v>63863.6</v>
      </c>
      <c r="M737" s="1">
        <f t="shared" si="81"/>
        <v>11495.447999999999</v>
      </c>
      <c r="N737" s="1">
        <f t="shared" si="82"/>
        <v>75359.047999999995</v>
      </c>
      <c r="S737" t="str">
        <f t="shared" si="77"/>
        <v>Khyber Pakhtunkhwa</v>
      </c>
      <c r="W737" t="str">
        <f t="shared" si="78"/>
        <v>North</v>
      </c>
      <c r="AB737" t="str">
        <f t="shared" si="83"/>
        <v>Khyber Pakhtunkhwa</v>
      </c>
    </row>
    <row r="738" spans="1:28" x14ac:dyDescent="0.25">
      <c r="A738" s="2">
        <v>45007</v>
      </c>
      <c r="B738" t="s">
        <v>21</v>
      </c>
      <c r="C738" t="s">
        <v>26</v>
      </c>
      <c r="D738" t="s">
        <v>12</v>
      </c>
      <c r="E738" t="s">
        <v>18</v>
      </c>
      <c r="F738" t="s">
        <v>23</v>
      </c>
      <c r="G738" t="s">
        <v>37</v>
      </c>
      <c r="H738">
        <v>8</v>
      </c>
      <c r="I738" s="1">
        <v>4663.82</v>
      </c>
      <c r="J738" s="1">
        <f t="shared" si="79"/>
        <v>33579.504000000001</v>
      </c>
      <c r="K738" s="1">
        <f t="shared" si="80"/>
        <v>3731.056</v>
      </c>
      <c r="L738" s="1">
        <v>37310.559999999998</v>
      </c>
      <c r="M738" s="1">
        <f t="shared" si="81"/>
        <v>6715.9007999999994</v>
      </c>
      <c r="N738" s="1">
        <f t="shared" si="82"/>
        <v>44026.460800000001</v>
      </c>
      <c r="S738" t="str">
        <f t="shared" si="77"/>
        <v>Sindh</v>
      </c>
      <c r="W738" t="str">
        <f t="shared" si="78"/>
        <v>South</v>
      </c>
      <c r="AB738" t="str">
        <f t="shared" si="83"/>
        <v>PK-SD</v>
      </c>
    </row>
    <row r="739" spans="1:28" x14ac:dyDescent="0.25">
      <c r="A739" s="2">
        <v>45261</v>
      </c>
      <c r="B739" t="s">
        <v>31</v>
      </c>
      <c r="C739" t="s">
        <v>26</v>
      </c>
      <c r="D739" t="s">
        <v>12</v>
      </c>
      <c r="E739" t="s">
        <v>18</v>
      </c>
      <c r="F739" t="s">
        <v>19</v>
      </c>
      <c r="G739" t="s">
        <v>52</v>
      </c>
      <c r="H739">
        <v>13</v>
      </c>
      <c r="I739" s="1">
        <v>4263.79</v>
      </c>
      <c r="J739" s="1">
        <f t="shared" si="79"/>
        <v>49886.343000000001</v>
      </c>
      <c r="K739" s="1">
        <f t="shared" si="80"/>
        <v>5542.9269999999997</v>
      </c>
      <c r="L739" s="1">
        <v>55429.27</v>
      </c>
      <c r="M739" s="1">
        <f t="shared" si="81"/>
        <v>9977.2685999999994</v>
      </c>
      <c r="N739" s="1">
        <f t="shared" si="82"/>
        <v>65406.5386</v>
      </c>
      <c r="S739" t="str">
        <f t="shared" si="77"/>
        <v>Sindh</v>
      </c>
      <c r="W739" t="str">
        <f t="shared" si="78"/>
        <v>South</v>
      </c>
      <c r="AB739" t="str">
        <f t="shared" si="83"/>
        <v>PK-SD</v>
      </c>
    </row>
    <row r="740" spans="1:28" x14ac:dyDescent="0.25">
      <c r="A740" s="2">
        <v>45093</v>
      </c>
      <c r="B740" t="s">
        <v>43</v>
      </c>
      <c r="C740" t="s">
        <v>55</v>
      </c>
      <c r="D740" t="s">
        <v>66</v>
      </c>
      <c r="E740" t="s">
        <v>41</v>
      </c>
      <c r="F740" t="s">
        <v>14</v>
      </c>
      <c r="G740" t="s">
        <v>53</v>
      </c>
      <c r="H740">
        <v>11</v>
      </c>
      <c r="I740" s="1">
        <v>819.85</v>
      </c>
      <c r="J740" s="1">
        <f t="shared" si="79"/>
        <v>8116.5150000000003</v>
      </c>
      <c r="K740" s="1">
        <f t="shared" si="80"/>
        <v>901.83500000000004</v>
      </c>
      <c r="L740" s="1">
        <v>9018.35</v>
      </c>
      <c r="M740" s="1">
        <f t="shared" si="81"/>
        <v>1623.3030000000001</v>
      </c>
      <c r="N740" s="1">
        <f t="shared" si="82"/>
        <v>10641.653</v>
      </c>
      <c r="S740" t="str">
        <f t="shared" si="77"/>
        <v>Khyber Pakhtunkhwa</v>
      </c>
      <c r="W740" t="str">
        <f t="shared" si="78"/>
        <v>North</v>
      </c>
      <c r="AB740" t="str">
        <f t="shared" si="83"/>
        <v>Khyber Pakhtunkhwa</v>
      </c>
    </row>
    <row r="741" spans="1:28" x14ac:dyDescent="0.25">
      <c r="A741" s="2">
        <v>44984</v>
      </c>
      <c r="B741" t="s">
        <v>40</v>
      </c>
      <c r="C741" t="s">
        <v>55</v>
      </c>
      <c r="D741" t="s">
        <v>66</v>
      </c>
      <c r="E741" t="s">
        <v>41</v>
      </c>
      <c r="F741" t="s">
        <v>32</v>
      </c>
      <c r="G741" t="s">
        <v>50</v>
      </c>
      <c r="H741">
        <v>8</v>
      </c>
      <c r="I741" s="1">
        <v>2784.08</v>
      </c>
      <c r="J741" s="1">
        <f t="shared" si="79"/>
        <v>20045.376</v>
      </c>
      <c r="K741" s="1">
        <f t="shared" si="80"/>
        <v>2227.2640000000001</v>
      </c>
      <c r="L741" s="1">
        <v>22272.639999999999</v>
      </c>
      <c r="M741" s="1">
        <f t="shared" si="81"/>
        <v>4009.0751999999998</v>
      </c>
      <c r="N741" s="1">
        <f t="shared" si="82"/>
        <v>26281.715199999999</v>
      </c>
      <c r="S741" t="str">
        <f t="shared" si="77"/>
        <v>Khyber Pakhtunkhwa</v>
      </c>
      <c r="W741" t="str">
        <f t="shared" si="78"/>
        <v>North</v>
      </c>
      <c r="AB741" t="str">
        <f t="shared" si="83"/>
        <v>Khyber Pakhtunkhwa</v>
      </c>
    </row>
    <row r="742" spans="1:28" x14ac:dyDescent="0.25">
      <c r="A742" s="2">
        <v>45002</v>
      </c>
      <c r="B742" t="s">
        <v>38</v>
      </c>
      <c r="C742" t="s">
        <v>56</v>
      </c>
      <c r="D742" t="s">
        <v>12</v>
      </c>
      <c r="E742" t="s">
        <v>18</v>
      </c>
      <c r="F742" t="s">
        <v>23</v>
      </c>
      <c r="G742" t="s">
        <v>39</v>
      </c>
      <c r="H742">
        <v>8</v>
      </c>
      <c r="I742" s="1">
        <v>2240.2199999999998</v>
      </c>
      <c r="J742" s="1">
        <f t="shared" si="79"/>
        <v>16129.583999999999</v>
      </c>
      <c r="K742" s="1">
        <f t="shared" si="80"/>
        <v>1792.1759999999999</v>
      </c>
      <c r="L742" s="1">
        <v>17921.759999999998</v>
      </c>
      <c r="M742" s="1">
        <f t="shared" si="81"/>
        <v>3225.9167999999995</v>
      </c>
      <c r="N742" s="1">
        <f t="shared" si="82"/>
        <v>21147.676799999997</v>
      </c>
      <c r="S742" t="str">
        <f t="shared" si="77"/>
        <v>Sindh</v>
      </c>
      <c r="W742" t="str">
        <f t="shared" si="78"/>
        <v>South</v>
      </c>
      <c r="AB742" t="str">
        <f t="shared" si="83"/>
        <v>PK-SD</v>
      </c>
    </row>
    <row r="743" spans="1:28" x14ac:dyDescent="0.25">
      <c r="A743" s="2">
        <v>45266</v>
      </c>
      <c r="B743" t="s">
        <v>16</v>
      </c>
      <c r="C743" t="s">
        <v>56</v>
      </c>
      <c r="D743" t="s">
        <v>12</v>
      </c>
      <c r="E743" t="s">
        <v>18</v>
      </c>
      <c r="F743" t="s">
        <v>32</v>
      </c>
      <c r="G743" t="s">
        <v>33</v>
      </c>
      <c r="H743">
        <v>18</v>
      </c>
      <c r="I743" s="1">
        <v>1039.3800000000001</v>
      </c>
      <c r="J743" s="1">
        <f t="shared" si="79"/>
        <v>16837.956000000002</v>
      </c>
      <c r="K743" s="1">
        <f t="shared" si="80"/>
        <v>1870.884</v>
      </c>
      <c r="L743" s="1">
        <v>18708.84</v>
      </c>
      <c r="M743" s="1">
        <f t="shared" si="81"/>
        <v>3367.5911999999998</v>
      </c>
      <c r="N743" s="1">
        <f t="shared" si="82"/>
        <v>22076.431199999999</v>
      </c>
      <c r="S743" t="str">
        <f t="shared" si="77"/>
        <v>Sindh</v>
      </c>
      <c r="W743" t="str">
        <f t="shared" si="78"/>
        <v>South</v>
      </c>
      <c r="AB743" t="str">
        <f t="shared" si="83"/>
        <v>PK-SD</v>
      </c>
    </row>
    <row r="744" spans="1:28" x14ac:dyDescent="0.25">
      <c r="A744" s="2">
        <v>45237</v>
      </c>
      <c r="B744" t="s">
        <v>25</v>
      </c>
      <c r="C744" t="s">
        <v>60</v>
      </c>
      <c r="D744" t="s">
        <v>12</v>
      </c>
      <c r="E744" t="s">
        <v>18</v>
      </c>
      <c r="F744" t="s">
        <v>27</v>
      </c>
      <c r="G744" t="s">
        <v>42</v>
      </c>
      <c r="H744">
        <v>18</v>
      </c>
      <c r="I744" s="1">
        <v>1297.93</v>
      </c>
      <c r="J744" s="1">
        <f t="shared" si="79"/>
        <v>21026.466</v>
      </c>
      <c r="K744" s="1">
        <f t="shared" si="80"/>
        <v>2336.2740000000003</v>
      </c>
      <c r="L744" s="1">
        <v>23362.74</v>
      </c>
      <c r="M744" s="1">
        <f t="shared" si="81"/>
        <v>4205.2932000000001</v>
      </c>
      <c r="N744" s="1">
        <f t="shared" si="82"/>
        <v>27568.033200000002</v>
      </c>
      <c r="S744" t="str">
        <f t="shared" si="77"/>
        <v>Sindh</v>
      </c>
      <c r="W744" t="str">
        <f t="shared" si="78"/>
        <v>South</v>
      </c>
      <c r="AB744" t="str">
        <f t="shared" si="83"/>
        <v>PK-SD</v>
      </c>
    </row>
    <row r="745" spans="1:28" x14ac:dyDescent="0.25">
      <c r="A745" s="2">
        <v>44931</v>
      </c>
      <c r="B745" t="s">
        <v>43</v>
      </c>
      <c r="C745" t="s">
        <v>26</v>
      </c>
      <c r="D745" t="s">
        <v>12</v>
      </c>
      <c r="E745" t="s">
        <v>18</v>
      </c>
      <c r="F745" t="s">
        <v>14</v>
      </c>
      <c r="G745" t="s">
        <v>51</v>
      </c>
      <c r="H745">
        <v>4</v>
      </c>
      <c r="I745" s="1">
        <v>4293.74</v>
      </c>
      <c r="J745" s="1">
        <f t="shared" si="79"/>
        <v>15457.464</v>
      </c>
      <c r="K745" s="1">
        <f t="shared" si="80"/>
        <v>1717.4960000000001</v>
      </c>
      <c r="L745" s="1">
        <v>17174.96</v>
      </c>
      <c r="M745" s="1">
        <f t="shared" si="81"/>
        <v>3091.4927999999995</v>
      </c>
      <c r="N745" s="1">
        <f t="shared" si="82"/>
        <v>20266.452799999999</v>
      </c>
      <c r="S745" t="str">
        <f t="shared" si="77"/>
        <v>Sindh</v>
      </c>
      <c r="W745" t="str">
        <f t="shared" si="78"/>
        <v>South</v>
      </c>
      <c r="AB745" t="str">
        <f t="shared" si="83"/>
        <v>PK-SD</v>
      </c>
    </row>
    <row r="746" spans="1:28" x14ac:dyDescent="0.25">
      <c r="A746" s="2">
        <v>45151</v>
      </c>
      <c r="B746" t="s">
        <v>29</v>
      </c>
      <c r="C746" t="s">
        <v>26</v>
      </c>
      <c r="D746" t="s">
        <v>12</v>
      </c>
      <c r="E746" t="s">
        <v>18</v>
      </c>
      <c r="F746" t="s">
        <v>32</v>
      </c>
      <c r="G746" t="s">
        <v>33</v>
      </c>
      <c r="H746">
        <v>11</v>
      </c>
      <c r="I746" s="1">
        <v>2133.36</v>
      </c>
      <c r="J746" s="1">
        <f t="shared" si="79"/>
        <v>21120.263999999999</v>
      </c>
      <c r="K746" s="1">
        <f t="shared" si="80"/>
        <v>2346.6959999999999</v>
      </c>
      <c r="L746" s="1">
        <v>23466.959999999999</v>
      </c>
      <c r="M746" s="1">
        <f t="shared" si="81"/>
        <v>4224.0527999999995</v>
      </c>
      <c r="N746" s="1">
        <f t="shared" si="82"/>
        <v>27691.012799999997</v>
      </c>
      <c r="S746" t="str">
        <f t="shared" si="77"/>
        <v>Sindh</v>
      </c>
      <c r="W746" t="str">
        <f t="shared" si="78"/>
        <v>South</v>
      </c>
      <c r="AB746" t="str">
        <f t="shared" si="83"/>
        <v>PK-SD</v>
      </c>
    </row>
    <row r="747" spans="1:28" x14ac:dyDescent="0.25">
      <c r="A747" s="2">
        <v>45221</v>
      </c>
      <c r="B747" t="s">
        <v>10</v>
      </c>
      <c r="C747" t="s">
        <v>54</v>
      </c>
      <c r="D747" t="s">
        <v>12</v>
      </c>
      <c r="E747" t="s">
        <v>18</v>
      </c>
      <c r="F747" t="s">
        <v>27</v>
      </c>
      <c r="G747" t="s">
        <v>44</v>
      </c>
      <c r="H747">
        <v>11</v>
      </c>
      <c r="I747" s="1">
        <v>735.74</v>
      </c>
      <c r="J747" s="1">
        <f t="shared" si="79"/>
        <v>7283.826</v>
      </c>
      <c r="K747" s="1">
        <f t="shared" si="80"/>
        <v>809.31400000000008</v>
      </c>
      <c r="L747" s="1">
        <v>8093.14</v>
      </c>
      <c r="M747" s="1">
        <f t="shared" si="81"/>
        <v>1456.7652</v>
      </c>
      <c r="N747" s="1">
        <f t="shared" si="82"/>
        <v>9549.9052000000011</v>
      </c>
      <c r="S747" t="str">
        <f t="shared" si="77"/>
        <v>Sindh</v>
      </c>
      <c r="W747" t="str">
        <f t="shared" si="78"/>
        <v>South</v>
      </c>
      <c r="AB747" t="str">
        <f t="shared" si="83"/>
        <v>PK-SD</v>
      </c>
    </row>
    <row r="748" spans="1:28" x14ac:dyDescent="0.25">
      <c r="A748" s="2">
        <v>44993</v>
      </c>
      <c r="B748" t="s">
        <v>21</v>
      </c>
      <c r="C748" t="s">
        <v>58</v>
      </c>
      <c r="D748" t="s">
        <v>12</v>
      </c>
      <c r="E748" t="s">
        <v>18</v>
      </c>
      <c r="F748" t="s">
        <v>23</v>
      </c>
      <c r="G748" t="s">
        <v>24</v>
      </c>
      <c r="H748">
        <v>14</v>
      </c>
      <c r="I748" s="1">
        <v>271.27</v>
      </c>
      <c r="J748" s="1">
        <f t="shared" si="79"/>
        <v>3418.0020000000004</v>
      </c>
      <c r="K748" s="1">
        <f t="shared" si="80"/>
        <v>379.77800000000002</v>
      </c>
      <c r="L748" s="1">
        <v>3797.78</v>
      </c>
      <c r="M748" s="1">
        <f t="shared" si="81"/>
        <v>683.60040000000004</v>
      </c>
      <c r="N748" s="1">
        <f t="shared" si="82"/>
        <v>4481.3804</v>
      </c>
      <c r="S748" t="str">
        <f t="shared" si="77"/>
        <v>Sindh</v>
      </c>
      <c r="W748" t="str">
        <f t="shared" si="78"/>
        <v>South</v>
      </c>
      <c r="AB748" t="str">
        <f t="shared" si="83"/>
        <v>PK-SD</v>
      </c>
    </row>
    <row r="749" spans="1:28" x14ac:dyDescent="0.25">
      <c r="A749" s="2">
        <v>45240</v>
      </c>
      <c r="B749" t="s">
        <v>21</v>
      </c>
      <c r="C749" t="s">
        <v>54</v>
      </c>
      <c r="D749" t="s">
        <v>12</v>
      </c>
      <c r="E749" t="s">
        <v>18</v>
      </c>
      <c r="F749" t="s">
        <v>14</v>
      </c>
      <c r="G749" t="s">
        <v>15</v>
      </c>
      <c r="H749">
        <v>5</v>
      </c>
      <c r="I749" s="1">
        <v>4759.1899999999996</v>
      </c>
      <c r="J749" s="1">
        <f t="shared" si="79"/>
        <v>21416.355</v>
      </c>
      <c r="K749" s="1">
        <f t="shared" si="80"/>
        <v>2379.5950000000003</v>
      </c>
      <c r="L749" s="1">
        <v>23795.95</v>
      </c>
      <c r="M749" s="1">
        <f t="shared" si="81"/>
        <v>4283.2709999999997</v>
      </c>
      <c r="N749" s="1">
        <f t="shared" si="82"/>
        <v>28079.221000000001</v>
      </c>
      <c r="S749" t="str">
        <f t="shared" si="77"/>
        <v>Sindh</v>
      </c>
      <c r="W749" t="str">
        <f t="shared" si="78"/>
        <v>South</v>
      </c>
      <c r="AB749" t="str">
        <f t="shared" si="83"/>
        <v>PK-SD</v>
      </c>
    </row>
    <row r="750" spans="1:28" x14ac:dyDescent="0.25">
      <c r="A750" s="2">
        <v>45270</v>
      </c>
      <c r="B750" t="s">
        <v>16</v>
      </c>
      <c r="C750" t="s">
        <v>35</v>
      </c>
      <c r="D750" t="s">
        <v>65</v>
      </c>
      <c r="E750" t="s">
        <v>64</v>
      </c>
      <c r="F750" t="s">
        <v>32</v>
      </c>
      <c r="G750" t="s">
        <v>36</v>
      </c>
      <c r="H750">
        <v>11</v>
      </c>
      <c r="I750" s="1">
        <v>941.97</v>
      </c>
      <c r="J750" s="1">
        <f t="shared" si="79"/>
        <v>9325.5030000000006</v>
      </c>
      <c r="K750" s="1">
        <f t="shared" si="80"/>
        <v>1036.1670000000001</v>
      </c>
      <c r="L750" s="1">
        <v>10361.67</v>
      </c>
      <c r="M750" s="1">
        <f t="shared" si="81"/>
        <v>1865.1006</v>
      </c>
      <c r="N750" s="1">
        <f t="shared" si="82"/>
        <v>12226.7706</v>
      </c>
      <c r="S750" t="str">
        <f t="shared" si="77"/>
        <v>Punjab</v>
      </c>
      <c r="W750" t="str">
        <f t="shared" si="78"/>
        <v>East</v>
      </c>
      <c r="AB750" t="str">
        <f t="shared" si="83"/>
        <v>PK-PB</v>
      </c>
    </row>
    <row r="751" spans="1:28" x14ac:dyDescent="0.25">
      <c r="A751" s="2">
        <v>45149</v>
      </c>
      <c r="B751" t="s">
        <v>16</v>
      </c>
      <c r="C751" t="s">
        <v>55</v>
      </c>
      <c r="D751" t="s">
        <v>66</v>
      </c>
      <c r="E751" t="s">
        <v>41</v>
      </c>
      <c r="F751" t="s">
        <v>27</v>
      </c>
      <c r="G751" t="s">
        <v>46</v>
      </c>
      <c r="H751">
        <v>11</v>
      </c>
      <c r="I751" s="1">
        <v>2182.46</v>
      </c>
      <c r="J751" s="1">
        <f t="shared" si="79"/>
        <v>21606.354000000003</v>
      </c>
      <c r="K751" s="1">
        <f t="shared" si="80"/>
        <v>2400.7060000000001</v>
      </c>
      <c r="L751" s="1">
        <v>24007.06</v>
      </c>
      <c r="M751" s="1">
        <f t="shared" si="81"/>
        <v>4321.2708000000002</v>
      </c>
      <c r="N751" s="1">
        <f t="shared" si="82"/>
        <v>28328.330800000003</v>
      </c>
      <c r="S751" t="str">
        <f t="shared" si="77"/>
        <v>Khyber Pakhtunkhwa</v>
      </c>
      <c r="W751" t="str">
        <f t="shared" si="78"/>
        <v>North</v>
      </c>
      <c r="AB751" t="str">
        <f t="shared" si="83"/>
        <v>Khyber Pakhtunkhwa</v>
      </c>
    </row>
    <row r="752" spans="1:28" x14ac:dyDescent="0.25">
      <c r="A752" s="2">
        <v>45282</v>
      </c>
      <c r="B752" t="s">
        <v>16</v>
      </c>
      <c r="C752" t="s">
        <v>26</v>
      </c>
      <c r="D752" t="s">
        <v>12</v>
      </c>
      <c r="E752" t="s">
        <v>18</v>
      </c>
      <c r="F752" t="s">
        <v>27</v>
      </c>
      <c r="G752" t="s">
        <v>44</v>
      </c>
      <c r="H752">
        <v>10</v>
      </c>
      <c r="I752" s="1">
        <v>2112.91</v>
      </c>
      <c r="J752" s="1">
        <f t="shared" si="79"/>
        <v>19016.189999999999</v>
      </c>
      <c r="K752" s="1">
        <f t="shared" si="80"/>
        <v>2112.91</v>
      </c>
      <c r="L752" s="1">
        <v>21129.1</v>
      </c>
      <c r="M752" s="1">
        <f t="shared" si="81"/>
        <v>3803.2379999999994</v>
      </c>
      <c r="N752" s="1">
        <f t="shared" si="82"/>
        <v>24932.337999999996</v>
      </c>
      <c r="S752" t="str">
        <f t="shared" si="77"/>
        <v>Sindh</v>
      </c>
      <c r="W752" t="str">
        <f t="shared" si="78"/>
        <v>South</v>
      </c>
      <c r="AB752" t="str">
        <f t="shared" si="83"/>
        <v>PK-SD</v>
      </c>
    </row>
    <row r="753" spans="1:28" x14ac:dyDescent="0.25">
      <c r="A753" s="2">
        <v>44968</v>
      </c>
      <c r="B753" t="s">
        <v>25</v>
      </c>
      <c r="C753" t="s">
        <v>60</v>
      </c>
      <c r="D753" t="s">
        <v>12</v>
      </c>
      <c r="E753" t="s">
        <v>18</v>
      </c>
      <c r="F753" t="s">
        <v>23</v>
      </c>
      <c r="G753" t="s">
        <v>24</v>
      </c>
      <c r="H753">
        <v>13</v>
      </c>
      <c r="I753" s="1">
        <v>3495.08</v>
      </c>
      <c r="J753" s="1">
        <f t="shared" si="79"/>
        <v>40892.436000000002</v>
      </c>
      <c r="K753" s="1">
        <f t="shared" si="80"/>
        <v>4543.6040000000003</v>
      </c>
      <c r="L753" s="1">
        <v>45436.04</v>
      </c>
      <c r="M753" s="1">
        <f t="shared" si="81"/>
        <v>8178.4871999999996</v>
      </c>
      <c r="N753" s="1">
        <f t="shared" si="82"/>
        <v>53614.527199999997</v>
      </c>
      <c r="S753" t="str">
        <f t="shared" si="77"/>
        <v>Sindh</v>
      </c>
      <c r="W753" t="str">
        <f t="shared" si="78"/>
        <v>South</v>
      </c>
      <c r="AB753" t="str">
        <f t="shared" si="83"/>
        <v>PK-SD</v>
      </c>
    </row>
    <row r="754" spans="1:28" x14ac:dyDescent="0.25">
      <c r="A754" s="2">
        <v>45078</v>
      </c>
      <c r="B754" t="s">
        <v>10</v>
      </c>
      <c r="C754" t="s">
        <v>61</v>
      </c>
      <c r="D754" t="s">
        <v>65</v>
      </c>
      <c r="E754" t="s">
        <v>64</v>
      </c>
      <c r="F754" t="s">
        <v>27</v>
      </c>
      <c r="G754" t="s">
        <v>28</v>
      </c>
      <c r="H754">
        <v>2</v>
      </c>
      <c r="I754" s="1">
        <v>3439.47</v>
      </c>
      <c r="J754" s="1">
        <f t="shared" si="79"/>
        <v>6191.0459999999994</v>
      </c>
      <c r="K754" s="1">
        <f t="shared" si="80"/>
        <v>687.89400000000001</v>
      </c>
      <c r="L754" s="1">
        <v>6878.94</v>
      </c>
      <c r="M754" s="1">
        <f t="shared" si="81"/>
        <v>1238.2091999999998</v>
      </c>
      <c r="N754" s="1">
        <f t="shared" si="82"/>
        <v>8117.1491999999998</v>
      </c>
      <c r="S754" t="str">
        <f t="shared" si="77"/>
        <v>Punjab</v>
      </c>
      <c r="W754" t="str">
        <f t="shared" si="78"/>
        <v>East</v>
      </c>
      <c r="AB754" t="str">
        <f t="shared" si="83"/>
        <v>PK-PB</v>
      </c>
    </row>
    <row r="755" spans="1:28" x14ac:dyDescent="0.25">
      <c r="A755" s="2">
        <v>44937</v>
      </c>
      <c r="B755" t="s">
        <v>21</v>
      </c>
      <c r="C755" t="s">
        <v>63</v>
      </c>
      <c r="D755" t="s">
        <v>65</v>
      </c>
      <c r="E755" t="s">
        <v>64</v>
      </c>
      <c r="F755" t="s">
        <v>14</v>
      </c>
      <c r="G755" t="s">
        <v>15</v>
      </c>
      <c r="H755">
        <v>20</v>
      </c>
      <c r="I755" s="1">
        <v>3279.25</v>
      </c>
      <c r="J755" s="1">
        <f t="shared" si="79"/>
        <v>59026.5</v>
      </c>
      <c r="K755" s="1">
        <f t="shared" si="80"/>
        <v>6558.5</v>
      </c>
      <c r="L755" s="1">
        <v>65585</v>
      </c>
      <c r="M755" s="1">
        <f t="shared" si="81"/>
        <v>11805.3</v>
      </c>
      <c r="N755" s="1">
        <f t="shared" si="82"/>
        <v>77390.3</v>
      </c>
      <c r="S755" t="str">
        <f t="shared" si="77"/>
        <v>Punjab</v>
      </c>
      <c r="W755" t="str">
        <f t="shared" si="78"/>
        <v>East</v>
      </c>
      <c r="AB755" t="str">
        <f t="shared" si="83"/>
        <v>PK-PB</v>
      </c>
    </row>
    <row r="756" spans="1:28" x14ac:dyDescent="0.25">
      <c r="A756" s="2">
        <v>44958</v>
      </c>
      <c r="B756" t="s">
        <v>21</v>
      </c>
      <c r="C756" t="s">
        <v>26</v>
      </c>
      <c r="D756" t="s">
        <v>12</v>
      </c>
      <c r="E756" t="s">
        <v>18</v>
      </c>
      <c r="F756" t="s">
        <v>14</v>
      </c>
      <c r="G756" t="s">
        <v>45</v>
      </c>
      <c r="H756">
        <v>16</v>
      </c>
      <c r="I756" s="1">
        <v>3320.8</v>
      </c>
      <c r="J756" s="1">
        <f t="shared" si="79"/>
        <v>47819.520000000004</v>
      </c>
      <c r="K756" s="1">
        <f t="shared" si="80"/>
        <v>5313.2800000000007</v>
      </c>
      <c r="L756" s="1">
        <v>53132.800000000003</v>
      </c>
      <c r="M756" s="1">
        <f t="shared" si="81"/>
        <v>9563.9040000000005</v>
      </c>
      <c r="N756" s="1">
        <f t="shared" si="82"/>
        <v>62696.704000000005</v>
      </c>
      <c r="S756" t="str">
        <f t="shared" si="77"/>
        <v>Sindh</v>
      </c>
      <c r="W756" t="str">
        <f t="shared" si="78"/>
        <v>South</v>
      </c>
      <c r="AB756" t="str">
        <f t="shared" si="83"/>
        <v>PK-SD</v>
      </c>
    </row>
    <row r="757" spans="1:28" x14ac:dyDescent="0.25">
      <c r="A757" s="2">
        <v>45291</v>
      </c>
      <c r="B757" t="s">
        <v>21</v>
      </c>
      <c r="C757" t="s">
        <v>59</v>
      </c>
      <c r="D757" t="s">
        <v>66</v>
      </c>
      <c r="E757" t="s">
        <v>41</v>
      </c>
      <c r="F757" t="s">
        <v>23</v>
      </c>
      <c r="G757" t="s">
        <v>47</v>
      </c>
      <c r="H757">
        <v>6</v>
      </c>
      <c r="I757" s="1">
        <v>4105.1899999999996</v>
      </c>
      <c r="J757" s="1">
        <f t="shared" si="79"/>
        <v>22168.026000000002</v>
      </c>
      <c r="K757" s="1">
        <f t="shared" si="80"/>
        <v>2463.114</v>
      </c>
      <c r="L757" s="1">
        <v>24631.14</v>
      </c>
      <c r="M757" s="1">
        <f t="shared" si="81"/>
        <v>4433.6052</v>
      </c>
      <c r="N757" s="1">
        <f t="shared" si="82"/>
        <v>29064.745199999998</v>
      </c>
      <c r="S757" t="str">
        <f t="shared" si="77"/>
        <v>Khyber Pakhtunkhwa</v>
      </c>
      <c r="W757" t="str">
        <f t="shared" si="78"/>
        <v>North</v>
      </c>
      <c r="AB757" t="str">
        <f t="shared" si="83"/>
        <v>Khyber Pakhtunkhwa</v>
      </c>
    </row>
    <row r="758" spans="1:28" x14ac:dyDescent="0.25">
      <c r="A758" s="2">
        <v>45169</v>
      </c>
      <c r="B758" t="s">
        <v>34</v>
      </c>
      <c r="C758" t="s">
        <v>61</v>
      </c>
      <c r="D758" t="s">
        <v>65</v>
      </c>
      <c r="E758" t="s">
        <v>64</v>
      </c>
      <c r="F758" t="s">
        <v>27</v>
      </c>
      <c r="G758" t="s">
        <v>42</v>
      </c>
      <c r="H758">
        <v>7</v>
      </c>
      <c r="I758" s="1">
        <v>1830.46</v>
      </c>
      <c r="J758" s="1">
        <f t="shared" si="79"/>
        <v>11531.897999999999</v>
      </c>
      <c r="K758" s="1">
        <f t="shared" si="80"/>
        <v>1281.3220000000001</v>
      </c>
      <c r="L758" s="1">
        <v>12813.22</v>
      </c>
      <c r="M758" s="1">
        <f t="shared" si="81"/>
        <v>2306.3795999999998</v>
      </c>
      <c r="N758" s="1">
        <f t="shared" si="82"/>
        <v>15119.5996</v>
      </c>
      <c r="S758" t="str">
        <f t="shared" si="77"/>
        <v>Punjab</v>
      </c>
      <c r="W758" t="str">
        <f t="shared" si="78"/>
        <v>East</v>
      </c>
      <c r="AB758" t="str">
        <f t="shared" si="83"/>
        <v>PK-PB</v>
      </c>
    </row>
    <row r="759" spans="1:28" x14ac:dyDescent="0.25">
      <c r="A759" s="2">
        <v>44954</v>
      </c>
      <c r="B759" t="s">
        <v>16</v>
      </c>
      <c r="C759" t="s">
        <v>61</v>
      </c>
      <c r="D759" t="s">
        <v>65</v>
      </c>
      <c r="E759" t="s">
        <v>64</v>
      </c>
      <c r="F759" t="s">
        <v>19</v>
      </c>
      <c r="G759" t="s">
        <v>52</v>
      </c>
      <c r="H759">
        <v>19</v>
      </c>
      <c r="I759" s="1">
        <v>3901.75</v>
      </c>
      <c r="J759" s="1">
        <f t="shared" si="79"/>
        <v>66719.925000000003</v>
      </c>
      <c r="K759" s="1">
        <f t="shared" si="80"/>
        <v>7413.3250000000007</v>
      </c>
      <c r="L759" s="1">
        <v>74133.25</v>
      </c>
      <c r="M759" s="1">
        <f t="shared" si="81"/>
        <v>13343.984999999999</v>
      </c>
      <c r="N759" s="1">
        <f t="shared" si="82"/>
        <v>87477.235000000001</v>
      </c>
      <c r="S759" t="str">
        <f t="shared" si="77"/>
        <v>Punjab</v>
      </c>
      <c r="W759" t="str">
        <f t="shared" si="78"/>
        <v>East</v>
      </c>
      <c r="AB759" t="str">
        <f t="shared" si="83"/>
        <v>PK-PB</v>
      </c>
    </row>
    <row r="760" spans="1:28" x14ac:dyDescent="0.25">
      <c r="A760" s="2">
        <v>45289</v>
      </c>
      <c r="B760" t="s">
        <v>16</v>
      </c>
      <c r="C760" t="s">
        <v>17</v>
      </c>
      <c r="D760" t="s">
        <v>65</v>
      </c>
      <c r="E760" t="s">
        <v>64</v>
      </c>
      <c r="F760" t="s">
        <v>27</v>
      </c>
      <c r="G760" t="s">
        <v>28</v>
      </c>
      <c r="H760">
        <v>10</v>
      </c>
      <c r="I760" s="1">
        <v>3031.91</v>
      </c>
      <c r="J760" s="1">
        <f t="shared" si="79"/>
        <v>27287.19</v>
      </c>
      <c r="K760" s="1">
        <f t="shared" si="80"/>
        <v>3031.91</v>
      </c>
      <c r="L760" s="1">
        <v>30319.1</v>
      </c>
      <c r="M760" s="1">
        <f t="shared" si="81"/>
        <v>5457.4379999999992</v>
      </c>
      <c r="N760" s="1">
        <f t="shared" si="82"/>
        <v>35776.538</v>
      </c>
      <c r="S760" t="str">
        <f t="shared" si="77"/>
        <v>Punjab</v>
      </c>
      <c r="W760" t="str">
        <f t="shared" si="78"/>
        <v>East</v>
      </c>
      <c r="AB760" t="str">
        <f t="shared" si="83"/>
        <v>PK-PB</v>
      </c>
    </row>
    <row r="761" spans="1:28" x14ac:dyDescent="0.25">
      <c r="A761" s="2">
        <v>45176</v>
      </c>
      <c r="B761" t="s">
        <v>31</v>
      </c>
      <c r="C761" t="s">
        <v>11</v>
      </c>
      <c r="D761" t="s">
        <v>22</v>
      </c>
      <c r="E761" t="s">
        <v>13</v>
      </c>
      <c r="F761" t="s">
        <v>19</v>
      </c>
      <c r="G761" t="s">
        <v>20</v>
      </c>
      <c r="H761">
        <v>18</v>
      </c>
      <c r="I761" s="1">
        <v>3575.04</v>
      </c>
      <c r="J761" s="1">
        <f t="shared" si="79"/>
        <v>57915.648000000001</v>
      </c>
      <c r="K761" s="1">
        <f t="shared" si="80"/>
        <v>6435.0720000000001</v>
      </c>
      <c r="L761" s="1">
        <v>64350.720000000001</v>
      </c>
      <c r="M761" s="1">
        <f t="shared" si="81"/>
        <v>11583.1296</v>
      </c>
      <c r="N761" s="1">
        <f t="shared" si="82"/>
        <v>75933.849600000001</v>
      </c>
      <c r="S761" t="str">
        <f t="shared" si="77"/>
        <v>Balochistan</v>
      </c>
      <c r="W761" t="str">
        <f t="shared" si="78"/>
        <v>West</v>
      </c>
      <c r="AB761" t="str">
        <f t="shared" si="83"/>
        <v>PK-BA</v>
      </c>
    </row>
    <row r="762" spans="1:28" x14ac:dyDescent="0.25">
      <c r="A762" s="2">
        <v>45170</v>
      </c>
      <c r="B762" t="s">
        <v>34</v>
      </c>
      <c r="C762" t="s">
        <v>54</v>
      </c>
      <c r="D762" t="s">
        <v>12</v>
      </c>
      <c r="E762" t="s">
        <v>18</v>
      </c>
      <c r="F762" t="s">
        <v>27</v>
      </c>
      <c r="G762" t="s">
        <v>44</v>
      </c>
      <c r="H762">
        <v>17</v>
      </c>
      <c r="I762" s="1">
        <v>2920.06</v>
      </c>
      <c r="J762" s="1">
        <f t="shared" si="79"/>
        <v>44676.917999999998</v>
      </c>
      <c r="K762" s="1">
        <f t="shared" si="80"/>
        <v>4964.1019999999999</v>
      </c>
      <c r="L762" s="1">
        <v>49641.02</v>
      </c>
      <c r="M762" s="1">
        <f t="shared" si="81"/>
        <v>8935.3835999999992</v>
      </c>
      <c r="N762" s="1">
        <f t="shared" si="82"/>
        <v>58576.403599999998</v>
      </c>
      <c r="S762" t="str">
        <f t="shared" si="77"/>
        <v>Sindh</v>
      </c>
      <c r="W762" t="str">
        <f t="shared" si="78"/>
        <v>South</v>
      </c>
      <c r="AB762" t="str">
        <f t="shared" si="83"/>
        <v>PK-SD</v>
      </c>
    </row>
    <row r="763" spans="1:28" x14ac:dyDescent="0.25">
      <c r="A763" s="2">
        <v>45030</v>
      </c>
      <c r="B763" t="s">
        <v>38</v>
      </c>
      <c r="C763" t="s">
        <v>26</v>
      </c>
      <c r="D763" t="s">
        <v>12</v>
      </c>
      <c r="E763" t="s">
        <v>18</v>
      </c>
      <c r="F763" t="s">
        <v>32</v>
      </c>
      <c r="G763" t="s">
        <v>50</v>
      </c>
      <c r="H763">
        <v>15</v>
      </c>
      <c r="I763" s="1">
        <v>2796.48</v>
      </c>
      <c r="J763" s="1">
        <f t="shared" si="79"/>
        <v>37752.479999999996</v>
      </c>
      <c r="K763" s="1">
        <f t="shared" si="80"/>
        <v>4194.72</v>
      </c>
      <c r="L763" s="1">
        <v>41947.199999999997</v>
      </c>
      <c r="M763" s="1">
        <f t="shared" si="81"/>
        <v>7550.4959999999992</v>
      </c>
      <c r="N763" s="1">
        <f t="shared" si="82"/>
        <v>49497.695999999996</v>
      </c>
      <c r="S763" t="str">
        <f t="shared" si="77"/>
        <v>Sindh</v>
      </c>
      <c r="W763" t="str">
        <f t="shared" si="78"/>
        <v>South</v>
      </c>
      <c r="AB763" t="str">
        <f t="shared" si="83"/>
        <v>PK-SD</v>
      </c>
    </row>
    <row r="764" spans="1:28" x14ac:dyDescent="0.25">
      <c r="A764" s="2">
        <v>45013</v>
      </c>
      <c r="B764" t="s">
        <v>29</v>
      </c>
      <c r="C764" t="s">
        <v>56</v>
      </c>
      <c r="D764" t="s">
        <v>12</v>
      </c>
      <c r="E764" t="s">
        <v>18</v>
      </c>
      <c r="F764" t="s">
        <v>32</v>
      </c>
      <c r="G764" t="s">
        <v>36</v>
      </c>
      <c r="H764">
        <v>1</v>
      </c>
      <c r="I764" s="1">
        <v>2918.29</v>
      </c>
      <c r="J764" s="1">
        <f t="shared" si="79"/>
        <v>2626.4610000000002</v>
      </c>
      <c r="K764" s="1">
        <f t="shared" si="80"/>
        <v>291.82900000000001</v>
      </c>
      <c r="L764" s="1">
        <v>2918.29</v>
      </c>
      <c r="M764" s="1">
        <f t="shared" si="81"/>
        <v>525.29219999999998</v>
      </c>
      <c r="N764" s="1">
        <f t="shared" si="82"/>
        <v>3443.5821999999998</v>
      </c>
      <c r="S764" t="str">
        <f t="shared" si="77"/>
        <v>Sindh</v>
      </c>
      <c r="W764" t="str">
        <f t="shared" si="78"/>
        <v>South</v>
      </c>
      <c r="AB764" t="str">
        <f t="shared" si="83"/>
        <v>PK-SD</v>
      </c>
    </row>
    <row r="765" spans="1:28" x14ac:dyDescent="0.25">
      <c r="A765" s="2">
        <v>45159</v>
      </c>
      <c r="B765" t="s">
        <v>34</v>
      </c>
      <c r="C765" t="s">
        <v>35</v>
      </c>
      <c r="D765" t="s">
        <v>65</v>
      </c>
      <c r="E765" t="s">
        <v>64</v>
      </c>
      <c r="F765" t="s">
        <v>14</v>
      </c>
      <c r="G765" t="s">
        <v>45</v>
      </c>
      <c r="H765">
        <v>10</v>
      </c>
      <c r="I765" s="1">
        <v>1097.83</v>
      </c>
      <c r="J765" s="1">
        <f t="shared" si="79"/>
        <v>9880.4699999999993</v>
      </c>
      <c r="K765" s="1">
        <f t="shared" si="80"/>
        <v>1097.83</v>
      </c>
      <c r="L765" s="1">
        <v>10978.3</v>
      </c>
      <c r="M765" s="1">
        <f t="shared" si="81"/>
        <v>1976.0939999999998</v>
      </c>
      <c r="N765" s="1">
        <f t="shared" si="82"/>
        <v>12954.393999999998</v>
      </c>
      <c r="S765" t="str">
        <f t="shared" si="77"/>
        <v>Punjab</v>
      </c>
      <c r="W765" t="str">
        <f t="shared" si="78"/>
        <v>East</v>
      </c>
      <c r="AB765" t="str">
        <f t="shared" si="83"/>
        <v>PK-PB</v>
      </c>
    </row>
    <row r="766" spans="1:28" x14ac:dyDescent="0.25">
      <c r="A766" s="2">
        <v>44969</v>
      </c>
      <c r="B766" t="s">
        <v>10</v>
      </c>
      <c r="C766" t="s">
        <v>26</v>
      </c>
      <c r="D766" t="s">
        <v>12</v>
      </c>
      <c r="E766" t="s">
        <v>18</v>
      </c>
      <c r="F766" t="s">
        <v>23</v>
      </c>
      <c r="G766" t="s">
        <v>39</v>
      </c>
      <c r="H766">
        <v>10</v>
      </c>
      <c r="I766" s="1">
        <v>3391.5</v>
      </c>
      <c r="J766" s="1">
        <f t="shared" si="79"/>
        <v>30523.5</v>
      </c>
      <c r="K766" s="1">
        <f t="shared" si="80"/>
        <v>3391.5</v>
      </c>
      <c r="L766" s="1">
        <v>33915</v>
      </c>
      <c r="M766" s="1">
        <f t="shared" si="81"/>
        <v>6104.7</v>
      </c>
      <c r="N766" s="1">
        <f t="shared" si="82"/>
        <v>40019.699999999997</v>
      </c>
      <c r="S766" t="str">
        <f t="shared" si="77"/>
        <v>Sindh</v>
      </c>
      <c r="W766" t="str">
        <f t="shared" si="78"/>
        <v>South</v>
      </c>
      <c r="AB766" t="str">
        <f t="shared" si="83"/>
        <v>PK-SD</v>
      </c>
    </row>
    <row r="767" spans="1:28" x14ac:dyDescent="0.25">
      <c r="A767" s="2">
        <v>45116</v>
      </c>
      <c r="B767" t="s">
        <v>40</v>
      </c>
      <c r="C767" t="s">
        <v>26</v>
      </c>
      <c r="D767" t="s">
        <v>12</v>
      </c>
      <c r="E767" t="s">
        <v>18</v>
      </c>
      <c r="F767" t="s">
        <v>27</v>
      </c>
      <c r="G767" t="s">
        <v>44</v>
      </c>
      <c r="H767">
        <v>13</v>
      </c>
      <c r="I767" s="1">
        <v>2225.88</v>
      </c>
      <c r="J767" s="1">
        <f t="shared" si="79"/>
        <v>26042.795999999998</v>
      </c>
      <c r="K767" s="1">
        <f t="shared" si="80"/>
        <v>2893.6440000000002</v>
      </c>
      <c r="L767" s="1">
        <v>28936.44</v>
      </c>
      <c r="M767" s="1">
        <f t="shared" si="81"/>
        <v>5208.5591999999997</v>
      </c>
      <c r="N767" s="1">
        <f t="shared" si="82"/>
        <v>34144.999199999998</v>
      </c>
      <c r="S767" t="str">
        <f t="shared" si="77"/>
        <v>Sindh</v>
      </c>
      <c r="W767" t="str">
        <f t="shared" si="78"/>
        <v>South</v>
      </c>
      <c r="AB767" t="str">
        <f t="shared" si="83"/>
        <v>PK-SD</v>
      </c>
    </row>
    <row r="768" spans="1:28" x14ac:dyDescent="0.25">
      <c r="A768" s="2">
        <v>45265</v>
      </c>
      <c r="B768" t="s">
        <v>31</v>
      </c>
      <c r="C768" t="s">
        <v>59</v>
      </c>
      <c r="D768" t="s">
        <v>66</v>
      </c>
      <c r="E768" t="s">
        <v>41</v>
      </c>
      <c r="F768" t="s">
        <v>23</v>
      </c>
      <c r="G768" t="s">
        <v>39</v>
      </c>
      <c r="H768">
        <v>2</v>
      </c>
      <c r="I768" s="1">
        <v>1559.76</v>
      </c>
      <c r="J768" s="1">
        <f t="shared" si="79"/>
        <v>2807.5680000000002</v>
      </c>
      <c r="K768" s="1">
        <f t="shared" si="80"/>
        <v>311.952</v>
      </c>
      <c r="L768" s="1">
        <v>3119.52</v>
      </c>
      <c r="M768" s="1">
        <f t="shared" si="81"/>
        <v>561.5136</v>
      </c>
      <c r="N768" s="1">
        <f t="shared" si="82"/>
        <v>3681.0335999999998</v>
      </c>
      <c r="S768" t="str">
        <f t="shared" si="77"/>
        <v>Khyber Pakhtunkhwa</v>
      </c>
      <c r="W768" t="str">
        <f t="shared" si="78"/>
        <v>North</v>
      </c>
      <c r="AB768" t="str">
        <f t="shared" si="83"/>
        <v>Khyber Pakhtunkhwa</v>
      </c>
    </row>
    <row r="769" spans="1:28" x14ac:dyDescent="0.25">
      <c r="A769" s="2">
        <v>44945</v>
      </c>
      <c r="B769" t="s">
        <v>21</v>
      </c>
      <c r="C769" t="s">
        <v>63</v>
      </c>
      <c r="D769" t="s">
        <v>65</v>
      </c>
      <c r="E769" t="s">
        <v>64</v>
      </c>
      <c r="F769" t="s">
        <v>27</v>
      </c>
      <c r="G769" t="s">
        <v>42</v>
      </c>
      <c r="H769">
        <v>13</v>
      </c>
      <c r="I769" s="1">
        <v>4719.96</v>
      </c>
      <c r="J769" s="1">
        <f t="shared" si="79"/>
        <v>55223.532000000007</v>
      </c>
      <c r="K769" s="1">
        <f t="shared" si="80"/>
        <v>6135.9480000000003</v>
      </c>
      <c r="L769" s="1">
        <v>61359.48</v>
      </c>
      <c r="M769" s="1">
        <f t="shared" si="81"/>
        <v>11044.706400000001</v>
      </c>
      <c r="N769" s="1">
        <f t="shared" si="82"/>
        <v>72404.186400000006</v>
      </c>
      <c r="S769" t="str">
        <f t="shared" si="77"/>
        <v>Punjab</v>
      </c>
      <c r="W769" t="str">
        <f t="shared" si="78"/>
        <v>East</v>
      </c>
      <c r="AB769" t="str">
        <f t="shared" si="83"/>
        <v>PK-PB</v>
      </c>
    </row>
    <row r="770" spans="1:28" x14ac:dyDescent="0.25">
      <c r="A770" s="2">
        <v>45250</v>
      </c>
      <c r="B770" t="s">
        <v>43</v>
      </c>
      <c r="C770" t="s">
        <v>54</v>
      </c>
      <c r="D770" t="s">
        <v>12</v>
      </c>
      <c r="E770" t="s">
        <v>18</v>
      </c>
      <c r="F770" t="s">
        <v>19</v>
      </c>
      <c r="G770" t="s">
        <v>30</v>
      </c>
      <c r="H770">
        <v>5</v>
      </c>
      <c r="I770" s="1">
        <v>1593.02</v>
      </c>
      <c r="J770" s="1">
        <f t="shared" si="79"/>
        <v>7168.59</v>
      </c>
      <c r="K770" s="1">
        <f t="shared" si="80"/>
        <v>796.5100000000001</v>
      </c>
      <c r="L770" s="1">
        <v>7965.1</v>
      </c>
      <c r="M770" s="1">
        <f t="shared" si="81"/>
        <v>1433.7180000000001</v>
      </c>
      <c r="N770" s="1">
        <f t="shared" si="82"/>
        <v>9398.8180000000011</v>
      </c>
      <c r="S770" t="str">
        <f t="shared" ref="S770:S833" si="84">VLOOKUP(C770,$Q$2:$R$15,2,FALSE)</f>
        <v>Sindh</v>
      </c>
      <c r="W770" t="str">
        <f t="shared" ref="W770:W833" si="85">VLOOKUP(D770,$U$2:$V$5,2,FALSE)</f>
        <v>South</v>
      </c>
      <c r="AB770" t="str">
        <f t="shared" si="83"/>
        <v>PK-SD</v>
      </c>
    </row>
    <row r="771" spans="1:28" x14ac:dyDescent="0.25">
      <c r="A771" s="2">
        <v>45031</v>
      </c>
      <c r="B771" t="s">
        <v>29</v>
      </c>
      <c r="C771" t="s">
        <v>56</v>
      </c>
      <c r="D771" t="s">
        <v>12</v>
      </c>
      <c r="E771" t="s">
        <v>18</v>
      </c>
      <c r="F771" t="s">
        <v>23</v>
      </c>
      <c r="G771" t="s">
        <v>24</v>
      </c>
      <c r="H771">
        <v>7</v>
      </c>
      <c r="I771" s="1">
        <v>1233.6300000000001</v>
      </c>
      <c r="J771" s="1">
        <f t="shared" ref="J771:J834" si="86">L771*90%</f>
        <v>7771.8689999999997</v>
      </c>
      <c r="K771" s="1">
        <f t="shared" ref="K771:K834" si="87">L771*10%</f>
        <v>863.54100000000005</v>
      </c>
      <c r="L771" s="1">
        <v>8635.41</v>
      </c>
      <c r="M771" s="1">
        <f t="shared" ref="M771:M834" si="88">L771*18%</f>
        <v>1554.3737999999998</v>
      </c>
      <c r="N771" s="1">
        <f t="shared" ref="N771:N834" si="89">L771+M771</f>
        <v>10189.783799999999</v>
      </c>
      <c r="S771" t="str">
        <f t="shared" si="84"/>
        <v>Sindh</v>
      </c>
      <c r="W771" t="str">
        <f t="shared" si="85"/>
        <v>South</v>
      </c>
      <c r="AB771" t="str">
        <f t="shared" ref="AB771:AB834" si="90">VLOOKUP(D771,$Z$2:$AA$5,2,FALSE)</f>
        <v>PK-SD</v>
      </c>
    </row>
    <row r="772" spans="1:28" x14ac:dyDescent="0.25">
      <c r="A772" s="2">
        <v>45060</v>
      </c>
      <c r="B772" t="s">
        <v>25</v>
      </c>
      <c r="C772" t="s">
        <v>55</v>
      </c>
      <c r="D772" t="s">
        <v>66</v>
      </c>
      <c r="E772" t="s">
        <v>41</v>
      </c>
      <c r="F772" t="s">
        <v>32</v>
      </c>
      <c r="G772" t="s">
        <v>49</v>
      </c>
      <c r="H772">
        <v>2</v>
      </c>
      <c r="I772" s="1">
        <v>2261.69</v>
      </c>
      <c r="J772" s="1">
        <f t="shared" si="86"/>
        <v>4071.0420000000004</v>
      </c>
      <c r="K772" s="1">
        <f t="shared" si="87"/>
        <v>452.33800000000002</v>
      </c>
      <c r="L772" s="1">
        <v>4523.38</v>
      </c>
      <c r="M772" s="1">
        <f t="shared" si="88"/>
        <v>814.20839999999998</v>
      </c>
      <c r="N772" s="1">
        <f t="shared" si="89"/>
        <v>5337.5884000000005</v>
      </c>
      <c r="S772" t="str">
        <f t="shared" si="84"/>
        <v>Khyber Pakhtunkhwa</v>
      </c>
      <c r="W772" t="str">
        <f t="shared" si="85"/>
        <v>North</v>
      </c>
      <c r="AB772" t="str">
        <f t="shared" si="90"/>
        <v>Khyber Pakhtunkhwa</v>
      </c>
    </row>
    <row r="773" spans="1:28" x14ac:dyDescent="0.25">
      <c r="A773" s="2">
        <v>45057</v>
      </c>
      <c r="B773" t="s">
        <v>34</v>
      </c>
      <c r="C773" t="s">
        <v>17</v>
      </c>
      <c r="D773" t="s">
        <v>65</v>
      </c>
      <c r="E773" t="s">
        <v>64</v>
      </c>
      <c r="F773" t="s">
        <v>27</v>
      </c>
      <c r="G773" t="s">
        <v>44</v>
      </c>
      <c r="H773">
        <v>15</v>
      </c>
      <c r="I773" s="1">
        <v>1197.31</v>
      </c>
      <c r="J773" s="1">
        <f t="shared" si="86"/>
        <v>16163.685000000001</v>
      </c>
      <c r="K773" s="1">
        <f t="shared" si="87"/>
        <v>1795.9650000000001</v>
      </c>
      <c r="L773" s="1">
        <v>17959.650000000001</v>
      </c>
      <c r="M773" s="1">
        <f t="shared" si="88"/>
        <v>3232.7370000000001</v>
      </c>
      <c r="N773" s="1">
        <f t="shared" si="89"/>
        <v>21192.387000000002</v>
      </c>
      <c r="S773" t="str">
        <f t="shared" si="84"/>
        <v>Punjab</v>
      </c>
      <c r="W773" t="str">
        <f t="shared" si="85"/>
        <v>East</v>
      </c>
      <c r="AB773" t="str">
        <f t="shared" si="90"/>
        <v>PK-PB</v>
      </c>
    </row>
    <row r="774" spans="1:28" x14ac:dyDescent="0.25">
      <c r="A774" s="2">
        <v>45025</v>
      </c>
      <c r="B774" t="s">
        <v>16</v>
      </c>
      <c r="C774" t="s">
        <v>57</v>
      </c>
      <c r="D774" t="s">
        <v>22</v>
      </c>
      <c r="E774" t="s">
        <v>13</v>
      </c>
      <c r="F774" t="s">
        <v>19</v>
      </c>
      <c r="G774" t="s">
        <v>30</v>
      </c>
      <c r="H774">
        <v>9</v>
      </c>
      <c r="I774" s="1">
        <v>3441.09</v>
      </c>
      <c r="J774" s="1">
        <f t="shared" si="86"/>
        <v>27872.829000000002</v>
      </c>
      <c r="K774" s="1">
        <f t="shared" si="87"/>
        <v>3096.9810000000002</v>
      </c>
      <c r="L774" s="1">
        <v>30969.81</v>
      </c>
      <c r="M774" s="1">
        <f t="shared" si="88"/>
        <v>5574.5658000000003</v>
      </c>
      <c r="N774" s="1">
        <f t="shared" si="89"/>
        <v>36544.375800000002</v>
      </c>
      <c r="S774" t="str">
        <f t="shared" si="84"/>
        <v>Balochistan</v>
      </c>
      <c r="W774" t="str">
        <f t="shared" si="85"/>
        <v>West</v>
      </c>
      <c r="AB774" t="str">
        <f t="shared" si="90"/>
        <v>PK-BA</v>
      </c>
    </row>
    <row r="775" spans="1:28" x14ac:dyDescent="0.25">
      <c r="A775" s="2">
        <v>45100</v>
      </c>
      <c r="B775" t="s">
        <v>16</v>
      </c>
      <c r="C775" t="s">
        <v>26</v>
      </c>
      <c r="D775" t="s">
        <v>12</v>
      </c>
      <c r="E775" t="s">
        <v>18</v>
      </c>
      <c r="F775" t="s">
        <v>14</v>
      </c>
      <c r="G775" t="s">
        <v>51</v>
      </c>
      <c r="H775">
        <v>2</v>
      </c>
      <c r="I775" s="1">
        <v>3325.99</v>
      </c>
      <c r="J775" s="1">
        <f t="shared" si="86"/>
        <v>5986.7820000000002</v>
      </c>
      <c r="K775" s="1">
        <f t="shared" si="87"/>
        <v>665.19799999999998</v>
      </c>
      <c r="L775" s="1">
        <v>6651.98</v>
      </c>
      <c r="M775" s="1">
        <f t="shared" si="88"/>
        <v>1197.3563999999999</v>
      </c>
      <c r="N775" s="1">
        <f t="shared" si="89"/>
        <v>7849.3363999999992</v>
      </c>
      <c r="S775" t="str">
        <f t="shared" si="84"/>
        <v>Sindh</v>
      </c>
      <c r="W775" t="str">
        <f t="shared" si="85"/>
        <v>South</v>
      </c>
      <c r="AB775" t="str">
        <f t="shared" si="90"/>
        <v>PK-SD</v>
      </c>
    </row>
    <row r="776" spans="1:28" x14ac:dyDescent="0.25">
      <c r="A776" s="2">
        <v>45165</v>
      </c>
      <c r="B776" t="s">
        <v>43</v>
      </c>
      <c r="C776" t="s">
        <v>26</v>
      </c>
      <c r="D776" t="s">
        <v>12</v>
      </c>
      <c r="E776" t="s">
        <v>18</v>
      </c>
      <c r="F776" t="s">
        <v>23</v>
      </c>
      <c r="G776" t="s">
        <v>24</v>
      </c>
      <c r="H776">
        <v>2</v>
      </c>
      <c r="I776" s="1">
        <v>991.8</v>
      </c>
      <c r="J776" s="1">
        <f t="shared" si="86"/>
        <v>1785.24</v>
      </c>
      <c r="K776" s="1">
        <f t="shared" si="87"/>
        <v>198.36</v>
      </c>
      <c r="L776" s="1">
        <v>1983.6</v>
      </c>
      <c r="M776" s="1">
        <f t="shared" si="88"/>
        <v>357.04799999999994</v>
      </c>
      <c r="N776" s="1">
        <f t="shared" si="89"/>
        <v>2340.6479999999997</v>
      </c>
      <c r="S776" t="str">
        <f t="shared" si="84"/>
        <v>Sindh</v>
      </c>
      <c r="W776" t="str">
        <f t="shared" si="85"/>
        <v>South</v>
      </c>
      <c r="AB776" t="str">
        <f t="shared" si="90"/>
        <v>PK-SD</v>
      </c>
    </row>
    <row r="777" spans="1:28" x14ac:dyDescent="0.25">
      <c r="A777" s="2">
        <v>45040</v>
      </c>
      <c r="B777" t="s">
        <v>40</v>
      </c>
      <c r="C777" t="s">
        <v>26</v>
      </c>
      <c r="D777" t="s">
        <v>12</v>
      </c>
      <c r="E777" t="s">
        <v>18</v>
      </c>
      <c r="F777" t="s">
        <v>27</v>
      </c>
      <c r="G777" t="s">
        <v>28</v>
      </c>
      <c r="H777">
        <v>9</v>
      </c>
      <c r="I777" s="1">
        <v>4763.01</v>
      </c>
      <c r="J777" s="1">
        <f t="shared" si="86"/>
        <v>38580.381000000001</v>
      </c>
      <c r="K777" s="1">
        <f t="shared" si="87"/>
        <v>4286.7089999999998</v>
      </c>
      <c r="L777" s="1">
        <v>42867.09</v>
      </c>
      <c r="M777" s="1">
        <f t="shared" si="88"/>
        <v>7716.0761999999995</v>
      </c>
      <c r="N777" s="1">
        <f t="shared" si="89"/>
        <v>50583.166199999992</v>
      </c>
      <c r="S777" t="str">
        <f t="shared" si="84"/>
        <v>Sindh</v>
      </c>
      <c r="W777" t="str">
        <f t="shared" si="85"/>
        <v>South</v>
      </c>
      <c r="AB777" t="str">
        <f t="shared" si="90"/>
        <v>PK-SD</v>
      </c>
    </row>
    <row r="778" spans="1:28" x14ac:dyDescent="0.25">
      <c r="A778" s="2">
        <v>45029</v>
      </c>
      <c r="B778" t="s">
        <v>38</v>
      </c>
      <c r="C778" t="s">
        <v>63</v>
      </c>
      <c r="D778" t="s">
        <v>65</v>
      </c>
      <c r="E778" t="s">
        <v>64</v>
      </c>
      <c r="F778" t="s">
        <v>23</v>
      </c>
      <c r="G778" t="s">
        <v>47</v>
      </c>
      <c r="H778">
        <v>8</v>
      </c>
      <c r="I778" s="1">
        <v>826.71</v>
      </c>
      <c r="J778" s="1">
        <f t="shared" si="86"/>
        <v>5952.3120000000008</v>
      </c>
      <c r="K778" s="1">
        <f t="shared" si="87"/>
        <v>661.36800000000005</v>
      </c>
      <c r="L778" s="1">
        <v>6613.68</v>
      </c>
      <c r="M778" s="1">
        <f t="shared" si="88"/>
        <v>1190.4624000000001</v>
      </c>
      <c r="N778" s="1">
        <f t="shared" si="89"/>
        <v>7804.1424000000006</v>
      </c>
      <c r="S778" t="str">
        <f t="shared" si="84"/>
        <v>Punjab</v>
      </c>
      <c r="W778" t="str">
        <f t="shared" si="85"/>
        <v>East</v>
      </c>
      <c r="AB778" t="str">
        <f t="shared" si="90"/>
        <v>PK-PB</v>
      </c>
    </row>
    <row r="779" spans="1:28" x14ac:dyDescent="0.25">
      <c r="A779" s="2">
        <v>45222</v>
      </c>
      <c r="B779" t="s">
        <v>10</v>
      </c>
      <c r="C779" t="s">
        <v>54</v>
      </c>
      <c r="D779" t="s">
        <v>12</v>
      </c>
      <c r="E779" t="s">
        <v>18</v>
      </c>
      <c r="F779" t="s">
        <v>27</v>
      </c>
      <c r="G779" t="s">
        <v>46</v>
      </c>
      <c r="H779">
        <v>9</v>
      </c>
      <c r="I779" s="1">
        <v>209.57</v>
      </c>
      <c r="J779" s="1">
        <f t="shared" si="86"/>
        <v>1697.5170000000001</v>
      </c>
      <c r="K779" s="1">
        <f t="shared" si="87"/>
        <v>188.61300000000003</v>
      </c>
      <c r="L779" s="1">
        <v>1886.13</v>
      </c>
      <c r="M779" s="1">
        <f t="shared" si="88"/>
        <v>339.5034</v>
      </c>
      <c r="N779" s="1">
        <f t="shared" si="89"/>
        <v>2225.6334000000002</v>
      </c>
      <c r="S779" t="str">
        <f t="shared" si="84"/>
        <v>Sindh</v>
      </c>
      <c r="W779" t="str">
        <f t="shared" si="85"/>
        <v>South</v>
      </c>
      <c r="AB779" t="str">
        <f t="shared" si="90"/>
        <v>PK-SD</v>
      </c>
    </row>
    <row r="780" spans="1:28" x14ac:dyDescent="0.25">
      <c r="A780" s="2">
        <v>45092</v>
      </c>
      <c r="B780" t="s">
        <v>29</v>
      </c>
      <c r="C780" t="s">
        <v>54</v>
      </c>
      <c r="D780" t="s">
        <v>12</v>
      </c>
      <c r="E780" t="s">
        <v>18</v>
      </c>
      <c r="F780" t="s">
        <v>32</v>
      </c>
      <c r="G780" t="s">
        <v>33</v>
      </c>
      <c r="H780">
        <v>7</v>
      </c>
      <c r="I780" s="1">
        <v>2538.4299999999998</v>
      </c>
      <c r="J780" s="1">
        <f t="shared" si="86"/>
        <v>15992.108999999999</v>
      </c>
      <c r="K780" s="1">
        <f t="shared" si="87"/>
        <v>1776.9009999999998</v>
      </c>
      <c r="L780" s="1">
        <v>17769.009999999998</v>
      </c>
      <c r="M780" s="1">
        <f t="shared" si="88"/>
        <v>3198.4217999999996</v>
      </c>
      <c r="N780" s="1">
        <f t="shared" si="89"/>
        <v>20967.431799999998</v>
      </c>
      <c r="S780" t="str">
        <f t="shared" si="84"/>
        <v>Sindh</v>
      </c>
      <c r="W780" t="str">
        <f t="shared" si="85"/>
        <v>South</v>
      </c>
      <c r="AB780" t="str">
        <f t="shared" si="90"/>
        <v>PK-SD</v>
      </c>
    </row>
    <row r="781" spans="1:28" x14ac:dyDescent="0.25">
      <c r="A781" s="2">
        <v>45134</v>
      </c>
      <c r="B781" t="s">
        <v>25</v>
      </c>
      <c r="C781" t="s">
        <v>60</v>
      </c>
      <c r="D781" t="s">
        <v>12</v>
      </c>
      <c r="E781" t="s">
        <v>18</v>
      </c>
      <c r="F781" t="s">
        <v>27</v>
      </c>
      <c r="G781" t="s">
        <v>44</v>
      </c>
      <c r="H781">
        <v>7</v>
      </c>
      <c r="I781" s="1">
        <v>4116.9799999999996</v>
      </c>
      <c r="J781" s="1">
        <f t="shared" si="86"/>
        <v>25936.974000000002</v>
      </c>
      <c r="K781" s="1">
        <f t="shared" si="87"/>
        <v>2881.8860000000004</v>
      </c>
      <c r="L781" s="1">
        <v>28818.86</v>
      </c>
      <c r="M781" s="1">
        <f t="shared" si="88"/>
        <v>5187.3948</v>
      </c>
      <c r="N781" s="1">
        <f t="shared" si="89"/>
        <v>34006.254800000002</v>
      </c>
      <c r="S781" t="str">
        <f t="shared" si="84"/>
        <v>Sindh</v>
      </c>
      <c r="W781" t="str">
        <f t="shared" si="85"/>
        <v>South</v>
      </c>
      <c r="AB781" t="str">
        <f t="shared" si="90"/>
        <v>PK-SD</v>
      </c>
    </row>
    <row r="782" spans="1:28" x14ac:dyDescent="0.25">
      <c r="A782" s="2">
        <v>45108</v>
      </c>
      <c r="B782" t="s">
        <v>16</v>
      </c>
      <c r="C782" t="s">
        <v>59</v>
      </c>
      <c r="D782" t="s">
        <v>66</v>
      </c>
      <c r="E782" t="s">
        <v>41</v>
      </c>
      <c r="F782" t="s">
        <v>32</v>
      </c>
      <c r="G782" t="s">
        <v>36</v>
      </c>
      <c r="H782">
        <v>20</v>
      </c>
      <c r="I782" s="1">
        <v>3638.01</v>
      </c>
      <c r="J782" s="1">
        <f t="shared" si="86"/>
        <v>65484.18</v>
      </c>
      <c r="K782" s="1">
        <f t="shared" si="87"/>
        <v>7276.02</v>
      </c>
      <c r="L782" s="1">
        <v>72760.2</v>
      </c>
      <c r="M782" s="1">
        <f t="shared" si="88"/>
        <v>13096.835999999999</v>
      </c>
      <c r="N782" s="1">
        <f t="shared" si="89"/>
        <v>85857.035999999993</v>
      </c>
      <c r="S782" t="str">
        <f t="shared" si="84"/>
        <v>Khyber Pakhtunkhwa</v>
      </c>
      <c r="W782" t="str">
        <f t="shared" si="85"/>
        <v>North</v>
      </c>
      <c r="AB782" t="str">
        <f t="shared" si="90"/>
        <v>Khyber Pakhtunkhwa</v>
      </c>
    </row>
    <row r="783" spans="1:28" x14ac:dyDescent="0.25">
      <c r="A783" s="2">
        <v>44954</v>
      </c>
      <c r="B783" t="s">
        <v>43</v>
      </c>
      <c r="C783" t="s">
        <v>58</v>
      </c>
      <c r="D783" t="s">
        <v>12</v>
      </c>
      <c r="E783" t="s">
        <v>18</v>
      </c>
      <c r="F783" t="s">
        <v>14</v>
      </c>
      <c r="G783" t="s">
        <v>51</v>
      </c>
      <c r="H783">
        <v>8</v>
      </c>
      <c r="I783" s="1">
        <v>4523.4399999999996</v>
      </c>
      <c r="J783" s="1">
        <f t="shared" si="86"/>
        <v>32568.767999999996</v>
      </c>
      <c r="K783" s="1">
        <f t="shared" si="87"/>
        <v>3618.752</v>
      </c>
      <c r="L783" s="1">
        <v>36187.519999999997</v>
      </c>
      <c r="M783" s="1">
        <f t="shared" si="88"/>
        <v>6513.7535999999991</v>
      </c>
      <c r="N783" s="1">
        <f t="shared" si="89"/>
        <v>42701.273599999993</v>
      </c>
      <c r="S783" t="str">
        <f t="shared" si="84"/>
        <v>Sindh</v>
      </c>
      <c r="W783" t="str">
        <f t="shared" si="85"/>
        <v>South</v>
      </c>
      <c r="AB783" t="str">
        <f t="shared" si="90"/>
        <v>PK-SD</v>
      </c>
    </row>
    <row r="784" spans="1:28" x14ac:dyDescent="0.25">
      <c r="A784" s="2">
        <v>45198</v>
      </c>
      <c r="B784" t="s">
        <v>25</v>
      </c>
      <c r="C784" t="s">
        <v>26</v>
      </c>
      <c r="D784" t="s">
        <v>12</v>
      </c>
      <c r="E784" t="s">
        <v>18</v>
      </c>
      <c r="F784" t="s">
        <v>14</v>
      </c>
      <c r="G784" t="s">
        <v>45</v>
      </c>
      <c r="H784">
        <v>17</v>
      </c>
      <c r="I784" s="1">
        <v>2042</v>
      </c>
      <c r="J784" s="1">
        <f t="shared" si="86"/>
        <v>31242.600000000002</v>
      </c>
      <c r="K784" s="1">
        <f t="shared" si="87"/>
        <v>3471.4</v>
      </c>
      <c r="L784" s="1">
        <v>34714</v>
      </c>
      <c r="M784" s="1">
        <f t="shared" si="88"/>
        <v>6248.5199999999995</v>
      </c>
      <c r="N784" s="1">
        <f t="shared" si="89"/>
        <v>40962.519999999997</v>
      </c>
      <c r="S784" t="str">
        <f t="shared" si="84"/>
        <v>Sindh</v>
      </c>
      <c r="W784" t="str">
        <f t="shared" si="85"/>
        <v>South</v>
      </c>
      <c r="AB784" t="str">
        <f t="shared" si="90"/>
        <v>PK-SD</v>
      </c>
    </row>
    <row r="785" spans="1:28" x14ac:dyDescent="0.25">
      <c r="A785" s="2">
        <v>44983</v>
      </c>
      <c r="B785" t="s">
        <v>43</v>
      </c>
      <c r="C785" t="s">
        <v>55</v>
      </c>
      <c r="D785" t="s">
        <v>66</v>
      </c>
      <c r="E785" t="s">
        <v>41</v>
      </c>
      <c r="F785" t="s">
        <v>19</v>
      </c>
      <c r="G785" t="s">
        <v>20</v>
      </c>
      <c r="H785">
        <v>19</v>
      </c>
      <c r="I785" s="1">
        <v>2357.62</v>
      </c>
      <c r="J785" s="1">
        <f t="shared" si="86"/>
        <v>40315.302000000003</v>
      </c>
      <c r="K785" s="1">
        <f t="shared" si="87"/>
        <v>4479.4780000000001</v>
      </c>
      <c r="L785" s="1">
        <v>44794.78</v>
      </c>
      <c r="M785" s="1">
        <f t="shared" si="88"/>
        <v>8063.0603999999994</v>
      </c>
      <c r="N785" s="1">
        <f t="shared" si="89"/>
        <v>52857.840400000001</v>
      </c>
      <c r="S785" t="str">
        <f t="shared" si="84"/>
        <v>Khyber Pakhtunkhwa</v>
      </c>
      <c r="W785" t="str">
        <f t="shared" si="85"/>
        <v>North</v>
      </c>
      <c r="AB785" t="str">
        <f t="shared" si="90"/>
        <v>Khyber Pakhtunkhwa</v>
      </c>
    </row>
    <row r="786" spans="1:28" x14ac:dyDescent="0.25">
      <c r="A786" s="2">
        <v>44963</v>
      </c>
      <c r="B786" t="s">
        <v>21</v>
      </c>
      <c r="C786" t="s">
        <v>57</v>
      </c>
      <c r="D786" t="s">
        <v>22</v>
      </c>
      <c r="E786" t="s">
        <v>13</v>
      </c>
      <c r="F786" t="s">
        <v>23</v>
      </c>
      <c r="G786" t="s">
        <v>24</v>
      </c>
      <c r="H786">
        <v>18</v>
      </c>
      <c r="I786" s="1">
        <v>941.19</v>
      </c>
      <c r="J786" s="1">
        <f t="shared" si="86"/>
        <v>15247.277999999998</v>
      </c>
      <c r="K786" s="1">
        <f t="shared" si="87"/>
        <v>1694.1419999999998</v>
      </c>
      <c r="L786" s="1">
        <v>16941.419999999998</v>
      </c>
      <c r="M786" s="1">
        <f t="shared" si="88"/>
        <v>3049.4555999999998</v>
      </c>
      <c r="N786" s="1">
        <f t="shared" si="89"/>
        <v>19990.875599999999</v>
      </c>
      <c r="S786" t="str">
        <f t="shared" si="84"/>
        <v>Balochistan</v>
      </c>
      <c r="W786" t="str">
        <f t="shared" si="85"/>
        <v>West</v>
      </c>
      <c r="AB786" t="str">
        <f t="shared" si="90"/>
        <v>PK-BA</v>
      </c>
    </row>
    <row r="787" spans="1:28" x14ac:dyDescent="0.25">
      <c r="A787" s="2">
        <v>45050</v>
      </c>
      <c r="B787" t="s">
        <v>40</v>
      </c>
      <c r="C787" t="s">
        <v>17</v>
      </c>
      <c r="D787" t="s">
        <v>65</v>
      </c>
      <c r="E787" t="s">
        <v>64</v>
      </c>
      <c r="F787" t="s">
        <v>23</v>
      </c>
      <c r="G787" t="s">
        <v>39</v>
      </c>
      <c r="H787">
        <v>9</v>
      </c>
      <c r="I787" s="1">
        <v>3927.83</v>
      </c>
      <c r="J787" s="1">
        <f t="shared" si="86"/>
        <v>31815.423000000003</v>
      </c>
      <c r="K787" s="1">
        <f t="shared" si="87"/>
        <v>3535.0470000000005</v>
      </c>
      <c r="L787" s="1">
        <v>35350.47</v>
      </c>
      <c r="M787" s="1">
        <f t="shared" si="88"/>
        <v>6363.0846000000001</v>
      </c>
      <c r="N787" s="1">
        <f t="shared" si="89"/>
        <v>41713.554600000003</v>
      </c>
      <c r="S787" t="str">
        <f t="shared" si="84"/>
        <v>Punjab</v>
      </c>
      <c r="W787" t="str">
        <f t="shared" si="85"/>
        <v>East</v>
      </c>
      <c r="AB787" t="str">
        <f t="shared" si="90"/>
        <v>PK-PB</v>
      </c>
    </row>
    <row r="788" spans="1:28" x14ac:dyDescent="0.25">
      <c r="A788" s="2">
        <v>45256</v>
      </c>
      <c r="B788" t="s">
        <v>16</v>
      </c>
      <c r="C788" t="s">
        <v>54</v>
      </c>
      <c r="D788" t="s">
        <v>12</v>
      </c>
      <c r="E788" t="s">
        <v>18</v>
      </c>
      <c r="F788" t="s">
        <v>27</v>
      </c>
      <c r="G788" t="s">
        <v>44</v>
      </c>
      <c r="H788">
        <v>1</v>
      </c>
      <c r="I788" s="1">
        <v>4555.42</v>
      </c>
      <c r="J788" s="1">
        <f t="shared" si="86"/>
        <v>4099.8780000000006</v>
      </c>
      <c r="K788" s="1">
        <f t="shared" si="87"/>
        <v>455.54200000000003</v>
      </c>
      <c r="L788" s="1">
        <v>4555.42</v>
      </c>
      <c r="M788" s="1">
        <f t="shared" si="88"/>
        <v>819.97559999999999</v>
      </c>
      <c r="N788" s="1">
        <f t="shared" si="89"/>
        <v>5375.3955999999998</v>
      </c>
      <c r="S788" t="str">
        <f t="shared" si="84"/>
        <v>Sindh</v>
      </c>
      <c r="W788" t="str">
        <f t="shared" si="85"/>
        <v>South</v>
      </c>
      <c r="AB788" t="str">
        <f t="shared" si="90"/>
        <v>PK-SD</v>
      </c>
    </row>
    <row r="789" spans="1:28" x14ac:dyDescent="0.25">
      <c r="A789" s="2">
        <v>45046</v>
      </c>
      <c r="B789" t="s">
        <v>29</v>
      </c>
      <c r="C789" t="s">
        <v>11</v>
      </c>
      <c r="D789" t="s">
        <v>22</v>
      </c>
      <c r="E789" t="s">
        <v>13</v>
      </c>
      <c r="F789" t="s">
        <v>23</v>
      </c>
      <c r="G789" t="s">
        <v>39</v>
      </c>
      <c r="H789">
        <v>18</v>
      </c>
      <c r="I789" s="1">
        <v>3271.29</v>
      </c>
      <c r="J789" s="1">
        <f t="shared" si="86"/>
        <v>52994.898000000001</v>
      </c>
      <c r="K789" s="1">
        <f t="shared" si="87"/>
        <v>5888.3220000000001</v>
      </c>
      <c r="L789" s="1">
        <v>58883.22</v>
      </c>
      <c r="M789" s="1">
        <f t="shared" si="88"/>
        <v>10598.979600000001</v>
      </c>
      <c r="N789" s="1">
        <f t="shared" si="89"/>
        <v>69482.199600000007</v>
      </c>
      <c r="S789" t="str">
        <f t="shared" si="84"/>
        <v>Balochistan</v>
      </c>
      <c r="W789" t="str">
        <f t="shared" si="85"/>
        <v>West</v>
      </c>
      <c r="AB789" t="str">
        <f t="shared" si="90"/>
        <v>PK-BA</v>
      </c>
    </row>
    <row r="790" spans="1:28" x14ac:dyDescent="0.25">
      <c r="A790" s="2">
        <v>45163</v>
      </c>
      <c r="B790" t="s">
        <v>10</v>
      </c>
      <c r="C790" t="s">
        <v>63</v>
      </c>
      <c r="D790" t="s">
        <v>65</v>
      </c>
      <c r="E790" t="s">
        <v>64</v>
      </c>
      <c r="F790" t="s">
        <v>32</v>
      </c>
      <c r="G790" t="s">
        <v>49</v>
      </c>
      <c r="H790">
        <v>15</v>
      </c>
      <c r="I790" s="1">
        <v>4406.3100000000004</v>
      </c>
      <c r="J790" s="1">
        <f t="shared" si="86"/>
        <v>59485.184999999998</v>
      </c>
      <c r="K790" s="1">
        <f t="shared" si="87"/>
        <v>6609.4650000000001</v>
      </c>
      <c r="L790" s="1">
        <v>66094.649999999994</v>
      </c>
      <c r="M790" s="1">
        <f t="shared" si="88"/>
        <v>11897.036999999998</v>
      </c>
      <c r="N790" s="1">
        <f t="shared" si="89"/>
        <v>77991.686999999991</v>
      </c>
      <c r="S790" t="str">
        <f t="shared" si="84"/>
        <v>Punjab</v>
      </c>
      <c r="W790" t="str">
        <f t="shared" si="85"/>
        <v>East</v>
      </c>
      <c r="AB790" t="str">
        <f t="shared" si="90"/>
        <v>PK-PB</v>
      </c>
    </row>
    <row r="791" spans="1:28" x14ac:dyDescent="0.25">
      <c r="A791" s="2">
        <v>45263</v>
      </c>
      <c r="B791" t="s">
        <v>38</v>
      </c>
      <c r="C791" t="s">
        <v>60</v>
      </c>
      <c r="D791" t="s">
        <v>12</v>
      </c>
      <c r="E791" t="s">
        <v>18</v>
      </c>
      <c r="F791" t="s">
        <v>19</v>
      </c>
      <c r="G791" t="s">
        <v>52</v>
      </c>
      <c r="H791">
        <v>19</v>
      </c>
      <c r="I791" s="1">
        <v>2016.56</v>
      </c>
      <c r="J791" s="1">
        <f t="shared" si="86"/>
        <v>34483.175999999999</v>
      </c>
      <c r="K791" s="1">
        <f t="shared" si="87"/>
        <v>3831.4639999999999</v>
      </c>
      <c r="L791" s="1">
        <v>38314.639999999999</v>
      </c>
      <c r="M791" s="1">
        <f t="shared" si="88"/>
        <v>6896.6351999999997</v>
      </c>
      <c r="N791" s="1">
        <f t="shared" si="89"/>
        <v>45211.275199999996</v>
      </c>
      <c r="S791" t="str">
        <f t="shared" si="84"/>
        <v>Sindh</v>
      </c>
      <c r="W791" t="str">
        <f t="shared" si="85"/>
        <v>South</v>
      </c>
      <c r="AB791" t="str">
        <f t="shared" si="90"/>
        <v>PK-SD</v>
      </c>
    </row>
    <row r="792" spans="1:28" x14ac:dyDescent="0.25">
      <c r="A792" s="2">
        <v>45188</v>
      </c>
      <c r="B792" t="s">
        <v>38</v>
      </c>
      <c r="C792" t="s">
        <v>63</v>
      </c>
      <c r="D792" t="s">
        <v>65</v>
      </c>
      <c r="E792" t="s">
        <v>64</v>
      </c>
      <c r="F792" t="s">
        <v>14</v>
      </c>
      <c r="G792" t="s">
        <v>53</v>
      </c>
      <c r="H792">
        <v>13</v>
      </c>
      <c r="I792" s="1">
        <v>3531.03</v>
      </c>
      <c r="J792" s="1">
        <f t="shared" si="86"/>
        <v>41313.050999999999</v>
      </c>
      <c r="K792" s="1">
        <f t="shared" si="87"/>
        <v>4590.3389999999999</v>
      </c>
      <c r="L792" s="1">
        <v>45903.39</v>
      </c>
      <c r="M792" s="1">
        <f t="shared" si="88"/>
        <v>8262.6101999999992</v>
      </c>
      <c r="N792" s="1">
        <f t="shared" si="89"/>
        <v>54166.000199999995</v>
      </c>
      <c r="S792" t="str">
        <f t="shared" si="84"/>
        <v>Punjab</v>
      </c>
      <c r="W792" t="str">
        <f t="shared" si="85"/>
        <v>East</v>
      </c>
      <c r="AB792" t="str">
        <f t="shared" si="90"/>
        <v>PK-PB</v>
      </c>
    </row>
    <row r="793" spans="1:28" x14ac:dyDescent="0.25">
      <c r="A793" s="2">
        <v>45245</v>
      </c>
      <c r="B793" t="s">
        <v>31</v>
      </c>
      <c r="C793" t="s">
        <v>17</v>
      </c>
      <c r="D793" t="s">
        <v>65</v>
      </c>
      <c r="E793" t="s">
        <v>64</v>
      </c>
      <c r="F793" t="s">
        <v>14</v>
      </c>
      <c r="G793" t="s">
        <v>15</v>
      </c>
      <c r="H793">
        <v>7</v>
      </c>
      <c r="I793" s="1">
        <v>4077.95</v>
      </c>
      <c r="J793" s="1">
        <f t="shared" si="86"/>
        <v>25691.085000000003</v>
      </c>
      <c r="K793" s="1">
        <f t="shared" si="87"/>
        <v>2854.5650000000005</v>
      </c>
      <c r="L793" s="1">
        <v>28545.65</v>
      </c>
      <c r="M793" s="1">
        <f t="shared" si="88"/>
        <v>5138.2169999999996</v>
      </c>
      <c r="N793" s="1">
        <f t="shared" si="89"/>
        <v>33683.866999999998</v>
      </c>
      <c r="S793" t="str">
        <f t="shared" si="84"/>
        <v>Punjab</v>
      </c>
      <c r="W793" t="str">
        <f t="shared" si="85"/>
        <v>East</v>
      </c>
      <c r="AB793" t="str">
        <f t="shared" si="90"/>
        <v>PK-PB</v>
      </c>
    </row>
    <row r="794" spans="1:28" x14ac:dyDescent="0.25">
      <c r="A794" s="2">
        <v>45032</v>
      </c>
      <c r="B794" t="s">
        <v>29</v>
      </c>
      <c r="C794" t="s">
        <v>57</v>
      </c>
      <c r="D794" t="s">
        <v>22</v>
      </c>
      <c r="E794" t="s">
        <v>13</v>
      </c>
      <c r="F794" t="s">
        <v>27</v>
      </c>
      <c r="G794" t="s">
        <v>46</v>
      </c>
      <c r="H794">
        <v>1</v>
      </c>
      <c r="I794" s="1">
        <v>1628.88</v>
      </c>
      <c r="J794" s="1">
        <f t="shared" si="86"/>
        <v>1465.9920000000002</v>
      </c>
      <c r="K794" s="1">
        <f t="shared" si="87"/>
        <v>162.88800000000003</v>
      </c>
      <c r="L794" s="1">
        <v>1628.88</v>
      </c>
      <c r="M794" s="1">
        <f t="shared" si="88"/>
        <v>293.19839999999999</v>
      </c>
      <c r="N794" s="1">
        <f t="shared" si="89"/>
        <v>1922.0784000000001</v>
      </c>
      <c r="S794" t="str">
        <f t="shared" si="84"/>
        <v>Balochistan</v>
      </c>
      <c r="W794" t="str">
        <f t="shared" si="85"/>
        <v>West</v>
      </c>
      <c r="AB794" t="str">
        <f t="shared" si="90"/>
        <v>PK-BA</v>
      </c>
    </row>
    <row r="795" spans="1:28" x14ac:dyDescent="0.25">
      <c r="A795" s="2">
        <v>44976</v>
      </c>
      <c r="B795" t="s">
        <v>16</v>
      </c>
      <c r="C795" t="s">
        <v>54</v>
      </c>
      <c r="D795" t="s">
        <v>12</v>
      </c>
      <c r="E795" t="s">
        <v>18</v>
      </c>
      <c r="F795" t="s">
        <v>23</v>
      </c>
      <c r="G795" t="s">
        <v>24</v>
      </c>
      <c r="H795">
        <v>15</v>
      </c>
      <c r="I795" s="1">
        <v>2093.0300000000002</v>
      </c>
      <c r="J795" s="1">
        <f t="shared" si="86"/>
        <v>28255.905000000002</v>
      </c>
      <c r="K795" s="1">
        <f t="shared" si="87"/>
        <v>3139.5450000000001</v>
      </c>
      <c r="L795" s="1">
        <v>31395.45</v>
      </c>
      <c r="M795" s="1">
        <f t="shared" si="88"/>
        <v>5651.1809999999996</v>
      </c>
      <c r="N795" s="1">
        <f t="shared" si="89"/>
        <v>37046.631000000001</v>
      </c>
      <c r="S795" t="str">
        <f t="shared" si="84"/>
        <v>Sindh</v>
      </c>
      <c r="W795" t="str">
        <f t="shared" si="85"/>
        <v>South</v>
      </c>
      <c r="AB795" t="str">
        <f t="shared" si="90"/>
        <v>PK-SD</v>
      </c>
    </row>
    <row r="796" spans="1:28" x14ac:dyDescent="0.25">
      <c r="A796" s="2">
        <v>45110</v>
      </c>
      <c r="B796" t="s">
        <v>40</v>
      </c>
      <c r="C796" t="s">
        <v>61</v>
      </c>
      <c r="D796" t="s">
        <v>65</v>
      </c>
      <c r="E796" t="s">
        <v>64</v>
      </c>
      <c r="F796" t="s">
        <v>23</v>
      </c>
      <c r="G796" t="s">
        <v>39</v>
      </c>
      <c r="H796">
        <v>14</v>
      </c>
      <c r="I796" s="1">
        <v>2441.0700000000002</v>
      </c>
      <c r="J796" s="1">
        <f t="shared" si="86"/>
        <v>30757.482000000004</v>
      </c>
      <c r="K796" s="1">
        <f t="shared" si="87"/>
        <v>3417.4980000000005</v>
      </c>
      <c r="L796" s="1">
        <v>34174.980000000003</v>
      </c>
      <c r="M796" s="1">
        <f t="shared" si="88"/>
        <v>6151.4964</v>
      </c>
      <c r="N796" s="1">
        <f t="shared" si="89"/>
        <v>40326.4764</v>
      </c>
      <c r="S796" t="str">
        <f t="shared" si="84"/>
        <v>Punjab</v>
      </c>
      <c r="W796" t="str">
        <f t="shared" si="85"/>
        <v>East</v>
      </c>
      <c r="AB796" t="str">
        <f t="shared" si="90"/>
        <v>PK-PB</v>
      </c>
    </row>
    <row r="797" spans="1:28" x14ac:dyDescent="0.25">
      <c r="A797" s="2">
        <v>45089</v>
      </c>
      <c r="B797" t="s">
        <v>43</v>
      </c>
      <c r="C797" t="s">
        <v>59</v>
      </c>
      <c r="D797" t="s">
        <v>66</v>
      </c>
      <c r="E797" t="s">
        <v>41</v>
      </c>
      <c r="F797" t="s">
        <v>14</v>
      </c>
      <c r="G797" t="s">
        <v>51</v>
      </c>
      <c r="H797">
        <v>18</v>
      </c>
      <c r="I797" s="1">
        <v>134.66999999999999</v>
      </c>
      <c r="J797" s="1">
        <f t="shared" si="86"/>
        <v>2181.654</v>
      </c>
      <c r="K797" s="1">
        <f t="shared" si="87"/>
        <v>242.40600000000001</v>
      </c>
      <c r="L797" s="1">
        <v>2424.06</v>
      </c>
      <c r="M797" s="1">
        <f t="shared" si="88"/>
        <v>436.33079999999995</v>
      </c>
      <c r="N797" s="1">
        <f t="shared" si="89"/>
        <v>2860.3908000000001</v>
      </c>
      <c r="S797" t="str">
        <f t="shared" si="84"/>
        <v>Khyber Pakhtunkhwa</v>
      </c>
      <c r="W797" t="str">
        <f t="shared" si="85"/>
        <v>North</v>
      </c>
      <c r="AB797" t="str">
        <f t="shared" si="90"/>
        <v>Khyber Pakhtunkhwa</v>
      </c>
    </row>
    <row r="798" spans="1:28" x14ac:dyDescent="0.25">
      <c r="A798" s="2">
        <v>45148</v>
      </c>
      <c r="B798" t="s">
        <v>16</v>
      </c>
      <c r="C798" t="s">
        <v>57</v>
      </c>
      <c r="D798" t="s">
        <v>22</v>
      </c>
      <c r="E798" t="s">
        <v>13</v>
      </c>
      <c r="F798" t="s">
        <v>32</v>
      </c>
      <c r="G798" t="s">
        <v>33</v>
      </c>
      <c r="H798">
        <v>8</v>
      </c>
      <c r="I798" s="1">
        <v>2518.13</v>
      </c>
      <c r="J798" s="1">
        <f t="shared" si="86"/>
        <v>18130.536</v>
      </c>
      <c r="K798" s="1">
        <f t="shared" si="87"/>
        <v>2014.5040000000001</v>
      </c>
      <c r="L798" s="1">
        <v>20145.04</v>
      </c>
      <c r="M798" s="1">
        <f t="shared" si="88"/>
        <v>3626.1071999999999</v>
      </c>
      <c r="N798" s="1">
        <f t="shared" si="89"/>
        <v>23771.147199999999</v>
      </c>
      <c r="S798" t="str">
        <f t="shared" si="84"/>
        <v>Balochistan</v>
      </c>
      <c r="W798" t="str">
        <f t="shared" si="85"/>
        <v>West</v>
      </c>
      <c r="AB798" t="str">
        <f t="shared" si="90"/>
        <v>PK-BA</v>
      </c>
    </row>
    <row r="799" spans="1:28" x14ac:dyDescent="0.25">
      <c r="A799" s="2">
        <v>45143</v>
      </c>
      <c r="B799" t="s">
        <v>21</v>
      </c>
      <c r="C799" t="s">
        <v>61</v>
      </c>
      <c r="D799" t="s">
        <v>65</v>
      </c>
      <c r="E799" t="s">
        <v>64</v>
      </c>
      <c r="F799" t="s">
        <v>19</v>
      </c>
      <c r="G799" t="s">
        <v>48</v>
      </c>
      <c r="H799">
        <v>1</v>
      </c>
      <c r="I799" s="1">
        <v>2366.64</v>
      </c>
      <c r="J799" s="1">
        <f t="shared" si="86"/>
        <v>2129.9760000000001</v>
      </c>
      <c r="K799" s="1">
        <f t="shared" si="87"/>
        <v>236.66399999999999</v>
      </c>
      <c r="L799" s="1">
        <v>2366.64</v>
      </c>
      <c r="M799" s="1">
        <f t="shared" si="88"/>
        <v>425.99519999999995</v>
      </c>
      <c r="N799" s="1">
        <f t="shared" si="89"/>
        <v>2792.6351999999997</v>
      </c>
      <c r="S799" t="str">
        <f t="shared" si="84"/>
        <v>Punjab</v>
      </c>
      <c r="W799" t="str">
        <f t="shared" si="85"/>
        <v>East</v>
      </c>
      <c r="AB799" t="str">
        <f t="shared" si="90"/>
        <v>PK-PB</v>
      </c>
    </row>
    <row r="800" spans="1:28" x14ac:dyDescent="0.25">
      <c r="A800" s="2">
        <v>45264</v>
      </c>
      <c r="B800" t="s">
        <v>16</v>
      </c>
      <c r="C800" t="s">
        <v>26</v>
      </c>
      <c r="D800" t="s">
        <v>12</v>
      </c>
      <c r="E800" t="s">
        <v>18</v>
      </c>
      <c r="F800" t="s">
        <v>19</v>
      </c>
      <c r="G800" t="s">
        <v>20</v>
      </c>
      <c r="H800">
        <v>14</v>
      </c>
      <c r="I800" s="1">
        <v>3167.49</v>
      </c>
      <c r="J800" s="1">
        <f t="shared" si="86"/>
        <v>39910.374000000003</v>
      </c>
      <c r="K800" s="1">
        <f t="shared" si="87"/>
        <v>4434.4859999999999</v>
      </c>
      <c r="L800" s="1">
        <v>44344.86</v>
      </c>
      <c r="M800" s="1">
        <f t="shared" si="88"/>
        <v>7982.0747999999994</v>
      </c>
      <c r="N800" s="1">
        <f t="shared" si="89"/>
        <v>52326.934800000003</v>
      </c>
      <c r="S800" t="str">
        <f t="shared" si="84"/>
        <v>Sindh</v>
      </c>
      <c r="W800" t="str">
        <f t="shared" si="85"/>
        <v>South</v>
      </c>
      <c r="AB800" t="str">
        <f t="shared" si="90"/>
        <v>PK-SD</v>
      </c>
    </row>
    <row r="801" spans="1:28" x14ac:dyDescent="0.25">
      <c r="A801" s="2">
        <v>45058</v>
      </c>
      <c r="B801" t="s">
        <v>29</v>
      </c>
      <c r="C801" t="s">
        <v>26</v>
      </c>
      <c r="D801" t="s">
        <v>12</v>
      </c>
      <c r="E801" t="s">
        <v>18</v>
      </c>
      <c r="F801" t="s">
        <v>32</v>
      </c>
      <c r="G801" t="s">
        <v>36</v>
      </c>
      <c r="H801">
        <v>9</v>
      </c>
      <c r="I801" s="1">
        <v>109.56</v>
      </c>
      <c r="J801" s="1">
        <f t="shared" si="86"/>
        <v>887.43600000000004</v>
      </c>
      <c r="K801" s="1">
        <f t="shared" si="87"/>
        <v>98.603999999999999</v>
      </c>
      <c r="L801" s="1">
        <v>986.04</v>
      </c>
      <c r="M801" s="1">
        <f t="shared" si="88"/>
        <v>177.48719999999997</v>
      </c>
      <c r="N801" s="1">
        <f t="shared" si="89"/>
        <v>1163.5272</v>
      </c>
      <c r="S801" t="str">
        <f t="shared" si="84"/>
        <v>Sindh</v>
      </c>
      <c r="W801" t="str">
        <f t="shared" si="85"/>
        <v>South</v>
      </c>
      <c r="AB801" t="str">
        <f t="shared" si="90"/>
        <v>PK-SD</v>
      </c>
    </row>
    <row r="802" spans="1:28" x14ac:dyDescent="0.25">
      <c r="A802" s="2">
        <v>45079</v>
      </c>
      <c r="B802" t="s">
        <v>31</v>
      </c>
      <c r="C802" t="s">
        <v>61</v>
      </c>
      <c r="D802" t="s">
        <v>65</v>
      </c>
      <c r="E802" t="s">
        <v>64</v>
      </c>
      <c r="F802" t="s">
        <v>32</v>
      </c>
      <c r="G802" t="s">
        <v>50</v>
      </c>
      <c r="H802">
        <v>20</v>
      </c>
      <c r="I802" s="1">
        <v>652.87</v>
      </c>
      <c r="J802" s="1">
        <f t="shared" si="86"/>
        <v>11751.66</v>
      </c>
      <c r="K802" s="1">
        <f t="shared" si="87"/>
        <v>1305.74</v>
      </c>
      <c r="L802" s="1">
        <v>13057.4</v>
      </c>
      <c r="M802" s="1">
        <f t="shared" si="88"/>
        <v>2350.3319999999999</v>
      </c>
      <c r="N802" s="1">
        <f t="shared" si="89"/>
        <v>15407.732</v>
      </c>
      <c r="S802" t="str">
        <f t="shared" si="84"/>
        <v>Punjab</v>
      </c>
      <c r="W802" t="str">
        <f t="shared" si="85"/>
        <v>East</v>
      </c>
      <c r="AB802" t="str">
        <f t="shared" si="90"/>
        <v>PK-PB</v>
      </c>
    </row>
    <row r="803" spans="1:28" x14ac:dyDescent="0.25">
      <c r="A803" s="2">
        <v>45000</v>
      </c>
      <c r="B803" t="s">
        <v>29</v>
      </c>
      <c r="C803" t="s">
        <v>54</v>
      </c>
      <c r="D803" t="s">
        <v>12</v>
      </c>
      <c r="E803" t="s">
        <v>18</v>
      </c>
      <c r="F803" t="s">
        <v>23</v>
      </c>
      <c r="G803" t="s">
        <v>39</v>
      </c>
      <c r="H803">
        <v>4</v>
      </c>
      <c r="I803" s="1">
        <v>2563.65</v>
      </c>
      <c r="J803" s="1">
        <f t="shared" si="86"/>
        <v>9229.1400000000012</v>
      </c>
      <c r="K803" s="1">
        <f t="shared" si="87"/>
        <v>1025.46</v>
      </c>
      <c r="L803" s="1">
        <v>10254.6</v>
      </c>
      <c r="M803" s="1">
        <f t="shared" si="88"/>
        <v>1845.828</v>
      </c>
      <c r="N803" s="1">
        <f t="shared" si="89"/>
        <v>12100.428</v>
      </c>
      <c r="S803" t="str">
        <f t="shared" si="84"/>
        <v>Sindh</v>
      </c>
      <c r="W803" t="str">
        <f t="shared" si="85"/>
        <v>South</v>
      </c>
      <c r="AB803" t="str">
        <f t="shared" si="90"/>
        <v>PK-SD</v>
      </c>
    </row>
    <row r="804" spans="1:28" x14ac:dyDescent="0.25">
      <c r="A804" s="2">
        <v>44944</v>
      </c>
      <c r="B804" t="s">
        <v>25</v>
      </c>
      <c r="C804" t="s">
        <v>56</v>
      </c>
      <c r="D804" t="s">
        <v>12</v>
      </c>
      <c r="E804" t="s">
        <v>18</v>
      </c>
      <c r="F804" t="s">
        <v>27</v>
      </c>
      <c r="G804" t="s">
        <v>42</v>
      </c>
      <c r="H804">
        <v>2</v>
      </c>
      <c r="I804" s="1">
        <v>771.23</v>
      </c>
      <c r="J804" s="1">
        <f t="shared" si="86"/>
        <v>1388.2140000000002</v>
      </c>
      <c r="K804" s="1">
        <f t="shared" si="87"/>
        <v>154.24600000000001</v>
      </c>
      <c r="L804" s="1">
        <v>1542.46</v>
      </c>
      <c r="M804" s="1">
        <f t="shared" si="88"/>
        <v>277.64280000000002</v>
      </c>
      <c r="N804" s="1">
        <f t="shared" si="89"/>
        <v>1820.1028000000001</v>
      </c>
      <c r="S804" t="str">
        <f t="shared" si="84"/>
        <v>Sindh</v>
      </c>
      <c r="W804" t="str">
        <f t="shared" si="85"/>
        <v>South</v>
      </c>
      <c r="AB804" t="str">
        <f t="shared" si="90"/>
        <v>PK-SD</v>
      </c>
    </row>
    <row r="805" spans="1:28" x14ac:dyDescent="0.25">
      <c r="A805" s="2">
        <v>45137</v>
      </c>
      <c r="B805" t="s">
        <v>34</v>
      </c>
      <c r="C805" t="s">
        <v>55</v>
      </c>
      <c r="D805" t="s">
        <v>66</v>
      </c>
      <c r="E805" t="s">
        <v>41</v>
      </c>
      <c r="F805" t="s">
        <v>23</v>
      </c>
      <c r="G805" t="s">
        <v>39</v>
      </c>
      <c r="H805">
        <v>19</v>
      </c>
      <c r="I805" s="1">
        <v>2290.6799999999998</v>
      </c>
      <c r="J805" s="1">
        <f t="shared" si="86"/>
        <v>39170.627999999997</v>
      </c>
      <c r="K805" s="1">
        <f t="shared" si="87"/>
        <v>4352.2920000000004</v>
      </c>
      <c r="L805" s="1">
        <v>43522.92</v>
      </c>
      <c r="M805" s="1">
        <f t="shared" si="88"/>
        <v>7834.1255999999994</v>
      </c>
      <c r="N805" s="1">
        <f t="shared" si="89"/>
        <v>51357.045599999998</v>
      </c>
      <c r="S805" t="str">
        <f t="shared" si="84"/>
        <v>Khyber Pakhtunkhwa</v>
      </c>
      <c r="W805" t="str">
        <f t="shared" si="85"/>
        <v>North</v>
      </c>
      <c r="AB805" t="str">
        <f t="shared" si="90"/>
        <v>Khyber Pakhtunkhwa</v>
      </c>
    </row>
    <row r="806" spans="1:28" x14ac:dyDescent="0.25">
      <c r="A806" s="2">
        <v>44950</v>
      </c>
      <c r="B806" t="s">
        <v>29</v>
      </c>
      <c r="C806" t="s">
        <v>62</v>
      </c>
      <c r="D806" t="s">
        <v>65</v>
      </c>
      <c r="E806" t="s">
        <v>64</v>
      </c>
      <c r="F806" t="s">
        <v>19</v>
      </c>
      <c r="G806" t="s">
        <v>30</v>
      </c>
      <c r="H806">
        <v>9</v>
      </c>
      <c r="I806" s="1">
        <v>4965.3</v>
      </c>
      <c r="J806" s="1">
        <f t="shared" si="86"/>
        <v>40218.93</v>
      </c>
      <c r="K806" s="1">
        <f t="shared" si="87"/>
        <v>4468.7699999999995</v>
      </c>
      <c r="L806" s="1">
        <v>44687.7</v>
      </c>
      <c r="M806" s="1">
        <f t="shared" si="88"/>
        <v>8043.7859999999991</v>
      </c>
      <c r="N806" s="1">
        <f t="shared" si="89"/>
        <v>52731.485999999997</v>
      </c>
      <c r="S806" t="str">
        <f t="shared" si="84"/>
        <v>Punjab</v>
      </c>
      <c r="W806" t="str">
        <f t="shared" si="85"/>
        <v>East</v>
      </c>
      <c r="AB806" t="str">
        <f t="shared" si="90"/>
        <v>PK-PB</v>
      </c>
    </row>
    <row r="807" spans="1:28" x14ac:dyDescent="0.25">
      <c r="A807" s="2">
        <v>45195</v>
      </c>
      <c r="B807" t="s">
        <v>25</v>
      </c>
      <c r="C807" t="s">
        <v>11</v>
      </c>
      <c r="D807" t="s">
        <v>22</v>
      </c>
      <c r="E807" t="s">
        <v>13</v>
      </c>
      <c r="F807" t="s">
        <v>32</v>
      </c>
      <c r="G807" t="s">
        <v>36</v>
      </c>
      <c r="H807">
        <v>4</v>
      </c>
      <c r="I807" s="1">
        <v>3684.5</v>
      </c>
      <c r="J807" s="1">
        <f t="shared" si="86"/>
        <v>13264.2</v>
      </c>
      <c r="K807" s="1">
        <f t="shared" si="87"/>
        <v>1473.8000000000002</v>
      </c>
      <c r="L807" s="1">
        <v>14738</v>
      </c>
      <c r="M807" s="1">
        <f t="shared" si="88"/>
        <v>2652.8399999999997</v>
      </c>
      <c r="N807" s="1">
        <f t="shared" si="89"/>
        <v>17390.84</v>
      </c>
      <c r="S807" t="str">
        <f t="shared" si="84"/>
        <v>Balochistan</v>
      </c>
      <c r="W807" t="str">
        <f t="shared" si="85"/>
        <v>West</v>
      </c>
      <c r="AB807" t="str">
        <f t="shared" si="90"/>
        <v>PK-BA</v>
      </c>
    </row>
    <row r="808" spans="1:28" x14ac:dyDescent="0.25">
      <c r="A808" s="2">
        <v>45118</v>
      </c>
      <c r="B808" t="s">
        <v>21</v>
      </c>
      <c r="C808" t="s">
        <v>35</v>
      </c>
      <c r="D808" t="s">
        <v>65</v>
      </c>
      <c r="E808" t="s">
        <v>64</v>
      </c>
      <c r="F808" t="s">
        <v>27</v>
      </c>
      <c r="G808" t="s">
        <v>46</v>
      </c>
      <c r="H808">
        <v>14</v>
      </c>
      <c r="I808" s="1">
        <v>4566.12</v>
      </c>
      <c r="J808" s="1">
        <f t="shared" si="86"/>
        <v>57533.112000000001</v>
      </c>
      <c r="K808" s="1">
        <f t="shared" si="87"/>
        <v>6392.5680000000002</v>
      </c>
      <c r="L808" s="1">
        <v>63925.68</v>
      </c>
      <c r="M808" s="1">
        <f t="shared" si="88"/>
        <v>11506.6224</v>
      </c>
      <c r="N808" s="1">
        <f t="shared" si="89"/>
        <v>75432.3024</v>
      </c>
      <c r="S808" t="str">
        <f t="shared" si="84"/>
        <v>Punjab</v>
      </c>
      <c r="W808" t="str">
        <f t="shared" si="85"/>
        <v>East</v>
      </c>
      <c r="AB808" t="str">
        <f t="shared" si="90"/>
        <v>PK-PB</v>
      </c>
    </row>
    <row r="809" spans="1:28" x14ac:dyDescent="0.25">
      <c r="A809" s="2">
        <v>45254</v>
      </c>
      <c r="B809" t="s">
        <v>31</v>
      </c>
      <c r="C809" t="s">
        <v>56</v>
      </c>
      <c r="D809" t="s">
        <v>12</v>
      </c>
      <c r="E809" t="s">
        <v>18</v>
      </c>
      <c r="F809" t="s">
        <v>14</v>
      </c>
      <c r="G809" t="s">
        <v>53</v>
      </c>
      <c r="H809">
        <v>17</v>
      </c>
      <c r="I809" s="1">
        <v>2246.8200000000002</v>
      </c>
      <c r="J809" s="1">
        <f t="shared" si="86"/>
        <v>34376.346000000005</v>
      </c>
      <c r="K809" s="1">
        <f t="shared" si="87"/>
        <v>3819.5940000000005</v>
      </c>
      <c r="L809" s="1">
        <v>38195.94</v>
      </c>
      <c r="M809" s="1">
        <f t="shared" si="88"/>
        <v>6875.2691999999997</v>
      </c>
      <c r="N809" s="1">
        <f t="shared" si="89"/>
        <v>45071.209200000005</v>
      </c>
      <c r="S809" t="str">
        <f t="shared" si="84"/>
        <v>Sindh</v>
      </c>
      <c r="W809" t="str">
        <f t="shared" si="85"/>
        <v>South</v>
      </c>
      <c r="AB809" t="str">
        <f t="shared" si="90"/>
        <v>PK-SD</v>
      </c>
    </row>
    <row r="810" spans="1:28" x14ac:dyDescent="0.25">
      <c r="A810" s="2">
        <v>45089</v>
      </c>
      <c r="B810" t="s">
        <v>21</v>
      </c>
      <c r="C810" t="s">
        <v>26</v>
      </c>
      <c r="D810" t="s">
        <v>12</v>
      </c>
      <c r="E810" t="s">
        <v>18</v>
      </c>
      <c r="F810" t="s">
        <v>19</v>
      </c>
      <c r="G810" t="s">
        <v>20</v>
      </c>
      <c r="H810">
        <v>3</v>
      </c>
      <c r="I810" s="1">
        <v>215.21</v>
      </c>
      <c r="J810" s="1">
        <f t="shared" si="86"/>
        <v>581.06700000000001</v>
      </c>
      <c r="K810" s="1">
        <f t="shared" si="87"/>
        <v>64.563000000000002</v>
      </c>
      <c r="L810" s="1">
        <v>645.63</v>
      </c>
      <c r="M810" s="1">
        <f t="shared" si="88"/>
        <v>116.21339999999999</v>
      </c>
      <c r="N810" s="1">
        <f t="shared" si="89"/>
        <v>761.84339999999997</v>
      </c>
      <c r="S810" t="str">
        <f t="shared" si="84"/>
        <v>Sindh</v>
      </c>
      <c r="W810" t="str">
        <f t="shared" si="85"/>
        <v>South</v>
      </c>
      <c r="AB810" t="str">
        <f t="shared" si="90"/>
        <v>PK-SD</v>
      </c>
    </row>
    <row r="811" spans="1:28" x14ac:dyDescent="0.25">
      <c r="A811" s="2">
        <v>45289</v>
      </c>
      <c r="B811" t="s">
        <v>43</v>
      </c>
      <c r="C811" t="s">
        <v>54</v>
      </c>
      <c r="D811" t="s">
        <v>12</v>
      </c>
      <c r="E811" t="s">
        <v>18</v>
      </c>
      <c r="F811" t="s">
        <v>32</v>
      </c>
      <c r="G811" t="s">
        <v>33</v>
      </c>
      <c r="H811">
        <v>7</v>
      </c>
      <c r="I811" s="1">
        <v>1294.31</v>
      </c>
      <c r="J811" s="1">
        <f t="shared" si="86"/>
        <v>8154.1530000000002</v>
      </c>
      <c r="K811" s="1">
        <f t="shared" si="87"/>
        <v>906.01700000000005</v>
      </c>
      <c r="L811" s="1">
        <v>9060.17</v>
      </c>
      <c r="M811" s="1">
        <f t="shared" si="88"/>
        <v>1630.8306</v>
      </c>
      <c r="N811" s="1">
        <f t="shared" si="89"/>
        <v>10691.000599999999</v>
      </c>
      <c r="S811" t="str">
        <f t="shared" si="84"/>
        <v>Sindh</v>
      </c>
      <c r="W811" t="str">
        <f t="shared" si="85"/>
        <v>South</v>
      </c>
      <c r="AB811" t="str">
        <f t="shared" si="90"/>
        <v>PK-SD</v>
      </c>
    </row>
    <row r="812" spans="1:28" x14ac:dyDescent="0.25">
      <c r="A812" s="2">
        <v>45158</v>
      </c>
      <c r="B812" t="s">
        <v>29</v>
      </c>
      <c r="C812" t="s">
        <v>63</v>
      </c>
      <c r="D812" t="s">
        <v>65</v>
      </c>
      <c r="E812" t="s">
        <v>64</v>
      </c>
      <c r="F812" t="s">
        <v>27</v>
      </c>
      <c r="G812" t="s">
        <v>46</v>
      </c>
      <c r="H812">
        <v>9</v>
      </c>
      <c r="I812" s="1">
        <v>1558.74</v>
      </c>
      <c r="J812" s="1">
        <f t="shared" si="86"/>
        <v>12625.794</v>
      </c>
      <c r="K812" s="1">
        <f t="shared" si="87"/>
        <v>1402.866</v>
      </c>
      <c r="L812" s="1">
        <v>14028.66</v>
      </c>
      <c r="M812" s="1">
        <f t="shared" si="88"/>
        <v>2525.1587999999997</v>
      </c>
      <c r="N812" s="1">
        <f t="shared" si="89"/>
        <v>16553.818800000001</v>
      </c>
      <c r="S812" t="str">
        <f t="shared" si="84"/>
        <v>Punjab</v>
      </c>
      <c r="W812" t="str">
        <f t="shared" si="85"/>
        <v>East</v>
      </c>
      <c r="AB812" t="str">
        <f t="shared" si="90"/>
        <v>PK-PB</v>
      </c>
    </row>
    <row r="813" spans="1:28" x14ac:dyDescent="0.25">
      <c r="A813" s="2">
        <v>45009</v>
      </c>
      <c r="B813" t="s">
        <v>38</v>
      </c>
      <c r="C813" t="s">
        <v>17</v>
      </c>
      <c r="D813" t="s">
        <v>65</v>
      </c>
      <c r="E813" t="s">
        <v>64</v>
      </c>
      <c r="F813" t="s">
        <v>19</v>
      </c>
      <c r="G813" t="s">
        <v>52</v>
      </c>
      <c r="H813">
        <v>11</v>
      </c>
      <c r="I813" s="1">
        <v>4382.91</v>
      </c>
      <c r="J813" s="1">
        <f t="shared" si="86"/>
        <v>43390.809000000001</v>
      </c>
      <c r="K813" s="1">
        <f t="shared" si="87"/>
        <v>4821.201</v>
      </c>
      <c r="L813" s="1">
        <v>48212.01</v>
      </c>
      <c r="M813" s="1">
        <f t="shared" si="88"/>
        <v>8678.1617999999999</v>
      </c>
      <c r="N813" s="1">
        <f t="shared" si="89"/>
        <v>56890.171800000004</v>
      </c>
      <c r="S813" t="str">
        <f t="shared" si="84"/>
        <v>Punjab</v>
      </c>
      <c r="W813" t="str">
        <f t="shared" si="85"/>
        <v>East</v>
      </c>
      <c r="AB813" t="str">
        <f t="shared" si="90"/>
        <v>PK-PB</v>
      </c>
    </row>
    <row r="814" spans="1:28" x14ac:dyDescent="0.25">
      <c r="A814" s="2">
        <v>45138</v>
      </c>
      <c r="B814" t="s">
        <v>29</v>
      </c>
      <c r="C814" t="s">
        <v>26</v>
      </c>
      <c r="D814" t="s">
        <v>12</v>
      </c>
      <c r="E814" t="s">
        <v>18</v>
      </c>
      <c r="F814" t="s">
        <v>32</v>
      </c>
      <c r="G814" t="s">
        <v>49</v>
      </c>
      <c r="H814">
        <v>6</v>
      </c>
      <c r="I814" s="1">
        <v>4197.59</v>
      </c>
      <c r="J814" s="1">
        <f t="shared" si="86"/>
        <v>22666.986000000001</v>
      </c>
      <c r="K814" s="1">
        <f t="shared" si="87"/>
        <v>2518.5540000000001</v>
      </c>
      <c r="L814" s="1">
        <v>25185.54</v>
      </c>
      <c r="M814" s="1">
        <f t="shared" si="88"/>
        <v>4533.3972000000003</v>
      </c>
      <c r="N814" s="1">
        <f t="shared" si="89"/>
        <v>29718.9372</v>
      </c>
      <c r="S814" t="str">
        <f t="shared" si="84"/>
        <v>Sindh</v>
      </c>
      <c r="W814" t="str">
        <f t="shared" si="85"/>
        <v>South</v>
      </c>
      <c r="AB814" t="str">
        <f t="shared" si="90"/>
        <v>PK-SD</v>
      </c>
    </row>
    <row r="815" spans="1:28" x14ac:dyDescent="0.25">
      <c r="A815" s="2">
        <v>44961</v>
      </c>
      <c r="B815" t="s">
        <v>10</v>
      </c>
      <c r="C815" t="s">
        <v>56</v>
      </c>
      <c r="D815" t="s">
        <v>12</v>
      </c>
      <c r="E815" t="s">
        <v>18</v>
      </c>
      <c r="F815" t="s">
        <v>19</v>
      </c>
      <c r="G815" t="s">
        <v>52</v>
      </c>
      <c r="H815">
        <v>2</v>
      </c>
      <c r="I815" s="1">
        <v>4137.49</v>
      </c>
      <c r="J815" s="1">
        <f t="shared" si="86"/>
        <v>7447.482</v>
      </c>
      <c r="K815" s="1">
        <f t="shared" si="87"/>
        <v>827.49800000000005</v>
      </c>
      <c r="L815" s="1">
        <v>8274.98</v>
      </c>
      <c r="M815" s="1">
        <f t="shared" si="88"/>
        <v>1489.4963999999998</v>
      </c>
      <c r="N815" s="1">
        <f t="shared" si="89"/>
        <v>9764.4763999999996</v>
      </c>
      <c r="S815" t="str">
        <f t="shared" si="84"/>
        <v>Sindh</v>
      </c>
      <c r="W815" t="str">
        <f t="shared" si="85"/>
        <v>South</v>
      </c>
      <c r="AB815" t="str">
        <f t="shared" si="90"/>
        <v>PK-SD</v>
      </c>
    </row>
    <row r="816" spans="1:28" x14ac:dyDescent="0.25">
      <c r="A816" s="2">
        <v>45242</v>
      </c>
      <c r="B816" t="s">
        <v>34</v>
      </c>
      <c r="C816" t="s">
        <v>61</v>
      </c>
      <c r="D816" t="s">
        <v>65</v>
      </c>
      <c r="E816" t="s">
        <v>64</v>
      </c>
      <c r="F816" t="s">
        <v>32</v>
      </c>
      <c r="G816" t="s">
        <v>49</v>
      </c>
      <c r="H816">
        <v>16</v>
      </c>
      <c r="I816" s="1">
        <v>1598.06</v>
      </c>
      <c r="J816" s="1">
        <f t="shared" si="86"/>
        <v>23012.063999999998</v>
      </c>
      <c r="K816" s="1">
        <f t="shared" si="87"/>
        <v>2556.8960000000002</v>
      </c>
      <c r="L816" s="1">
        <v>25568.959999999999</v>
      </c>
      <c r="M816" s="1">
        <f t="shared" si="88"/>
        <v>4602.4128000000001</v>
      </c>
      <c r="N816" s="1">
        <f t="shared" si="89"/>
        <v>30171.372799999997</v>
      </c>
      <c r="S816" t="str">
        <f t="shared" si="84"/>
        <v>Punjab</v>
      </c>
      <c r="W816" t="str">
        <f t="shared" si="85"/>
        <v>East</v>
      </c>
      <c r="AB816" t="str">
        <f t="shared" si="90"/>
        <v>PK-PB</v>
      </c>
    </row>
    <row r="817" spans="1:28" x14ac:dyDescent="0.25">
      <c r="A817" s="2">
        <v>45250</v>
      </c>
      <c r="B817" t="s">
        <v>16</v>
      </c>
      <c r="C817" t="s">
        <v>26</v>
      </c>
      <c r="D817" t="s">
        <v>12</v>
      </c>
      <c r="E817" t="s">
        <v>18</v>
      </c>
      <c r="F817" t="s">
        <v>14</v>
      </c>
      <c r="G817" t="s">
        <v>53</v>
      </c>
      <c r="H817">
        <v>3</v>
      </c>
      <c r="I817" s="1">
        <v>3044.02</v>
      </c>
      <c r="J817" s="1">
        <f t="shared" si="86"/>
        <v>8218.8539999999994</v>
      </c>
      <c r="K817" s="1">
        <f t="shared" si="87"/>
        <v>913.20600000000002</v>
      </c>
      <c r="L817" s="1">
        <v>9132.06</v>
      </c>
      <c r="M817" s="1">
        <f t="shared" si="88"/>
        <v>1643.7707999999998</v>
      </c>
      <c r="N817" s="1">
        <f t="shared" si="89"/>
        <v>10775.8308</v>
      </c>
      <c r="S817" t="str">
        <f t="shared" si="84"/>
        <v>Sindh</v>
      </c>
      <c r="W817" t="str">
        <f t="shared" si="85"/>
        <v>South</v>
      </c>
      <c r="AB817" t="str">
        <f t="shared" si="90"/>
        <v>PK-SD</v>
      </c>
    </row>
    <row r="818" spans="1:28" x14ac:dyDescent="0.25">
      <c r="A818" s="2">
        <v>44935</v>
      </c>
      <c r="B818" t="s">
        <v>10</v>
      </c>
      <c r="C818" t="s">
        <v>59</v>
      </c>
      <c r="D818" t="s">
        <v>66</v>
      </c>
      <c r="E818" t="s">
        <v>41</v>
      </c>
      <c r="F818" t="s">
        <v>23</v>
      </c>
      <c r="G818" t="s">
        <v>47</v>
      </c>
      <c r="H818">
        <v>6</v>
      </c>
      <c r="I818" s="1">
        <v>4270.03</v>
      </c>
      <c r="J818" s="1">
        <f t="shared" si="86"/>
        <v>23058.162</v>
      </c>
      <c r="K818" s="1">
        <f t="shared" si="87"/>
        <v>2562.018</v>
      </c>
      <c r="L818" s="1">
        <v>25620.18</v>
      </c>
      <c r="M818" s="1">
        <f t="shared" si="88"/>
        <v>4611.6323999999995</v>
      </c>
      <c r="N818" s="1">
        <f t="shared" si="89"/>
        <v>30231.812399999999</v>
      </c>
      <c r="S818" t="str">
        <f t="shared" si="84"/>
        <v>Khyber Pakhtunkhwa</v>
      </c>
      <c r="W818" t="str">
        <f t="shared" si="85"/>
        <v>North</v>
      </c>
      <c r="AB818" t="str">
        <f t="shared" si="90"/>
        <v>Khyber Pakhtunkhwa</v>
      </c>
    </row>
    <row r="819" spans="1:28" x14ac:dyDescent="0.25">
      <c r="A819" s="2">
        <v>45179</v>
      </c>
      <c r="B819" t="s">
        <v>16</v>
      </c>
      <c r="C819" t="s">
        <v>59</v>
      </c>
      <c r="D819" t="s">
        <v>66</v>
      </c>
      <c r="E819" t="s">
        <v>41</v>
      </c>
      <c r="F819" t="s">
        <v>14</v>
      </c>
      <c r="G819" t="s">
        <v>53</v>
      </c>
      <c r="H819">
        <v>13</v>
      </c>
      <c r="I819" s="1">
        <v>298.08999999999997</v>
      </c>
      <c r="J819" s="1">
        <f t="shared" si="86"/>
        <v>3487.6530000000002</v>
      </c>
      <c r="K819" s="1">
        <f t="shared" si="87"/>
        <v>387.51700000000005</v>
      </c>
      <c r="L819" s="1">
        <v>3875.17</v>
      </c>
      <c r="M819" s="1">
        <f t="shared" si="88"/>
        <v>697.53059999999994</v>
      </c>
      <c r="N819" s="1">
        <f t="shared" si="89"/>
        <v>4572.7006000000001</v>
      </c>
      <c r="S819" t="str">
        <f t="shared" si="84"/>
        <v>Khyber Pakhtunkhwa</v>
      </c>
      <c r="W819" t="str">
        <f t="shared" si="85"/>
        <v>North</v>
      </c>
      <c r="AB819" t="str">
        <f t="shared" si="90"/>
        <v>Khyber Pakhtunkhwa</v>
      </c>
    </row>
    <row r="820" spans="1:28" x14ac:dyDescent="0.25">
      <c r="A820" s="2">
        <v>45090</v>
      </c>
      <c r="B820" t="s">
        <v>34</v>
      </c>
      <c r="C820" t="s">
        <v>63</v>
      </c>
      <c r="D820" t="s">
        <v>65</v>
      </c>
      <c r="E820" t="s">
        <v>64</v>
      </c>
      <c r="F820" t="s">
        <v>32</v>
      </c>
      <c r="G820" t="s">
        <v>36</v>
      </c>
      <c r="H820">
        <v>3</v>
      </c>
      <c r="I820" s="1">
        <v>1453.68</v>
      </c>
      <c r="J820" s="1">
        <f t="shared" si="86"/>
        <v>3924.9360000000001</v>
      </c>
      <c r="K820" s="1">
        <f t="shared" si="87"/>
        <v>436.10400000000004</v>
      </c>
      <c r="L820" s="1">
        <v>4361.04</v>
      </c>
      <c r="M820" s="1">
        <f t="shared" si="88"/>
        <v>784.98719999999992</v>
      </c>
      <c r="N820" s="1">
        <f t="shared" si="89"/>
        <v>5146.0271999999995</v>
      </c>
      <c r="S820" t="str">
        <f t="shared" si="84"/>
        <v>Punjab</v>
      </c>
      <c r="W820" t="str">
        <f t="shared" si="85"/>
        <v>East</v>
      </c>
      <c r="AB820" t="str">
        <f t="shared" si="90"/>
        <v>PK-PB</v>
      </c>
    </row>
    <row r="821" spans="1:28" x14ac:dyDescent="0.25">
      <c r="A821" s="2">
        <v>45129</v>
      </c>
      <c r="B821" t="s">
        <v>40</v>
      </c>
      <c r="C821" t="s">
        <v>61</v>
      </c>
      <c r="D821" t="s">
        <v>65</v>
      </c>
      <c r="E821" t="s">
        <v>64</v>
      </c>
      <c r="F821" t="s">
        <v>19</v>
      </c>
      <c r="G821" t="s">
        <v>48</v>
      </c>
      <c r="H821">
        <v>4</v>
      </c>
      <c r="I821" s="1">
        <v>1009.78</v>
      </c>
      <c r="J821" s="1">
        <f t="shared" si="86"/>
        <v>3635.2080000000001</v>
      </c>
      <c r="K821" s="1">
        <f t="shared" si="87"/>
        <v>403.91200000000003</v>
      </c>
      <c r="L821" s="1">
        <v>4039.12</v>
      </c>
      <c r="M821" s="1">
        <f t="shared" si="88"/>
        <v>727.0415999999999</v>
      </c>
      <c r="N821" s="1">
        <f t="shared" si="89"/>
        <v>4766.1615999999995</v>
      </c>
      <c r="S821" t="str">
        <f t="shared" si="84"/>
        <v>Punjab</v>
      </c>
      <c r="W821" t="str">
        <f t="shared" si="85"/>
        <v>East</v>
      </c>
      <c r="AB821" t="str">
        <f t="shared" si="90"/>
        <v>PK-PB</v>
      </c>
    </row>
    <row r="822" spans="1:28" x14ac:dyDescent="0.25">
      <c r="A822" s="2">
        <v>45203</v>
      </c>
      <c r="B822" t="s">
        <v>10</v>
      </c>
      <c r="C822" t="s">
        <v>55</v>
      </c>
      <c r="D822" t="s">
        <v>66</v>
      </c>
      <c r="E822" t="s">
        <v>41</v>
      </c>
      <c r="F822" t="s">
        <v>32</v>
      </c>
      <c r="G822" t="s">
        <v>33</v>
      </c>
      <c r="H822">
        <v>12</v>
      </c>
      <c r="I822" s="1">
        <v>231.07</v>
      </c>
      <c r="J822" s="1">
        <f t="shared" si="86"/>
        <v>2495.556</v>
      </c>
      <c r="K822" s="1">
        <f t="shared" si="87"/>
        <v>277.28400000000005</v>
      </c>
      <c r="L822" s="1">
        <v>2772.84</v>
      </c>
      <c r="M822" s="1">
        <f t="shared" si="88"/>
        <v>499.1112</v>
      </c>
      <c r="N822" s="1">
        <f t="shared" si="89"/>
        <v>3271.9512</v>
      </c>
      <c r="S822" t="str">
        <f t="shared" si="84"/>
        <v>Khyber Pakhtunkhwa</v>
      </c>
      <c r="W822" t="str">
        <f t="shared" si="85"/>
        <v>North</v>
      </c>
      <c r="AB822" t="str">
        <f t="shared" si="90"/>
        <v>Khyber Pakhtunkhwa</v>
      </c>
    </row>
    <row r="823" spans="1:28" x14ac:dyDescent="0.25">
      <c r="A823" s="2">
        <v>44963</v>
      </c>
      <c r="B823" t="s">
        <v>10</v>
      </c>
      <c r="C823" t="s">
        <v>11</v>
      </c>
      <c r="D823" t="s">
        <v>22</v>
      </c>
      <c r="E823" t="s">
        <v>13</v>
      </c>
      <c r="F823" t="s">
        <v>32</v>
      </c>
      <c r="G823" t="s">
        <v>36</v>
      </c>
      <c r="H823">
        <v>12</v>
      </c>
      <c r="I823" s="1">
        <v>1410.03</v>
      </c>
      <c r="J823" s="1">
        <f t="shared" si="86"/>
        <v>15228.324000000001</v>
      </c>
      <c r="K823" s="1">
        <f t="shared" si="87"/>
        <v>1692.0360000000001</v>
      </c>
      <c r="L823" s="1">
        <v>16920.36</v>
      </c>
      <c r="M823" s="1">
        <f t="shared" si="88"/>
        <v>3045.6648</v>
      </c>
      <c r="N823" s="1">
        <f t="shared" si="89"/>
        <v>19966.024799999999</v>
      </c>
      <c r="S823" t="str">
        <f t="shared" si="84"/>
        <v>Balochistan</v>
      </c>
      <c r="W823" t="str">
        <f t="shared" si="85"/>
        <v>West</v>
      </c>
      <c r="AB823" t="str">
        <f t="shared" si="90"/>
        <v>PK-BA</v>
      </c>
    </row>
    <row r="824" spans="1:28" x14ac:dyDescent="0.25">
      <c r="A824" s="2">
        <v>44966</v>
      </c>
      <c r="B824" t="s">
        <v>34</v>
      </c>
      <c r="C824" t="s">
        <v>59</v>
      </c>
      <c r="D824" t="s">
        <v>66</v>
      </c>
      <c r="E824" t="s">
        <v>41</v>
      </c>
      <c r="F824" t="s">
        <v>19</v>
      </c>
      <c r="G824" t="s">
        <v>30</v>
      </c>
      <c r="H824">
        <v>6</v>
      </c>
      <c r="I824" s="1">
        <v>1610.91</v>
      </c>
      <c r="J824" s="1">
        <f t="shared" si="86"/>
        <v>8698.9139999999989</v>
      </c>
      <c r="K824" s="1">
        <f t="shared" si="87"/>
        <v>966.54599999999994</v>
      </c>
      <c r="L824" s="1">
        <v>9665.4599999999991</v>
      </c>
      <c r="M824" s="1">
        <f t="shared" si="88"/>
        <v>1739.7827999999997</v>
      </c>
      <c r="N824" s="1">
        <f t="shared" si="89"/>
        <v>11405.242799999998</v>
      </c>
      <c r="S824" t="str">
        <f t="shared" si="84"/>
        <v>Khyber Pakhtunkhwa</v>
      </c>
      <c r="W824" t="str">
        <f t="shared" si="85"/>
        <v>North</v>
      </c>
      <c r="AB824" t="str">
        <f t="shared" si="90"/>
        <v>Khyber Pakhtunkhwa</v>
      </c>
    </row>
    <row r="825" spans="1:28" x14ac:dyDescent="0.25">
      <c r="A825" s="2">
        <v>44964</v>
      </c>
      <c r="B825" t="s">
        <v>38</v>
      </c>
      <c r="C825" t="s">
        <v>62</v>
      </c>
      <c r="D825" t="s">
        <v>65</v>
      </c>
      <c r="E825" t="s">
        <v>64</v>
      </c>
      <c r="F825" t="s">
        <v>19</v>
      </c>
      <c r="G825" t="s">
        <v>30</v>
      </c>
      <c r="H825">
        <v>7</v>
      </c>
      <c r="I825" s="1">
        <v>3396.62</v>
      </c>
      <c r="J825" s="1">
        <f t="shared" si="86"/>
        <v>21398.706000000002</v>
      </c>
      <c r="K825" s="1">
        <f t="shared" si="87"/>
        <v>2377.634</v>
      </c>
      <c r="L825" s="1">
        <v>23776.34</v>
      </c>
      <c r="M825" s="1">
        <f t="shared" si="88"/>
        <v>4279.7411999999995</v>
      </c>
      <c r="N825" s="1">
        <f t="shared" si="89"/>
        <v>28056.081200000001</v>
      </c>
      <c r="S825" t="str">
        <f t="shared" si="84"/>
        <v>Punjab</v>
      </c>
      <c r="W825" t="str">
        <f t="shared" si="85"/>
        <v>East</v>
      </c>
      <c r="AB825" t="str">
        <f t="shared" si="90"/>
        <v>PK-PB</v>
      </c>
    </row>
    <row r="826" spans="1:28" x14ac:dyDescent="0.25">
      <c r="A826" s="2">
        <v>45115</v>
      </c>
      <c r="B826" t="s">
        <v>43</v>
      </c>
      <c r="C826" t="s">
        <v>62</v>
      </c>
      <c r="D826" t="s">
        <v>65</v>
      </c>
      <c r="E826" t="s">
        <v>64</v>
      </c>
      <c r="F826" t="s">
        <v>19</v>
      </c>
      <c r="G826" t="s">
        <v>48</v>
      </c>
      <c r="H826">
        <v>14</v>
      </c>
      <c r="I826" s="1">
        <v>4164.33</v>
      </c>
      <c r="J826" s="1">
        <f t="shared" si="86"/>
        <v>52470.558000000005</v>
      </c>
      <c r="K826" s="1">
        <f t="shared" si="87"/>
        <v>5830.0620000000008</v>
      </c>
      <c r="L826" s="1">
        <v>58300.62</v>
      </c>
      <c r="M826" s="1">
        <f t="shared" si="88"/>
        <v>10494.1116</v>
      </c>
      <c r="N826" s="1">
        <f t="shared" si="89"/>
        <v>68794.731599999999</v>
      </c>
      <c r="S826" t="str">
        <f t="shared" si="84"/>
        <v>Punjab</v>
      </c>
      <c r="W826" t="str">
        <f t="shared" si="85"/>
        <v>East</v>
      </c>
      <c r="AB826" t="str">
        <f t="shared" si="90"/>
        <v>PK-PB</v>
      </c>
    </row>
    <row r="827" spans="1:28" x14ac:dyDescent="0.25">
      <c r="A827" s="2">
        <v>44939</v>
      </c>
      <c r="B827" t="s">
        <v>43</v>
      </c>
      <c r="C827" t="s">
        <v>11</v>
      </c>
      <c r="D827" t="s">
        <v>22</v>
      </c>
      <c r="E827" t="s">
        <v>13</v>
      </c>
      <c r="F827" t="s">
        <v>14</v>
      </c>
      <c r="G827" t="s">
        <v>45</v>
      </c>
      <c r="H827">
        <v>12</v>
      </c>
      <c r="I827" s="1">
        <v>4414.2700000000004</v>
      </c>
      <c r="J827" s="1">
        <f t="shared" si="86"/>
        <v>47674.116000000002</v>
      </c>
      <c r="K827" s="1">
        <f t="shared" si="87"/>
        <v>5297.1239999999998</v>
      </c>
      <c r="L827" s="1">
        <v>52971.24</v>
      </c>
      <c r="M827" s="1">
        <f t="shared" si="88"/>
        <v>9534.8231999999989</v>
      </c>
      <c r="N827" s="1">
        <f t="shared" si="89"/>
        <v>62506.063199999997</v>
      </c>
      <c r="S827" t="str">
        <f t="shared" si="84"/>
        <v>Balochistan</v>
      </c>
      <c r="W827" t="str">
        <f t="shared" si="85"/>
        <v>West</v>
      </c>
      <c r="AB827" t="str">
        <f t="shared" si="90"/>
        <v>PK-BA</v>
      </c>
    </row>
    <row r="828" spans="1:28" x14ac:dyDescent="0.25">
      <c r="A828" s="2">
        <v>45125</v>
      </c>
      <c r="B828" t="s">
        <v>38</v>
      </c>
      <c r="C828" t="s">
        <v>56</v>
      </c>
      <c r="D828" t="s">
        <v>12</v>
      </c>
      <c r="E828" t="s">
        <v>18</v>
      </c>
      <c r="F828" t="s">
        <v>23</v>
      </c>
      <c r="G828" t="s">
        <v>47</v>
      </c>
      <c r="H828">
        <v>13</v>
      </c>
      <c r="I828" s="1">
        <v>3101.42</v>
      </c>
      <c r="J828" s="1">
        <f t="shared" si="86"/>
        <v>36286.614000000001</v>
      </c>
      <c r="K828" s="1">
        <f t="shared" si="87"/>
        <v>4031.846</v>
      </c>
      <c r="L828" s="1">
        <v>40318.46</v>
      </c>
      <c r="M828" s="1">
        <f t="shared" si="88"/>
        <v>7257.3227999999999</v>
      </c>
      <c r="N828" s="1">
        <f t="shared" si="89"/>
        <v>47575.782800000001</v>
      </c>
      <c r="S828" t="str">
        <f t="shared" si="84"/>
        <v>Sindh</v>
      </c>
      <c r="W828" t="str">
        <f t="shared" si="85"/>
        <v>South</v>
      </c>
      <c r="AB828" t="str">
        <f t="shared" si="90"/>
        <v>PK-SD</v>
      </c>
    </row>
    <row r="829" spans="1:28" x14ac:dyDescent="0.25">
      <c r="A829" s="2">
        <v>45158</v>
      </c>
      <c r="B829" t="s">
        <v>40</v>
      </c>
      <c r="C829" t="s">
        <v>55</v>
      </c>
      <c r="D829" t="s">
        <v>66</v>
      </c>
      <c r="E829" t="s">
        <v>41</v>
      </c>
      <c r="F829" t="s">
        <v>19</v>
      </c>
      <c r="G829" t="s">
        <v>52</v>
      </c>
      <c r="H829">
        <v>18</v>
      </c>
      <c r="I829" s="1">
        <v>3002.55</v>
      </c>
      <c r="J829" s="1">
        <f t="shared" si="86"/>
        <v>48641.310000000005</v>
      </c>
      <c r="K829" s="1">
        <f t="shared" si="87"/>
        <v>5404.59</v>
      </c>
      <c r="L829" s="1">
        <v>54045.9</v>
      </c>
      <c r="M829" s="1">
        <f t="shared" si="88"/>
        <v>9728.2620000000006</v>
      </c>
      <c r="N829" s="1">
        <f t="shared" si="89"/>
        <v>63774.162000000004</v>
      </c>
      <c r="S829" t="str">
        <f t="shared" si="84"/>
        <v>Khyber Pakhtunkhwa</v>
      </c>
      <c r="W829" t="str">
        <f t="shared" si="85"/>
        <v>North</v>
      </c>
      <c r="AB829" t="str">
        <f t="shared" si="90"/>
        <v>Khyber Pakhtunkhwa</v>
      </c>
    </row>
    <row r="830" spans="1:28" x14ac:dyDescent="0.25">
      <c r="A830" s="2">
        <v>44962</v>
      </c>
      <c r="B830" t="s">
        <v>10</v>
      </c>
      <c r="C830" t="s">
        <v>58</v>
      </c>
      <c r="D830" t="s">
        <v>12</v>
      </c>
      <c r="E830" t="s">
        <v>18</v>
      </c>
      <c r="F830" t="s">
        <v>14</v>
      </c>
      <c r="G830" t="s">
        <v>15</v>
      </c>
      <c r="H830">
        <v>13</v>
      </c>
      <c r="I830" s="1">
        <v>2098.65</v>
      </c>
      <c r="J830" s="1">
        <f t="shared" si="86"/>
        <v>24554.205000000002</v>
      </c>
      <c r="K830" s="1">
        <f t="shared" si="87"/>
        <v>2728.2450000000003</v>
      </c>
      <c r="L830" s="1">
        <v>27282.45</v>
      </c>
      <c r="M830" s="1">
        <f t="shared" si="88"/>
        <v>4910.8410000000003</v>
      </c>
      <c r="N830" s="1">
        <f t="shared" si="89"/>
        <v>32193.291000000001</v>
      </c>
      <c r="S830" t="str">
        <f t="shared" si="84"/>
        <v>Sindh</v>
      </c>
      <c r="W830" t="str">
        <f t="shared" si="85"/>
        <v>South</v>
      </c>
      <c r="AB830" t="str">
        <f t="shared" si="90"/>
        <v>PK-SD</v>
      </c>
    </row>
    <row r="831" spans="1:28" x14ac:dyDescent="0.25">
      <c r="A831" s="2">
        <v>45205</v>
      </c>
      <c r="B831" t="s">
        <v>38</v>
      </c>
      <c r="C831" t="s">
        <v>60</v>
      </c>
      <c r="D831" t="s">
        <v>12</v>
      </c>
      <c r="E831" t="s">
        <v>18</v>
      </c>
      <c r="F831" t="s">
        <v>32</v>
      </c>
      <c r="G831" t="s">
        <v>49</v>
      </c>
      <c r="H831">
        <v>5</v>
      </c>
      <c r="I831" s="1">
        <v>4106.79</v>
      </c>
      <c r="J831" s="1">
        <f t="shared" si="86"/>
        <v>18480.555</v>
      </c>
      <c r="K831" s="1">
        <f t="shared" si="87"/>
        <v>2053.395</v>
      </c>
      <c r="L831" s="1">
        <v>20533.95</v>
      </c>
      <c r="M831" s="1">
        <f t="shared" si="88"/>
        <v>3696.1109999999999</v>
      </c>
      <c r="N831" s="1">
        <f t="shared" si="89"/>
        <v>24230.061000000002</v>
      </c>
      <c r="S831" t="str">
        <f t="shared" si="84"/>
        <v>Sindh</v>
      </c>
      <c r="W831" t="str">
        <f t="shared" si="85"/>
        <v>South</v>
      </c>
      <c r="AB831" t="str">
        <f t="shared" si="90"/>
        <v>PK-SD</v>
      </c>
    </row>
    <row r="832" spans="1:28" x14ac:dyDescent="0.25">
      <c r="A832" s="2">
        <v>45077</v>
      </c>
      <c r="B832" t="s">
        <v>25</v>
      </c>
      <c r="C832" t="s">
        <v>61</v>
      </c>
      <c r="D832" t="s">
        <v>65</v>
      </c>
      <c r="E832" t="s">
        <v>64</v>
      </c>
      <c r="F832" t="s">
        <v>23</v>
      </c>
      <c r="G832" t="s">
        <v>24</v>
      </c>
      <c r="H832">
        <v>1</v>
      </c>
      <c r="I832" s="1">
        <v>3041.26</v>
      </c>
      <c r="J832" s="1">
        <f t="shared" si="86"/>
        <v>2737.1340000000005</v>
      </c>
      <c r="K832" s="1">
        <f t="shared" si="87"/>
        <v>304.12600000000003</v>
      </c>
      <c r="L832" s="1">
        <v>3041.26</v>
      </c>
      <c r="M832" s="1">
        <f t="shared" si="88"/>
        <v>547.42680000000007</v>
      </c>
      <c r="N832" s="1">
        <f t="shared" si="89"/>
        <v>3588.6868000000004</v>
      </c>
      <c r="S832" t="str">
        <f t="shared" si="84"/>
        <v>Punjab</v>
      </c>
      <c r="W832" t="str">
        <f t="shared" si="85"/>
        <v>East</v>
      </c>
      <c r="AB832" t="str">
        <f t="shared" si="90"/>
        <v>PK-PB</v>
      </c>
    </row>
    <row r="833" spans="1:28" x14ac:dyDescent="0.25">
      <c r="A833" s="2">
        <v>45248</v>
      </c>
      <c r="B833" t="s">
        <v>25</v>
      </c>
      <c r="C833" t="s">
        <v>26</v>
      </c>
      <c r="D833" t="s">
        <v>12</v>
      </c>
      <c r="E833" t="s">
        <v>18</v>
      </c>
      <c r="F833" t="s">
        <v>19</v>
      </c>
      <c r="G833" t="s">
        <v>30</v>
      </c>
      <c r="H833">
        <v>7</v>
      </c>
      <c r="I833" s="1">
        <v>4514.21</v>
      </c>
      <c r="J833" s="1">
        <f t="shared" si="86"/>
        <v>28439.523000000001</v>
      </c>
      <c r="K833" s="1">
        <f t="shared" si="87"/>
        <v>3159.9470000000001</v>
      </c>
      <c r="L833" s="1">
        <v>31599.47</v>
      </c>
      <c r="M833" s="1">
        <f t="shared" si="88"/>
        <v>5687.9045999999998</v>
      </c>
      <c r="N833" s="1">
        <f t="shared" si="89"/>
        <v>37287.374600000003</v>
      </c>
      <c r="S833" t="str">
        <f t="shared" si="84"/>
        <v>Sindh</v>
      </c>
      <c r="W833" t="str">
        <f t="shared" si="85"/>
        <v>South</v>
      </c>
      <c r="AB833" t="str">
        <f t="shared" si="90"/>
        <v>PK-SD</v>
      </c>
    </row>
    <row r="834" spans="1:28" x14ac:dyDescent="0.25">
      <c r="A834" s="2">
        <v>45006</v>
      </c>
      <c r="B834" t="s">
        <v>43</v>
      </c>
      <c r="C834" t="s">
        <v>56</v>
      </c>
      <c r="D834" t="s">
        <v>12</v>
      </c>
      <c r="E834" t="s">
        <v>18</v>
      </c>
      <c r="F834" t="s">
        <v>23</v>
      </c>
      <c r="G834" t="s">
        <v>24</v>
      </c>
      <c r="H834">
        <v>18</v>
      </c>
      <c r="I834" s="1">
        <v>2971.68</v>
      </c>
      <c r="J834" s="1">
        <f t="shared" si="86"/>
        <v>48141.216</v>
      </c>
      <c r="K834" s="1">
        <f t="shared" si="87"/>
        <v>5349.0240000000003</v>
      </c>
      <c r="L834" s="1">
        <v>53490.239999999998</v>
      </c>
      <c r="M834" s="1">
        <f t="shared" si="88"/>
        <v>9628.243199999999</v>
      </c>
      <c r="N834" s="1">
        <f t="shared" si="89"/>
        <v>63118.483199999995</v>
      </c>
      <c r="S834" t="str">
        <f t="shared" ref="S834:S897" si="91">VLOOKUP(C834,$Q$2:$R$15,2,FALSE)</f>
        <v>Sindh</v>
      </c>
      <c r="W834" t="str">
        <f t="shared" ref="W834:W897" si="92">VLOOKUP(D834,$U$2:$V$5,2,FALSE)</f>
        <v>South</v>
      </c>
      <c r="AB834" t="str">
        <f t="shared" si="90"/>
        <v>PK-SD</v>
      </c>
    </row>
    <row r="835" spans="1:28" x14ac:dyDescent="0.25">
      <c r="A835" s="2">
        <v>45161</v>
      </c>
      <c r="B835" t="s">
        <v>34</v>
      </c>
      <c r="C835" t="s">
        <v>57</v>
      </c>
      <c r="D835" t="s">
        <v>22</v>
      </c>
      <c r="E835" t="s">
        <v>13</v>
      </c>
      <c r="F835" t="s">
        <v>27</v>
      </c>
      <c r="G835" t="s">
        <v>28</v>
      </c>
      <c r="H835">
        <v>6</v>
      </c>
      <c r="I835" s="1">
        <v>2263.36</v>
      </c>
      <c r="J835" s="1">
        <f t="shared" ref="J835:J898" si="93">L835*90%</f>
        <v>12222.144</v>
      </c>
      <c r="K835" s="1">
        <f t="shared" ref="K835:K898" si="94">L835*10%</f>
        <v>1358.0160000000001</v>
      </c>
      <c r="L835" s="1">
        <v>13580.16</v>
      </c>
      <c r="M835" s="1">
        <f t="shared" ref="M835:M898" si="95">L835*18%</f>
        <v>2444.4287999999997</v>
      </c>
      <c r="N835" s="1">
        <f t="shared" ref="N835:N898" si="96">L835+M835</f>
        <v>16024.5888</v>
      </c>
      <c r="S835" t="str">
        <f t="shared" si="91"/>
        <v>Balochistan</v>
      </c>
      <c r="W835" t="str">
        <f t="shared" si="92"/>
        <v>West</v>
      </c>
      <c r="AB835" t="str">
        <f t="shared" ref="AB835:AB898" si="97">VLOOKUP(D835,$Z$2:$AA$5,2,FALSE)</f>
        <v>PK-BA</v>
      </c>
    </row>
    <row r="836" spans="1:28" x14ac:dyDescent="0.25">
      <c r="A836" s="2">
        <v>45059</v>
      </c>
      <c r="B836" t="s">
        <v>10</v>
      </c>
      <c r="C836" t="s">
        <v>17</v>
      </c>
      <c r="D836" t="s">
        <v>65</v>
      </c>
      <c r="E836" t="s">
        <v>64</v>
      </c>
      <c r="F836" t="s">
        <v>14</v>
      </c>
      <c r="G836" t="s">
        <v>51</v>
      </c>
      <c r="H836">
        <v>8</v>
      </c>
      <c r="I836" s="1">
        <v>3859.28</v>
      </c>
      <c r="J836" s="1">
        <f t="shared" si="93"/>
        <v>27786.816000000003</v>
      </c>
      <c r="K836" s="1">
        <f t="shared" si="94"/>
        <v>3087.4240000000004</v>
      </c>
      <c r="L836" s="1">
        <v>30874.240000000002</v>
      </c>
      <c r="M836" s="1">
        <f t="shared" si="95"/>
        <v>5557.3631999999998</v>
      </c>
      <c r="N836" s="1">
        <f t="shared" si="96"/>
        <v>36431.603199999998</v>
      </c>
      <c r="S836" t="str">
        <f t="shared" si="91"/>
        <v>Punjab</v>
      </c>
      <c r="W836" t="str">
        <f t="shared" si="92"/>
        <v>East</v>
      </c>
      <c r="AB836" t="str">
        <f t="shared" si="97"/>
        <v>PK-PB</v>
      </c>
    </row>
    <row r="837" spans="1:28" x14ac:dyDescent="0.25">
      <c r="A837" s="2">
        <v>45061</v>
      </c>
      <c r="B837" t="s">
        <v>38</v>
      </c>
      <c r="C837" t="s">
        <v>11</v>
      </c>
      <c r="D837" t="s">
        <v>22</v>
      </c>
      <c r="E837" t="s">
        <v>13</v>
      </c>
      <c r="F837" t="s">
        <v>14</v>
      </c>
      <c r="G837" t="s">
        <v>53</v>
      </c>
      <c r="H837">
        <v>14</v>
      </c>
      <c r="I837" s="1">
        <v>3044.71</v>
      </c>
      <c r="J837" s="1">
        <f t="shared" si="93"/>
        <v>38363.346000000005</v>
      </c>
      <c r="K837" s="1">
        <f t="shared" si="94"/>
        <v>4262.5940000000001</v>
      </c>
      <c r="L837" s="1">
        <v>42625.94</v>
      </c>
      <c r="M837" s="1">
        <f t="shared" si="95"/>
        <v>7672.6692000000003</v>
      </c>
      <c r="N837" s="1">
        <f t="shared" si="96"/>
        <v>50298.609200000006</v>
      </c>
      <c r="S837" t="str">
        <f t="shared" si="91"/>
        <v>Balochistan</v>
      </c>
      <c r="W837" t="str">
        <f t="shared" si="92"/>
        <v>West</v>
      </c>
      <c r="AB837" t="str">
        <f t="shared" si="97"/>
        <v>PK-BA</v>
      </c>
    </row>
    <row r="838" spans="1:28" x14ac:dyDescent="0.25">
      <c r="A838" s="2">
        <v>45105</v>
      </c>
      <c r="B838" t="s">
        <v>25</v>
      </c>
      <c r="C838" t="s">
        <v>62</v>
      </c>
      <c r="D838" t="s">
        <v>65</v>
      </c>
      <c r="E838" t="s">
        <v>64</v>
      </c>
      <c r="F838" t="s">
        <v>19</v>
      </c>
      <c r="G838" t="s">
        <v>48</v>
      </c>
      <c r="H838">
        <v>11</v>
      </c>
      <c r="I838" s="1">
        <v>4653.38</v>
      </c>
      <c r="J838" s="1">
        <f t="shared" si="93"/>
        <v>46068.462</v>
      </c>
      <c r="K838" s="1">
        <f t="shared" si="94"/>
        <v>5118.7180000000008</v>
      </c>
      <c r="L838" s="1">
        <v>51187.18</v>
      </c>
      <c r="M838" s="1">
        <f t="shared" si="95"/>
        <v>9213.6923999999999</v>
      </c>
      <c r="N838" s="1">
        <f t="shared" si="96"/>
        <v>60400.8724</v>
      </c>
      <c r="S838" t="str">
        <f t="shared" si="91"/>
        <v>Punjab</v>
      </c>
      <c r="W838" t="str">
        <f t="shared" si="92"/>
        <v>East</v>
      </c>
      <c r="AB838" t="str">
        <f t="shared" si="97"/>
        <v>PK-PB</v>
      </c>
    </row>
    <row r="839" spans="1:28" x14ac:dyDescent="0.25">
      <c r="A839" s="2">
        <v>44964</v>
      </c>
      <c r="B839" t="s">
        <v>34</v>
      </c>
      <c r="C839" t="s">
        <v>57</v>
      </c>
      <c r="D839" t="s">
        <v>22</v>
      </c>
      <c r="E839" t="s">
        <v>13</v>
      </c>
      <c r="F839" t="s">
        <v>14</v>
      </c>
      <c r="G839" t="s">
        <v>53</v>
      </c>
      <c r="H839">
        <v>9</v>
      </c>
      <c r="I839" s="1">
        <v>3425.59</v>
      </c>
      <c r="J839" s="1">
        <f t="shared" si="93"/>
        <v>27747.279000000002</v>
      </c>
      <c r="K839" s="1">
        <f t="shared" si="94"/>
        <v>3083.0310000000004</v>
      </c>
      <c r="L839" s="1">
        <v>30830.31</v>
      </c>
      <c r="M839" s="1">
        <f t="shared" si="95"/>
        <v>5549.4557999999997</v>
      </c>
      <c r="N839" s="1">
        <f t="shared" si="96"/>
        <v>36379.765800000001</v>
      </c>
      <c r="S839" t="str">
        <f t="shared" si="91"/>
        <v>Balochistan</v>
      </c>
      <c r="W839" t="str">
        <f t="shared" si="92"/>
        <v>West</v>
      </c>
      <c r="AB839" t="str">
        <f t="shared" si="97"/>
        <v>PK-BA</v>
      </c>
    </row>
    <row r="840" spans="1:28" x14ac:dyDescent="0.25">
      <c r="A840" s="2">
        <v>45134</v>
      </c>
      <c r="B840" t="s">
        <v>10</v>
      </c>
      <c r="C840" t="s">
        <v>26</v>
      </c>
      <c r="D840" t="s">
        <v>12</v>
      </c>
      <c r="E840" t="s">
        <v>18</v>
      </c>
      <c r="F840" t="s">
        <v>23</v>
      </c>
      <c r="G840" t="s">
        <v>24</v>
      </c>
      <c r="H840">
        <v>15</v>
      </c>
      <c r="I840" s="1">
        <v>4671.6899999999996</v>
      </c>
      <c r="J840" s="1">
        <f t="shared" si="93"/>
        <v>63067.81500000001</v>
      </c>
      <c r="K840" s="1">
        <f t="shared" si="94"/>
        <v>7007.5350000000008</v>
      </c>
      <c r="L840" s="1">
        <v>70075.350000000006</v>
      </c>
      <c r="M840" s="1">
        <f t="shared" si="95"/>
        <v>12613.563</v>
      </c>
      <c r="N840" s="1">
        <f t="shared" si="96"/>
        <v>82688.913</v>
      </c>
      <c r="S840" t="str">
        <f t="shared" si="91"/>
        <v>Sindh</v>
      </c>
      <c r="W840" t="str">
        <f t="shared" si="92"/>
        <v>South</v>
      </c>
      <c r="AB840" t="str">
        <f t="shared" si="97"/>
        <v>PK-SD</v>
      </c>
    </row>
    <row r="841" spans="1:28" x14ac:dyDescent="0.25">
      <c r="A841" s="2">
        <v>45186</v>
      </c>
      <c r="B841" t="s">
        <v>16</v>
      </c>
      <c r="C841" t="s">
        <v>59</v>
      </c>
      <c r="D841" t="s">
        <v>66</v>
      </c>
      <c r="E841" t="s">
        <v>41</v>
      </c>
      <c r="F841" t="s">
        <v>19</v>
      </c>
      <c r="G841" t="s">
        <v>52</v>
      </c>
      <c r="H841">
        <v>5</v>
      </c>
      <c r="I841" s="1">
        <v>4600.38</v>
      </c>
      <c r="J841" s="1">
        <f t="shared" si="93"/>
        <v>20701.710000000003</v>
      </c>
      <c r="K841" s="1">
        <f t="shared" si="94"/>
        <v>2300.19</v>
      </c>
      <c r="L841" s="1">
        <v>23001.9</v>
      </c>
      <c r="M841" s="1">
        <f t="shared" si="95"/>
        <v>4140.3420000000006</v>
      </c>
      <c r="N841" s="1">
        <f t="shared" si="96"/>
        <v>27142.242000000002</v>
      </c>
      <c r="S841" t="str">
        <f t="shared" si="91"/>
        <v>Khyber Pakhtunkhwa</v>
      </c>
      <c r="W841" t="str">
        <f t="shared" si="92"/>
        <v>North</v>
      </c>
      <c r="AB841" t="str">
        <f t="shared" si="97"/>
        <v>Khyber Pakhtunkhwa</v>
      </c>
    </row>
    <row r="842" spans="1:28" x14ac:dyDescent="0.25">
      <c r="A842" s="2">
        <v>45088</v>
      </c>
      <c r="B842" t="s">
        <v>40</v>
      </c>
      <c r="C842" t="s">
        <v>56</v>
      </c>
      <c r="D842" t="s">
        <v>12</v>
      </c>
      <c r="E842" t="s">
        <v>18</v>
      </c>
      <c r="F842" t="s">
        <v>27</v>
      </c>
      <c r="G842" t="s">
        <v>46</v>
      </c>
      <c r="H842">
        <v>19</v>
      </c>
      <c r="I842" s="1">
        <v>2183.09</v>
      </c>
      <c r="J842" s="1">
        <f t="shared" si="93"/>
        <v>37330.839</v>
      </c>
      <c r="K842" s="1">
        <f t="shared" si="94"/>
        <v>4147.8710000000001</v>
      </c>
      <c r="L842" s="1">
        <v>41478.71</v>
      </c>
      <c r="M842" s="1">
        <f t="shared" si="95"/>
        <v>7466.1677999999993</v>
      </c>
      <c r="N842" s="1">
        <f t="shared" si="96"/>
        <v>48944.877800000002</v>
      </c>
      <c r="S842" t="str">
        <f t="shared" si="91"/>
        <v>Sindh</v>
      </c>
      <c r="W842" t="str">
        <f t="shared" si="92"/>
        <v>South</v>
      </c>
      <c r="AB842" t="str">
        <f t="shared" si="97"/>
        <v>PK-SD</v>
      </c>
    </row>
    <row r="843" spans="1:28" x14ac:dyDescent="0.25">
      <c r="A843" s="2">
        <v>45280</v>
      </c>
      <c r="B843" t="s">
        <v>34</v>
      </c>
      <c r="C843" t="s">
        <v>55</v>
      </c>
      <c r="D843" t="s">
        <v>66</v>
      </c>
      <c r="E843" t="s">
        <v>41</v>
      </c>
      <c r="F843" t="s">
        <v>32</v>
      </c>
      <c r="G843" t="s">
        <v>36</v>
      </c>
      <c r="H843">
        <v>8</v>
      </c>
      <c r="I843" s="1">
        <v>1850.8</v>
      </c>
      <c r="J843" s="1">
        <f t="shared" si="93"/>
        <v>13325.76</v>
      </c>
      <c r="K843" s="1">
        <f t="shared" si="94"/>
        <v>1480.64</v>
      </c>
      <c r="L843" s="1">
        <v>14806.4</v>
      </c>
      <c r="M843" s="1">
        <f t="shared" si="95"/>
        <v>2665.152</v>
      </c>
      <c r="N843" s="1">
        <f t="shared" si="96"/>
        <v>17471.552</v>
      </c>
      <c r="S843" t="str">
        <f t="shared" si="91"/>
        <v>Khyber Pakhtunkhwa</v>
      </c>
      <c r="W843" t="str">
        <f t="shared" si="92"/>
        <v>North</v>
      </c>
      <c r="AB843" t="str">
        <f t="shared" si="97"/>
        <v>Khyber Pakhtunkhwa</v>
      </c>
    </row>
    <row r="844" spans="1:28" x14ac:dyDescent="0.25">
      <c r="A844" s="2">
        <v>45272</v>
      </c>
      <c r="B844" t="s">
        <v>16</v>
      </c>
      <c r="C844" t="s">
        <v>61</v>
      </c>
      <c r="D844" t="s">
        <v>65</v>
      </c>
      <c r="E844" t="s">
        <v>64</v>
      </c>
      <c r="F844" t="s">
        <v>32</v>
      </c>
      <c r="G844" t="s">
        <v>49</v>
      </c>
      <c r="H844">
        <v>12</v>
      </c>
      <c r="I844" s="1">
        <v>3695.68</v>
      </c>
      <c r="J844" s="1">
        <f t="shared" si="93"/>
        <v>39913.344000000005</v>
      </c>
      <c r="K844" s="1">
        <f t="shared" si="94"/>
        <v>4434.8160000000007</v>
      </c>
      <c r="L844" s="1">
        <v>44348.160000000003</v>
      </c>
      <c r="M844" s="1">
        <f t="shared" si="95"/>
        <v>7982.6688000000004</v>
      </c>
      <c r="N844" s="1">
        <f t="shared" si="96"/>
        <v>52330.828800000003</v>
      </c>
      <c r="S844" t="str">
        <f t="shared" si="91"/>
        <v>Punjab</v>
      </c>
      <c r="W844" t="str">
        <f t="shared" si="92"/>
        <v>East</v>
      </c>
      <c r="AB844" t="str">
        <f t="shared" si="97"/>
        <v>PK-PB</v>
      </c>
    </row>
    <row r="845" spans="1:28" x14ac:dyDescent="0.25">
      <c r="A845" s="2">
        <v>45119</v>
      </c>
      <c r="B845" t="s">
        <v>10</v>
      </c>
      <c r="C845" t="s">
        <v>35</v>
      </c>
      <c r="D845" t="s">
        <v>65</v>
      </c>
      <c r="E845" t="s">
        <v>64</v>
      </c>
      <c r="F845" t="s">
        <v>14</v>
      </c>
      <c r="G845" t="s">
        <v>53</v>
      </c>
      <c r="H845">
        <v>14</v>
      </c>
      <c r="I845" s="1">
        <v>3099.57</v>
      </c>
      <c r="J845" s="1">
        <f t="shared" si="93"/>
        <v>39054.582000000002</v>
      </c>
      <c r="K845" s="1">
        <f t="shared" si="94"/>
        <v>4339.3980000000001</v>
      </c>
      <c r="L845" s="1">
        <v>43393.98</v>
      </c>
      <c r="M845" s="1">
        <f t="shared" si="95"/>
        <v>7810.9164000000001</v>
      </c>
      <c r="N845" s="1">
        <f t="shared" si="96"/>
        <v>51204.896400000005</v>
      </c>
      <c r="S845" t="str">
        <f t="shared" si="91"/>
        <v>Punjab</v>
      </c>
      <c r="W845" t="str">
        <f t="shared" si="92"/>
        <v>East</v>
      </c>
      <c r="AB845" t="str">
        <f t="shared" si="97"/>
        <v>PK-PB</v>
      </c>
    </row>
    <row r="846" spans="1:28" x14ac:dyDescent="0.25">
      <c r="A846" s="2">
        <v>45222</v>
      </c>
      <c r="B846" t="s">
        <v>31</v>
      </c>
      <c r="C846" t="s">
        <v>11</v>
      </c>
      <c r="D846" t="s">
        <v>22</v>
      </c>
      <c r="E846" t="s">
        <v>13</v>
      </c>
      <c r="F846" t="s">
        <v>23</v>
      </c>
      <c r="G846" t="s">
        <v>37</v>
      </c>
      <c r="H846">
        <v>1</v>
      </c>
      <c r="I846" s="1">
        <v>3758.07</v>
      </c>
      <c r="J846" s="1">
        <f t="shared" si="93"/>
        <v>3382.2630000000004</v>
      </c>
      <c r="K846" s="1">
        <f t="shared" si="94"/>
        <v>375.80700000000002</v>
      </c>
      <c r="L846" s="1">
        <v>3758.07</v>
      </c>
      <c r="M846" s="1">
        <f t="shared" si="95"/>
        <v>676.45259999999996</v>
      </c>
      <c r="N846" s="1">
        <f t="shared" si="96"/>
        <v>4434.5226000000002</v>
      </c>
      <c r="S846" t="str">
        <f t="shared" si="91"/>
        <v>Balochistan</v>
      </c>
      <c r="W846" t="str">
        <f t="shared" si="92"/>
        <v>West</v>
      </c>
      <c r="AB846" t="str">
        <f t="shared" si="97"/>
        <v>PK-BA</v>
      </c>
    </row>
    <row r="847" spans="1:28" x14ac:dyDescent="0.25">
      <c r="A847" s="2">
        <v>45163</v>
      </c>
      <c r="B847" t="s">
        <v>29</v>
      </c>
      <c r="C847" t="s">
        <v>58</v>
      </c>
      <c r="D847" t="s">
        <v>12</v>
      </c>
      <c r="E847" t="s">
        <v>18</v>
      </c>
      <c r="F847" t="s">
        <v>14</v>
      </c>
      <c r="G847" t="s">
        <v>45</v>
      </c>
      <c r="H847">
        <v>5</v>
      </c>
      <c r="I847" s="1">
        <v>2536.65</v>
      </c>
      <c r="J847" s="1">
        <f t="shared" si="93"/>
        <v>11414.925000000001</v>
      </c>
      <c r="K847" s="1">
        <f t="shared" si="94"/>
        <v>1268.325</v>
      </c>
      <c r="L847" s="1">
        <v>12683.25</v>
      </c>
      <c r="M847" s="1">
        <f t="shared" si="95"/>
        <v>2282.9850000000001</v>
      </c>
      <c r="N847" s="1">
        <f t="shared" si="96"/>
        <v>14966.235000000001</v>
      </c>
      <c r="S847" t="str">
        <f t="shared" si="91"/>
        <v>Sindh</v>
      </c>
      <c r="W847" t="str">
        <f t="shared" si="92"/>
        <v>South</v>
      </c>
      <c r="AB847" t="str">
        <f t="shared" si="97"/>
        <v>PK-SD</v>
      </c>
    </row>
    <row r="848" spans="1:28" x14ac:dyDescent="0.25">
      <c r="A848" s="2">
        <v>45160</v>
      </c>
      <c r="B848" t="s">
        <v>31</v>
      </c>
      <c r="C848" t="s">
        <v>26</v>
      </c>
      <c r="D848" t="s">
        <v>12</v>
      </c>
      <c r="E848" t="s">
        <v>18</v>
      </c>
      <c r="F848" t="s">
        <v>27</v>
      </c>
      <c r="G848" t="s">
        <v>44</v>
      </c>
      <c r="H848">
        <v>9</v>
      </c>
      <c r="I848" s="1">
        <v>564.08000000000004</v>
      </c>
      <c r="J848" s="1">
        <f t="shared" si="93"/>
        <v>4569.0480000000007</v>
      </c>
      <c r="K848" s="1">
        <f t="shared" si="94"/>
        <v>507.67200000000003</v>
      </c>
      <c r="L848" s="1">
        <v>5076.72</v>
      </c>
      <c r="M848" s="1">
        <f t="shared" si="95"/>
        <v>913.80960000000005</v>
      </c>
      <c r="N848" s="1">
        <f t="shared" si="96"/>
        <v>5990.5295999999998</v>
      </c>
      <c r="S848" t="str">
        <f t="shared" si="91"/>
        <v>Sindh</v>
      </c>
      <c r="W848" t="str">
        <f t="shared" si="92"/>
        <v>South</v>
      </c>
      <c r="AB848" t="str">
        <f t="shared" si="97"/>
        <v>PK-SD</v>
      </c>
    </row>
    <row r="849" spans="1:28" x14ac:dyDescent="0.25">
      <c r="A849" s="2">
        <v>45257</v>
      </c>
      <c r="B849" t="s">
        <v>10</v>
      </c>
      <c r="C849" t="s">
        <v>54</v>
      </c>
      <c r="D849" t="s">
        <v>12</v>
      </c>
      <c r="E849" t="s">
        <v>18</v>
      </c>
      <c r="F849" t="s">
        <v>27</v>
      </c>
      <c r="G849" t="s">
        <v>42</v>
      </c>
      <c r="H849">
        <v>4</v>
      </c>
      <c r="I849" s="1">
        <v>3762.47</v>
      </c>
      <c r="J849" s="1">
        <f t="shared" si="93"/>
        <v>13544.892</v>
      </c>
      <c r="K849" s="1">
        <f t="shared" si="94"/>
        <v>1504.9880000000001</v>
      </c>
      <c r="L849" s="1">
        <v>15049.88</v>
      </c>
      <c r="M849" s="1">
        <f t="shared" si="95"/>
        <v>2708.9784</v>
      </c>
      <c r="N849" s="1">
        <f t="shared" si="96"/>
        <v>17758.858399999997</v>
      </c>
      <c r="S849" t="str">
        <f t="shared" si="91"/>
        <v>Sindh</v>
      </c>
      <c r="W849" t="str">
        <f t="shared" si="92"/>
        <v>South</v>
      </c>
      <c r="AB849" t="str">
        <f t="shared" si="97"/>
        <v>PK-SD</v>
      </c>
    </row>
    <row r="850" spans="1:28" x14ac:dyDescent="0.25">
      <c r="A850" s="2">
        <v>45229</v>
      </c>
      <c r="B850" t="s">
        <v>21</v>
      </c>
      <c r="C850" t="s">
        <v>63</v>
      </c>
      <c r="D850" t="s">
        <v>65</v>
      </c>
      <c r="E850" t="s">
        <v>64</v>
      </c>
      <c r="F850" t="s">
        <v>27</v>
      </c>
      <c r="G850" t="s">
        <v>46</v>
      </c>
      <c r="H850">
        <v>5</v>
      </c>
      <c r="I850" s="1">
        <v>4180.57</v>
      </c>
      <c r="J850" s="1">
        <f t="shared" si="93"/>
        <v>18812.564999999999</v>
      </c>
      <c r="K850" s="1">
        <f t="shared" si="94"/>
        <v>2090.2849999999999</v>
      </c>
      <c r="L850" s="1">
        <v>20902.849999999999</v>
      </c>
      <c r="M850" s="1">
        <f t="shared" si="95"/>
        <v>3762.5129999999995</v>
      </c>
      <c r="N850" s="1">
        <f t="shared" si="96"/>
        <v>24665.362999999998</v>
      </c>
      <c r="S850" t="str">
        <f t="shared" si="91"/>
        <v>Punjab</v>
      </c>
      <c r="W850" t="str">
        <f t="shared" si="92"/>
        <v>East</v>
      </c>
      <c r="AB850" t="str">
        <f t="shared" si="97"/>
        <v>PK-PB</v>
      </c>
    </row>
    <row r="851" spans="1:28" x14ac:dyDescent="0.25">
      <c r="A851" s="2">
        <v>44945</v>
      </c>
      <c r="B851" t="s">
        <v>34</v>
      </c>
      <c r="C851" t="s">
        <v>62</v>
      </c>
      <c r="D851" t="s">
        <v>65</v>
      </c>
      <c r="E851" t="s">
        <v>64</v>
      </c>
      <c r="F851" t="s">
        <v>14</v>
      </c>
      <c r="G851" t="s">
        <v>45</v>
      </c>
      <c r="H851">
        <v>5</v>
      </c>
      <c r="I851" s="1">
        <v>1947.01</v>
      </c>
      <c r="J851" s="1">
        <f t="shared" si="93"/>
        <v>8761.5450000000001</v>
      </c>
      <c r="K851" s="1">
        <f t="shared" si="94"/>
        <v>973.505</v>
      </c>
      <c r="L851" s="1">
        <v>9735.0499999999993</v>
      </c>
      <c r="M851" s="1">
        <f t="shared" si="95"/>
        <v>1752.3089999999997</v>
      </c>
      <c r="N851" s="1">
        <f t="shared" si="96"/>
        <v>11487.358999999999</v>
      </c>
      <c r="S851" t="str">
        <f t="shared" si="91"/>
        <v>Punjab</v>
      </c>
      <c r="W851" t="str">
        <f t="shared" si="92"/>
        <v>East</v>
      </c>
      <c r="AB851" t="str">
        <f t="shared" si="97"/>
        <v>PK-PB</v>
      </c>
    </row>
    <row r="852" spans="1:28" x14ac:dyDescent="0.25">
      <c r="A852" s="2">
        <v>45129</v>
      </c>
      <c r="B852" t="s">
        <v>10</v>
      </c>
      <c r="C852" t="s">
        <v>11</v>
      </c>
      <c r="D852" t="s">
        <v>22</v>
      </c>
      <c r="E852" t="s">
        <v>13</v>
      </c>
      <c r="F852" t="s">
        <v>23</v>
      </c>
      <c r="G852" t="s">
        <v>39</v>
      </c>
      <c r="H852">
        <v>13</v>
      </c>
      <c r="I852" s="1">
        <v>4686.21</v>
      </c>
      <c r="J852" s="1">
        <f t="shared" si="93"/>
        <v>54828.657000000007</v>
      </c>
      <c r="K852" s="1">
        <f t="shared" si="94"/>
        <v>6092.0730000000003</v>
      </c>
      <c r="L852" s="1">
        <v>60920.73</v>
      </c>
      <c r="M852" s="1">
        <f t="shared" si="95"/>
        <v>10965.731400000001</v>
      </c>
      <c r="N852" s="1">
        <f t="shared" si="96"/>
        <v>71886.4614</v>
      </c>
      <c r="S852" t="str">
        <f t="shared" si="91"/>
        <v>Balochistan</v>
      </c>
      <c r="W852" t="str">
        <f t="shared" si="92"/>
        <v>West</v>
      </c>
      <c r="AB852" t="str">
        <f t="shared" si="97"/>
        <v>PK-BA</v>
      </c>
    </row>
    <row r="853" spans="1:28" x14ac:dyDescent="0.25">
      <c r="A853" s="2">
        <v>44944</v>
      </c>
      <c r="B853" t="s">
        <v>21</v>
      </c>
      <c r="C853" t="s">
        <v>11</v>
      </c>
      <c r="D853" t="s">
        <v>22</v>
      </c>
      <c r="E853" t="s">
        <v>13</v>
      </c>
      <c r="F853" t="s">
        <v>14</v>
      </c>
      <c r="G853" t="s">
        <v>15</v>
      </c>
      <c r="H853">
        <v>7</v>
      </c>
      <c r="I853" s="1">
        <v>4418.17</v>
      </c>
      <c r="J853" s="1">
        <f t="shared" si="93"/>
        <v>27834.470999999998</v>
      </c>
      <c r="K853" s="1">
        <f t="shared" si="94"/>
        <v>3092.7190000000001</v>
      </c>
      <c r="L853" s="1">
        <v>30927.19</v>
      </c>
      <c r="M853" s="1">
        <f t="shared" si="95"/>
        <v>5566.8941999999997</v>
      </c>
      <c r="N853" s="1">
        <f t="shared" si="96"/>
        <v>36494.084199999998</v>
      </c>
      <c r="S853" t="str">
        <f t="shared" si="91"/>
        <v>Balochistan</v>
      </c>
      <c r="W853" t="str">
        <f t="shared" si="92"/>
        <v>West</v>
      </c>
      <c r="AB853" t="str">
        <f t="shared" si="97"/>
        <v>PK-BA</v>
      </c>
    </row>
    <row r="854" spans="1:28" x14ac:dyDescent="0.25">
      <c r="A854" s="2">
        <v>45208</v>
      </c>
      <c r="B854" t="s">
        <v>34</v>
      </c>
      <c r="C854" t="s">
        <v>59</v>
      </c>
      <c r="D854" t="s">
        <v>66</v>
      </c>
      <c r="E854" t="s">
        <v>41</v>
      </c>
      <c r="F854" t="s">
        <v>23</v>
      </c>
      <c r="G854" t="s">
        <v>47</v>
      </c>
      <c r="H854">
        <v>19</v>
      </c>
      <c r="I854" s="1">
        <v>4186.6400000000003</v>
      </c>
      <c r="J854" s="1">
        <f t="shared" si="93"/>
        <v>71591.544000000009</v>
      </c>
      <c r="K854" s="1">
        <f t="shared" si="94"/>
        <v>7954.6160000000009</v>
      </c>
      <c r="L854" s="1">
        <v>79546.16</v>
      </c>
      <c r="M854" s="1">
        <f t="shared" si="95"/>
        <v>14318.308800000001</v>
      </c>
      <c r="N854" s="1">
        <f t="shared" si="96"/>
        <v>93864.468800000002</v>
      </c>
      <c r="S854" t="str">
        <f t="shared" si="91"/>
        <v>Khyber Pakhtunkhwa</v>
      </c>
      <c r="W854" t="str">
        <f t="shared" si="92"/>
        <v>North</v>
      </c>
      <c r="AB854" t="str">
        <f t="shared" si="97"/>
        <v>Khyber Pakhtunkhwa</v>
      </c>
    </row>
    <row r="855" spans="1:28" x14ac:dyDescent="0.25">
      <c r="A855" s="2">
        <v>45113</v>
      </c>
      <c r="B855" t="s">
        <v>16</v>
      </c>
      <c r="C855" t="s">
        <v>60</v>
      </c>
      <c r="D855" t="s">
        <v>12</v>
      </c>
      <c r="E855" t="s">
        <v>18</v>
      </c>
      <c r="F855" t="s">
        <v>14</v>
      </c>
      <c r="G855" t="s">
        <v>15</v>
      </c>
      <c r="H855">
        <v>6</v>
      </c>
      <c r="I855" s="1">
        <v>1003.96</v>
      </c>
      <c r="J855" s="1">
        <f t="shared" si="93"/>
        <v>5421.384</v>
      </c>
      <c r="K855" s="1">
        <f t="shared" si="94"/>
        <v>602.37600000000009</v>
      </c>
      <c r="L855" s="1">
        <v>6023.76</v>
      </c>
      <c r="M855" s="1">
        <f t="shared" si="95"/>
        <v>1084.2768000000001</v>
      </c>
      <c r="N855" s="1">
        <f t="shared" si="96"/>
        <v>7108.0367999999999</v>
      </c>
      <c r="S855" t="str">
        <f t="shared" si="91"/>
        <v>Sindh</v>
      </c>
      <c r="W855" t="str">
        <f t="shared" si="92"/>
        <v>South</v>
      </c>
      <c r="AB855" t="str">
        <f t="shared" si="97"/>
        <v>PK-SD</v>
      </c>
    </row>
    <row r="856" spans="1:28" x14ac:dyDescent="0.25">
      <c r="A856" s="2">
        <v>45127</v>
      </c>
      <c r="B856" t="s">
        <v>38</v>
      </c>
      <c r="C856" t="s">
        <v>55</v>
      </c>
      <c r="D856" t="s">
        <v>66</v>
      </c>
      <c r="E856" t="s">
        <v>41</v>
      </c>
      <c r="F856" t="s">
        <v>32</v>
      </c>
      <c r="G856" t="s">
        <v>36</v>
      </c>
      <c r="H856">
        <v>13</v>
      </c>
      <c r="I856" s="1">
        <v>1028.74</v>
      </c>
      <c r="J856" s="1">
        <f t="shared" si="93"/>
        <v>12036.258000000002</v>
      </c>
      <c r="K856" s="1">
        <f t="shared" si="94"/>
        <v>1337.3620000000001</v>
      </c>
      <c r="L856" s="1">
        <v>13373.62</v>
      </c>
      <c r="M856" s="1">
        <f t="shared" si="95"/>
        <v>2407.2516000000001</v>
      </c>
      <c r="N856" s="1">
        <f t="shared" si="96"/>
        <v>15780.8716</v>
      </c>
      <c r="S856" t="str">
        <f t="shared" si="91"/>
        <v>Khyber Pakhtunkhwa</v>
      </c>
      <c r="W856" t="str">
        <f t="shared" si="92"/>
        <v>North</v>
      </c>
      <c r="AB856" t="str">
        <f t="shared" si="97"/>
        <v>Khyber Pakhtunkhwa</v>
      </c>
    </row>
    <row r="857" spans="1:28" x14ac:dyDescent="0.25">
      <c r="A857" s="2">
        <v>45168</v>
      </c>
      <c r="B857" t="s">
        <v>29</v>
      </c>
      <c r="C857" t="s">
        <v>17</v>
      </c>
      <c r="D857" t="s">
        <v>65</v>
      </c>
      <c r="E857" t="s">
        <v>64</v>
      </c>
      <c r="F857" t="s">
        <v>23</v>
      </c>
      <c r="G857" t="s">
        <v>47</v>
      </c>
      <c r="H857">
        <v>20</v>
      </c>
      <c r="I857" s="1">
        <v>4751.1400000000003</v>
      </c>
      <c r="J857" s="1">
        <f t="shared" si="93"/>
        <v>85520.52</v>
      </c>
      <c r="K857" s="1">
        <f t="shared" si="94"/>
        <v>9502.2800000000007</v>
      </c>
      <c r="L857" s="1">
        <v>95022.8</v>
      </c>
      <c r="M857" s="1">
        <f t="shared" si="95"/>
        <v>17104.103999999999</v>
      </c>
      <c r="N857" s="1">
        <f t="shared" si="96"/>
        <v>112126.90400000001</v>
      </c>
      <c r="S857" t="str">
        <f t="shared" si="91"/>
        <v>Punjab</v>
      </c>
      <c r="W857" t="str">
        <f t="shared" si="92"/>
        <v>East</v>
      </c>
      <c r="AB857" t="str">
        <f t="shared" si="97"/>
        <v>PK-PB</v>
      </c>
    </row>
    <row r="858" spans="1:28" x14ac:dyDescent="0.25">
      <c r="A858" s="2">
        <v>45091</v>
      </c>
      <c r="B858" t="s">
        <v>10</v>
      </c>
      <c r="C858" t="s">
        <v>57</v>
      </c>
      <c r="D858" t="s">
        <v>22</v>
      </c>
      <c r="E858" t="s">
        <v>13</v>
      </c>
      <c r="F858" t="s">
        <v>23</v>
      </c>
      <c r="G858" t="s">
        <v>39</v>
      </c>
      <c r="H858">
        <v>8</v>
      </c>
      <c r="I858" s="1">
        <v>565.82000000000005</v>
      </c>
      <c r="J858" s="1">
        <f t="shared" si="93"/>
        <v>4073.9040000000005</v>
      </c>
      <c r="K858" s="1">
        <f t="shared" si="94"/>
        <v>452.65600000000006</v>
      </c>
      <c r="L858" s="1">
        <v>4526.5600000000004</v>
      </c>
      <c r="M858" s="1">
        <f t="shared" si="95"/>
        <v>814.7808</v>
      </c>
      <c r="N858" s="1">
        <f t="shared" si="96"/>
        <v>5341.3407999999999</v>
      </c>
      <c r="S858" t="str">
        <f t="shared" si="91"/>
        <v>Balochistan</v>
      </c>
      <c r="W858" t="str">
        <f t="shared" si="92"/>
        <v>West</v>
      </c>
      <c r="AB858" t="str">
        <f t="shared" si="97"/>
        <v>PK-BA</v>
      </c>
    </row>
    <row r="859" spans="1:28" x14ac:dyDescent="0.25">
      <c r="A859" s="2">
        <v>45164</v>
      </c>
      <c r="B859" t="s">
        <v>21</v>
      </c>
      <c r="C859" t="s">
        <v>59</v>
      </c>
      <c r="D859" t="s">
        <v>66</v>
      </c>
      <c r="E859" t="s">
        <v>41</v>
      </c>
      <c r="F859" t="s">
        <v>32</v>
      </c>
      <c r="G859" t="s">
        <v>49</v>
      </c>
      <c r="H859">
        <v>1</v>
      </c>
      <c r="I859" s="1">
        <v>1903.53</v>
      </c>
      <c r="J859" s="1">
        <f t="shared" si="93"/>
        <v>1713.1769999999999</v>
      </c>
      <c r="K859" s="1">
        <f t="shared" si="94"/>
        <v>190.35300000000001</v>
      </c>
      <c r="L859" s="1">
        <v>1903.53</v>
      </c>
      <c r="M859" s="1">
        <f t="shared" si="95"/>
        <v>342.6354</v>
      </c>
      <c r="N859" s="1">
        <f t="shared" si="96"/>
        <v>2246.1653999999999</v>
      </c>
      <c r="S859" t="str">
        <f t="shared" si="91"/>
        <v>Khyber Pakhtunkhwa</v>
      </c>
      <c r="W859" t="str">
        <f t="shared" si="92"/>
        <v>North</v>
      </c>
      <c r="AB859" t="str">
        <f t="shared" si="97"/>
        <v>Khyber Pakhtunkhwa</v>
      </c>
    </row>
    <row r="860" spans="1:28" x14ac:dyDescent="0.25">
      <c r="A860" s="2">
        <v>45238</v>
      </c>
      <c r="B860" t="s">
        <v>29</v>
      </c>
      <c r="C860" t="s">
        <v>63</v>
      </c>
      <c r="D860" t="s">
        <v>65</v>
      </c>
      <c r="E860" t="s">
        <v>64</v>
      </c>
      <c r="F860" t="s">
        <v>19</v>
      </c>
      <c r="G860" t="s">
        <v>20</v>
      </c>
      <c r="H860">
        <v>20</v>
      </c>
      <c r="I860" s="1">
        <v>3286.69</v>
      </c>
      <c r="J860" s="1">
        <f t="shared" si="93"/>
        <v>59160.420000000006</v>
      </c>
      <c r="K860" s="1">
        <f t="shared" si="94"/>
        <v>6573.380000000001</v>
      </c>
      <c r="L860" s="1">
        <v>65733.8</v>
      </c>
      <c r="M860" s="1">
        <f t="shared" si="95"/>
        <v>11832.084000000001</v>
      </c>
      <c r="N860" s="1">
        <f t="shared" si="96"/>
        <v>77565.884000000005</v>
      </c>
      <c r="S860" t="str">
        <f t="shared" si="91"/>
        <v>Punjab</v>
      </c>
      <c r="W860" t="str">
        <f t="shared" si="92"/>
        <v>East</v>
      </c>
      <c r="AB860" t="str">
        <f t="shared" si="97"/>
        <v>PK-PB</v>
      </c>
    </row>
    <row r="861" spans="1:28" x14ac:dyDescent="0.25">
      <c r="A861" s="2">
        <v>45059</v>
      </c>
      <c r="B861" t="s">
        <v>10</v>
      </c>
      <c r="C861" t="s">
        <v>26</v>
      </c>
      <c r="D861" t="s">
        <v>12</v>
      </c>
      <c r="E861" t="s">
        <v>18</v>
      </c>
      <c r="F861" t="s">
        <v>19</v>
      </c>
      <c r="G861" t="s">
        <v>48</v>
      </c>
      <c r="H861">
        <v>20</v>
      </c>
      <c r="I861" s="1">
        <v>1176.4000000000001</v>
      </c>
      <c r="J861" s="1">
        <f t="shared" si="93"/>
        <v>21175.200000000001</v>
      </c>
      <c r="K861" s="1">
        <f t="shared" si="94"/>
        <v>2352.8000000000002</v>
      </c>
      <c r="L861" s="1">
        <v>23528</v>
      </c>
      <c r="M861" s="1">
        <f t="shared" si="95"/>
        <v>4235.04</v>
      </c>
      <c r="N861" s="1">
        <f t="shared" si="96"/>
        <v>27763.040000000001</v>
      </c>
      <c r="S861" t="str">
        <f t="shared" si="91"/>
        <v>Sindh</v>
      </c>
      <c r="W861" t="str">
        <f t="shared" si="92"/>
        <v>South</v>
      </c>
      <c r="AB861" t="str">
        <f t="shared" si="97"/>
        <v>PK-SD</v>
      </c>
    </row>
    <row r="862" spans="1:28" x14ac:dyDescent="0.25">
      <c r="A862" s="2">
        <v>45279</v>
      </c>
      <c r="B862" t="s">
        <v>10</v>
      </c>
      <c r="C862" t="s">
        <v>60</v>
      </c>
      <c r="D862" t="s">
        <v>12</v>
      </c>
      <c r="E862" t="s">
        <v>18</v>
      </c>
      <c r="F862" t="s">
        <v>19</v>
      </c>
      <c r="G862" t="s">
        <v>20</v>
      </c>
      <c r="H862">
        <v>11</v>
      </c>
      <c r="I862" s="1">
        <v>2038.9</v>
      </c>
      <c r="J862" s="1">
        <f t="shared" si="93"/>
        <v>20185.11</v>
      </c>
      <c r="K862" s="1">
        <f t="shared" si="94"/>
        <v>2242.7900000000004</v>
      </c>
      <c r="L862" s="1">
        <v>22427.9</v>
      </c>
      <c r="M862" s="1">
        <f t="shared" si="95"/>
        <v>4037.0219999999999</v>
      </c>
      <c r="N862" s="1">
        <f t="shared" si="96"/>
        <v>26464.922000000002</v>
      </c>
      <c r="S862" t="str">
        <f t="shared" si="91"/>
        <v>Sindh</v>
      </c>
      <c r="W862" t="str">
        <f t="shared" si="92"/>
        <v>South</v>
      </c>
      <c r="AB862" t="str">
        <f t="shared" si="97"/>
        <v>PK-SD</v>
      </c>
    </row>
    <row r="863" spans="1:28" x14ac:dyDescent="0.25">
      <c r="A863" s="2">
        <v>44986</v>
      </c>
      <c r="B863" t="s">
        <v>21</v>
      </c>
      <c r="C863" t="s">
        <v>17</v>
      </c>
      <c r="D863" t="s">
        <v>65</v>
      </c>
      <c r="E863" t="s">
        <v>64</v>
      </c>
      <c r="F863" t="s">
        <v>19</v>
      </c>
      <c r="G863" t="s">
        <v>52</v>
      </c>
      <c r="H863">
        <v>19</v>
      </c>
      <c r="I863" s="1">
        <v>3990.16</v>
      </c>
      <c r="J863" s="1">
        <f t="shared" si="93"/>
        <v>68231.73599999999</v>
      </c>
      <c r="K863" s="1">
        <f t="shared" si="94"/>
        <v>7581.3040000000001</v>
      </c>
      <c r="L863" s="1">
        <v>75813.039999999994</v>
      </c>
      <c r="M863" s="1">
        <f t="shared" si="95"/>
        <v>13646.347199999998</v>
      </c>
      <c r="N863" s="1">
        <f t="shared" si="96"/>
        <v>89459.387199999997</v>
      </c>
      <c r="S863" t="str">
        <f t="shared" si="91"/>
        <v>Punjab</v>
      </c>
      <c r="W863" t="str">
        <f t="shared" si="92"/>
        <v>East</v>
      </c>
      <c r="AB863" t="str">
        <f t="shared" si="97"/>
        <v>PK-PB</v>
      </c>
    </row>
    <row r="864" spans="1:28" x14ac:dyDescent="0.25">
      <c r="A864" s="2">
        <v>44947</v>
      </c>
      <c r="B864" t="s">
        <v>43</v>
      </c>
      <c r="C864" t="s">
        <v>58</v>
      </c>
      <c r="D864" t="s">
        <v>12</v>
      </c>
      <c r="E864" t="s">
        <v>18</v>
      </c>
      <c r="F864" t="s">
        <v>23</v>
      </c>
      <c r="G864" t="s">
        <v>37</v>
      </c>
      <c r="H864">
        <v>15</v>
      </c>
      <c r="I864" s="1">
        <v>3765.36</v>
      </c>
      <c r="J864" s="1">
        <f t="shared" si="93"/>
        <v>50832.36</v>
      </c>
      <c r="K864" s="1">
        <f t="shared" si="94"/>
        <v>5648.0400000000009</v>
      </c>
      <c r="L864" s="1">
        <v>56480.4</v>
      </c>
      <c r="M864" s="1">
        <f t="shared" si="95"/>
        <v>10166.472</v>
      </c>
      <c r="N864" s="1">
        <f t="shared" si="96"/>
        <v>66646.872000000003</v>
      </c>
      <c r="S864" t="str">
        <f t="shared" si="91"/>
        <v>Sindh</v>
      </c>
      <c r="W864" t="str">
        <f t="shared" si="92"/>
        <v>South</v>
      </c>
      <c r="AB864" t="str">
        <f t="shared" si="97"/>
        <v>PK-SD</v>
      </c>
    </row>
    <row r="865" spans="1:28" x14ac:dyDescent="0.25">
      <c r="A865" s="2">
        <v>45252</v>
      </c>
      <c r="B865" t="s">
        <v>25</v>
      </c>
      <c r="C865" t="s">
        <v>56</v>
      </c>
      <c r="D865" t="s">
        <v>12</v>
      </c>
      <c r="E865" t="s">
        <v>18</v>
      </c>
      <c r="F865" t="s">
        <v>23</v>
      </c>
      <c r="G865" t="s">
        <v>39</v>
      </c>
      <c r="H865">
        <v>12</v>
      </c>
      <c r="I865" s="1">
        <v>1794.88</v>
      </c>
      <c r="J865" s="1">
        <f t="shared" si="93"/>
        <v>19384.704000000002</v>
      </c>
      <c r="K865" s="1">
        <f t="shared" si="94"/>
        <v>2153.8560000000002</v>
      </c>
      <c r="L865" s="1">
        <v>21538.560000000001</v>
      </c>
      <c r="M865" s="1">
        <f t="shared" si="95"/>
        <v>3876.9408000000003</v>
      </c>
      <c r="N865" s="1">
        <f t="shared" si="96"/>
        <v>25415.500800000002</v>
      </c>
      <c r="S865" t="str">
        <f t="shared" si="91"/>
        <v>Sindh</v>
      </c>
      <c r="W865" t="str">
        <f t="shared" si="92"/>
        <v>South</v>
      </c>
      <c r="AB865" t="str">
        <f t="shared" si="97"/>
        <v>PK-SD</v>
      </c>
    </row>
    <row r="866" spans="1:28" x14ac:dyDescent="0.25">
      <c r="A866" s="2">
        <v>45094</v>
      </c>
      <c r="B866" t="s">
        <v>31</v>
      </c>
      <c r="C866" t="s">
        <v>54</v>
      </c>
      <c r="D866" t="s">
        <v>12</v>
      </c>
      <c r="E866" t="s">
        <v>18</v>
      </c>
      <c r="F866" t="s">
        <v>32</v>
      </c>
      <c r="G866" t="s">
        <v>49</v>
      </c>
      <c r="H866">
        <v>19</v>
      </c>
      <c r="I866" s="1">
        <v>2750.97</v>
      </c>
      <c r="J866" s="1">
        <f t="shared" si="93"/>
        <v>47041.587</v>
      </c>
      <c r="K866" s="1">
        <f t="shared" si="94"/>
        <v>5226.8430000000008</v>
      </c>
      <c r="L866" s="1">
        <v>52268.43</v>
      </c>
      <c r="M866" s="1">
        <f t="shared" si="95"/>
        <v>9408.3173999999999</v>
      </c>
      <c r="N866" s="1">
        <f t="shared" si="96"/>
        <v>61676.7474</v>
      </c>
      <c r="S866" t="str">
        <f t="shared" si="91"/>
        <v>Sindh</v>
      </c>
      <c r="W866" t="str">
        <f t="shared" si="92"/>
        <v>South</v>
      </c>
      <c r="AB866" t="str">
        <f t="shared" si="97"/>
        <v>PK-SD</v>
      </c>
    </row>
    <row r="867" spans="1:28" x14ac:dyDescent="0.25">
      <c r="A867" s="2">
        <v>45161</v>
      </c>
      <c r="B867" t="s">
        <v>43</v>
      </c>
      <c r="C867" t="s">
        <v>11</v>
      </c>
      <c r="D867" t="s">
        <v>22</v>
      </c>
      <c r="E867" t="s">
        <v>13</v>
      </c>
      <c r="F867" t="s">
        <v>19</v>
      </c>
      <c r="G867" t="s">
        <v>20</v>
      </c>
      <c r="H867">
        <v>17</v>
      </c>
      <c r="I867" s="1">
        <v>3677.4</v>
      </c>
      <c r="J867" s="1">
        <f t="shared" si="93"/>
        <v>56264.22</v>
      </c>
      <c r="K867" s="1">
        <f t="shared" si="94"/>
        <v>6251.5800000000008</v>
      </c>
      <c r="L867" s="1">
        <v>62515.8</v>
      </c>
      <c r="M867" s="1">
        <f t="shared" si="95"/>
        <v>11252.844000000001</v>
      </c>
      <c r="N867" s="1">
        <f t="shared" si="96"/>
        <v>73768.644</v>
      </c>
      <c r="S867" t="str">
        <f t="shared" si="91"/>
        <v>Balochistan</v>
      </c>
      <c r="W867" t="str">
        <f t="shared" si="92"/>
        <v>West</v>
      </c>
      <c r="AB867" t="str">
        <f t="shared" si="97"/>
        <v>PK-BA</v>
      </c>
    </row>
    <row r="868" spans="1:28" x14ac:dyDescent="0.25">
      <c r="A868" s="2">
        <v>45012</v>
      </c>
      <c r="B868" t="s">
        <v>43</v>
      </c>
      <c r="C868" t="s">
        <v>59</v>
      </c>
      <c r="D868" t="s">
        <v>66</v>
      </c>
      <c r="E868" t="s">
        <v>41</v>
      </c>
      <c r="F868" t="s">
        <v>19</v>
      </c>
      <c r="G868" t="s">
        <v>20</v>
      </c>
      <c r="H868">
        <v>7</v>
      </c>
      <c r="I868" s="1">
        <v>2253.94</v>
      </c>
      <c r="J868" s="1">
        <f t="shared" si="93"/>
        <v>14199.822</v>
      </c>
      <c r="K868" s="1">
        <f t="shared" si="94"/>
        <v>1577.758</v>
      </c>
      <c r="L868" s="1">
        <v>15777.58</v>
      </c>
      <c r="M868" s="1">
        <f t="shared" si="95"/>
        <v>2839.9643999999998</v>
      </c>
      <c r="N868" s="1">
        <f t="shared" si="96"/>
        <v>18617.544399999999</v>
      </c>
      <c r="S868" t="str">
        <f t="shared" si="91"/>
        <v>Khyber Pakhtunkhwa</v>
      </c>
      <c r="W868" t="str">
        <f t="shared" si="92"/>
        <v>North</v>
      </c>
      <c r="AB868" t="str">
        <f t="shared" si="97"/>
        <v>Khyber Pakhtunkhwa</v>
      </c>
    </row>
    <row r="869" spans="1:28" x14ac:dyDescent="0.25">
      <c r="A869" s="2">
        <v>45064</v>
      </c>
      <c r="B869" t="s">
        <v>21</v>
      </c>
      <c r="C869" t="s">
        <v>54</v>
      </c>
      <c r="D869" t="s">
        <v>12</v>
      </c>
      <c r="E869" t="s">
        <v>18</v>
      </c>
      <c r="F869" t="s">
        <v>27</v>
      </c>
      <c r="G869" t="s">
        <v>44</v>
      </c>
      <c r="H869">
        <v>8</v>
      </c>
      <c r="I869" s="1">
        <v>1762.43</v>
      </c>
      <c r="J869" s="1">
        <f t="shared" si="93"/>
        <v>12689.496000000001</v>
      </c>
      <c r="K869" s="1">
        <f t="shared" si="94"/>
        <v>1409.9440000000002</v>
      </c>
      <c r="L869" s="1">
        <v>14099.44</v>
      </c>
      <c r="M869" s="1">
        <f t="shared" si="95"/>
        <v>2537.8991999999998</v>
      </c>
      <c r="N869" s="1">
        <f t="shared" si="96"/>
        <v>16637.339200000002</v>
      </c>
      <c r="S869" t="str">
        <f t="shared" si="91"/>
        <v>Sindh</v>
      </c>
      <c r="W869" t="str">
        <f t="shared" si="92"/>
        <v>South</v>
      </c>
      <c r="AB869" t="str">
        <f t="shared" si="97"/>
        <v>PK-SD</v>
      </c>
    </row>
    <row r="870" spans="1:28" x14ac:dyDescent="0.25">
      <c r="A870" s="2">
        <v>45044</v>
      </c>
      <c r="B870" t="s">
        <v>21</v>
      </c>
      <c r="C870" t="s">
        <v>17</v>
      </c>
      <c r="D870" t="s">
        <v>65</v>
      </c>
      <c r="E870" t="s">
        <v>64</v>
      </c>
      <c r="F870" t="s">
        <v>14</v>
      </c>
      <c r="G870" t="s">
        <v>45</v>
      </c>
      <c r="H870">
        <v>20</v>
      </c>
      <c r="I870" s="1">
        <v>278.55</v>
      </c>
      <c r="J870" s="1">
        <f t="shared" si="93"/>
        <v>5013.9000000000005</v>
      </c>
      <c r="K870" s="1">
        <f t="shared" si="94"/>
        <v>557.1</v>
      </c>
      <c r="L870" s="1">
        <v>5571</v>
      </c>
      <c r="M870" s="1">
        <f t="shared" si="95"/>
        <v>1002.78</v>
      </c>
      <c r="N870" s="1">
        <f t="shared" si="96"/>
        <v>6573.78</v>
      </c>
      <c r="S870" t="str">
        <f t="shared" si="91"/>
        <v>Punjab</v>
      </c>
      <c r="W870" t="str">
        <f t="shared" si="92"/>
        <v>East</v>
      </c>
      <c r="AB870" t="str">
        <f t="shared" si="97"/>
        <v>PK-PB</v>
      </c>
    </row>
    <row r="871" spans="1:28" x14ac:dyDescent="0.25">
      <c r="A871" s="2">
        <v>45190</v>
      </c>
      <c r="B871" t="s">
        <v>10</v>
      </c>
      <c r="C871" t="s">
        <v>11</v>
      </c>
      <c r="D871" t="s">
        <v>22</v>
      </c>
      <c r="E871" t="s">
        <v>13</v>
      </c>
      <c r="F871" t="s">
        <v>14</v>
      </c>
      <c r="G871" t="s">
        <v>45</v>
      </c>
      <c r="H871">
        <v>7</v>
      </c>
      <c r="I871" s="1">
        <v>1940.86</v>
      </c>
      <c r="J871" s="1">
        <f t="shared" si="93"/>
        <v>12227.418000000001</v>
      </c>
      <c r="K871" s="1">
        <f t="shared" si="94"/>
        <v>1358.6020000000001</v>
      </c>
      <c r="L871" s="1">
        <v>13586.02</v>
      </c>
      <c r="M871" s="1">
        <f t="shared" si="95"/>
        <v>2445.4836</v>
      </c>
      <c r="N871" s="1">
        <f t="shared" si="96"/>
        <v>16031.5036</v>
      </c>
      <c r="S871" t="str">
        <f t="shared" si="91"/>
        <v>Balochistan</v>
      </c>
      <c r="W871" t="str">
        <f t="shared" si="92"/>
        <v>West</v>
      </c>
      <c r="AB871" t="str">
        <f t="shared" si="97"/>
        <v>PK-BA</v>
      </c>
    </row>
    <row r="872" spans="1:28" x14ac:dyDescent="0.25">
      <c r="A872" s="2">
        <v>45201</v>
      </c>
      <c r="B872" t="s">
        <v>10</v>
      </c>
      <c r="C872" t="s">
        <v>17</v>
      </c>
      <c r="D872" t="s">
        <v>65</v>
      </c>
      <c r="E872" t="s">
        <v>64</v>
      </c>
      <c r="F872" t="s">
        <v>27</v>
      </c>
      <c r="G872" t="s">
        <v>42</v>
      </c>
      <c r="H872">
        <v>1</v>
      </c>
      <c r="I872" s="1">
        <v>414.64</v>
      </c>
      <c r="J872" s="1">
        <f t="shared" si="93"/>
        <v>373.17599999999999</v>
      </c>
      <c r="K872" s="1">
        <f t="shared" si="94"/>
        <v>41.463999999999999</v>
      </c>
      <c r="L872" s="1">
        <v>414.64</v>
      </c>
      <c r="M872" s="1">
        <f t="shared" si="95"/>
        <v>74.635199999999998</v>
      </c>
      <c r="N872" s="1">
        <f t="shared" si="96"/>
        <v>489.27519999999998</v>
      </c>
      <c r="S872" t="str">
        <f t="shared" si="91"/>
        <v>Punjab</v>
      </c>
      <c r="W872" t="str">
        <f t="shared" si="92"/>
        <v>East</v>
      </c>
      <c r="AB872" t="str">
        <f t="shared" si="97"/>
        <v>PK-PB</v>
      </c>
    </row>
    <row r="873" spans="1:28" x14ac:dyDescent="0.25">
      <c r="A873" s="2">
        <v>45203</v>
      </c>
      <c r="B873" t="s">
        <v>21</v>
      </c>
      <c r="C873" t="s">
        <v>62</v>
      </c>
      <c r="D873" t="s">
        <v>65</v>
      </c>
      <c r="E873" t="s">
        <v>64</v>
      </c>
      <c r="F873" t="s">
        <v>19</v>
      </c>
      <c r="G873" t="s">
        <v>30</v>
      </c>
      <c r="H873">
        <v>7</v>
      </c>
      <c r="I873" s="1">
        <v>1073.54</v>
      </c>
      <c r="J873" s="1">
        <f t="shared" si="93"/>
        <v>6763.3019999999997</v>
      </c>
      <c r="K873" s="1">
        <f t="shared" si="94"/>
        <v>751.47800000000007</v>
      </c>
      <c r="L873" s="1">
        <v>7514.78</v>
      </c>
      <c r="M873" s="1">
        <f t="shared" si="95"/>
        <v>1352.6604</v>
      </c>
      <c r="N873" s="1">
        <f t="shared" si="96"/>
        <v>8867.4403999999995</v>
      </c>
      <c r="S873" t="str">
        <f t="shared" si="91"/>
        <v>Punjab</v>
      </c>
      <c r="W873" t="str">
        <f t="shared" si="92"/>
        <v>East</v>
      </c>
      <c r="AB873" t="str">
        <f t="shared" si="97"/>
        <v>PK-PB</v>
      </c>
    </row>
    <row r="874" spans="1:28" x14ac:dyDescent="0.25">
      <c r="A874" s="2">
        <v>45146</v>
      </c>
      <c r="B874" t="s">
        <v>31</v>
      </c>
      <c r="C874" t="s">
        <v>17</v>
      </c>
      <c r="D874" t="s">
        <v>65</v>
      </c>
      <c r="E874" t="s">
        <v>64</v>
      </c>
      <c r="F874" t="s">
        <v>32</v>
      </c>
      <c r="G874" t="s">
        <v>50</v>
      </c>
      <c r="H874">
        <v>2</v>
      </c>
      <c r="I874" s="1">
        <v>2078.33</v>
      </c>
      <c r="J874" s="1">
        <f t="shared" si="93"/>
        <v>3740.9940000000001</v>
      </c>
      <c r="K874" s="1">
        <f t="shared" si="94"/>
        <v>415.666</v>
      </c>
      <c r="L874" s="1">
        <v>4156.66</v>
      </c>
      <c r="M874" s="1">
        <f t="shared" si="95"/>
        <v>748.19879999999989</v>
      </c>
      <c r="N874" s="1">
        <f t="shared" si="96"/>
        <v>4904.8588</v>
      </c>
      <c r="S874" t="str">
        <f t="shared" si="91"/>
        <v>Punjab</v>
      </c>
      <c r="W874" t="str">
        <f t="shared" si="92"/>
        <v>East</v>
      </c>
      <c r="AB874" t="str">
        <f t="shared" si="97"/>
        <v>PK-PB</v>
      </c>
    </row>
    <row r="875" spans="1:28" x14ac:dyDescent="0.25">
      <c r="A875" s="2">
        <v>44939</v>
      </c>
      <c r="B875" t="s">
        <v>25</v>
      </c>
      <c r="C875" t="s">
        <v>26</v>
      </c>
      <c r="D875" t="s">
        <v>12</v>
      </c>
      <c r="E875" t="s">
        <v>18</v>
      </c>
      <c r="F875" t="s">
        <v>14</v>
      </c>
      <c r="G875" t="s">
        <v>51</v>
      </c>
      <c r="H875">
        <v>15</v>
      </c>
      <c r="I875" s="1">
        <v>4188.84</v>
      </c>
      <c r="J875" s="1">
        <f t="shared" si="93"/>
        <v>56549.34</v>
      </c>
      <c r="K875" s="1">
        <f t="shared" si="94"/>
        <v>6283.26</v>
      </c>
      <c r="L875" s="1">
        <v>62832.6</v>
      </c>
      <c r="M875" s="1">
        <f t="shared" si="95"/>
        <v>11309.867999999999</v>
      </c>
      <c r="N875" s="1">
        <f t="shared" si="96"/>
        <v>74142.467999999993</v>
      </c>
      <c r="S875" t="str">
        <f t="shared" si="91"/>
        <v>Sindh</v>
      </c>
      <c r="W875" t="str">
        <f t="shared" si="92"/>
        <v>South</v>
      </c>
      <c r="AB875" t="str">
        <f t="shared" si="97"/>
        <v>PK-SD</v>
      </c>
    </row>
    <row r="876" spans="1:28" x14ac:dyDescent="0.25">
      <c r="A876" s="2">
        <v>45086</v>
      </c>
      <c r="B876" t="s">
        <v>38</v>
      </c>
      <c r="C876" t="s">
        <v>17</v>
      </c>
      <c r="D876" t="s">
        <v>65</v>
      </c>
      <c r="E876" t="s">
        <v>64</v>
      </c>
      <c r="F876" t="s">
        <v>23</v>
      </c>
      <c r="G876" t="s">
        <v>47</v>
      </c>
      <c r="H876">
        <v>16</v>
      </c>
      <c r="I876" s="1">
        <v>3046.66</v>
      </c>
      <c r="J876" s="1">
        <f t="shared" si="93"/>
        <v>43871.904000000002</v>
      </c>
      <c r="K876" s="1">
        <f t="shared" si="94"/>
        <v>4874.6559999999999</v>
      </c>
      <c r="L876" s="1">
        <v>48746.559999999998</v>
      </c>
      <c r="M876" s="1">
        <f t="shared" si="95"/>
        <v>8774.380799999999</v>
      </c>
      <c r="N876" s="1">
        <f t="shared" si="96"/>
        <v>57520.940799999997</v>
      </c>
      <c r="S876" t="str">
        <f t="shared" si="91"/>
        <v>Punjab</v>
      </c>
      <c r="W876" t="str">
        <f t="shared" si="92"/>
        <v>East</v>
      </c>
      <c r="AB876" t="str">
        <f t="shared" si="97"/>
        <v>PK-PB</v>
      </c>
    </row>
    <row r="877" spans="1:28" x14ac:dyDescent="0.25">
      <c r="A877" s="2">
        <v>45144</v>
      </c>
      <c r="B877" t="s">
        <v>31</v>
      </c>
      <c r="C877" t="s">
        <v>17</v>
      </c>
      <c r="D877" t="s">
        <v>65</v>
      </c>
      <c r="E877" t="s">
        <v>64</v>
      </c>
      <c r="F877" t="s">
        <v>23</v>
      </c>
      <c r="G877" t="s">
        <v>47</v>
      </c>
      <c r="H877">
        <v>13</v>
      </c>
      <c r="I877" s="1">
        <v>566.55999999999995</v>
      </c>
      <c r="J877" s="1">
        <f t="shared" si="93"/>
        <v>6628.7519999999995</v>
      </c>
      <c r="K877" s="1">
        <f t="shared" si="94"/>
        <v>736.52800000000002</v>
      </c>
      <c r="L877" s="1">
        <v>7365.28</v>
      </c>
      <c r="M877" s="1">
        <f t="shared" si="95"/>
        <v>1325.7503999999999</v>
      </c>
      <c r="N877" s="1">
        <f t="shared" si="96"/>
        <v>8691.0303999999996</v>
      </c>
      <c r="S877" t="str">
        <f t="shared" si="91"/>
        <v>Punjab</v>
      </c>
      <c r="W877" t="str">
        <f t="shared" si="92"/>
        <v>East</v>
      </c>
      <c r="AB877" t="str">
        <f t="shared" si="97"/>
        <v>PK-PB</v>
      </c>
    </row>
    <row r="878" spans="1:28" x14ac:dyDescent="0.25">
      <c r="A878" s="2">
        <v>45148</v>
      </c>
      <c r="B878" t="s">
        <v>31</v>
      </c>
      <c r="C878" t="s">
        <v>61</v>
      </c>
      <c r="D878" t="s">
        <v>65</v>
      </c>
      <c r="E878" t="s">
        <v>64</v>
      </c>
      <c r="F878" t="s">
        <v>32</v>
      </c>
      <c r="G878" t="s">
        <v>50</v>
      </c>
      <c r="H878">
        <v>9</v>
      </c>
      <c r="I878" s="1">
        <v>4726.68</v>
      </c>
      <c r="J878" s="1">
        <f t="shared" si="93"/>
        <v>38286.108</v>
      </c>
      <c r="K878" s="1">
        <f t="shared" si="94"/>
        <v>4254.0120000000006</v>
      </c>
      <c r="L878" s="1">
        <v>42540.12</v>
      </c>
      <c r="M878" s="1">
        <f t="shared" si="95"/>
        <v>7657.2215999999999</v>
      </c>
      <c r="N878" s="1">
        <f t="shared" si="96"/>
        <v>50197.3416</v>
      </c>
      <c r="S878" t="str">
        <f t="shared" si="91"/>
        <v>Punjab</v>
      </c>
      <c r="W878" t="str">
        <f t="shared" si="92"/>
        <v>East</v>
      </c>
      <c r="AB878" t="str">
        <f t="shared" si="97"/>
        <v>PK-PB</v>
      </c>
    </row>
    <row r="879" spans="1:28" x14ac:dyDescent="0.25">
      <c r="A879" s="2">
        <v>45029</v>
      </c>
      <c r="B879" t="s">
        <v>43</v>
      </c>
      <c r="C879" t="s">
        <v>62</v>
      </c>
      <c r="D879" t="s">
        <v>65</v>
      </c>
      <c r="E879" t="s">
        <v>64</v>
      </c>
      <c r="F879" t="s">
        <v>23</v>
      </c>
      <c r="G879" t="s">
        <v>47</v>
      </c>
      <c r="H879">
        <v>15</v>
      </c>
      <c r="I879" s="1">
        <v>2503.4699999999998</v>
      </c>
      <c r="J879" s="1">
        <f t="shared" si="93"/>
        <v>33796.845000000001</v>
      </c>
      <c r="K879" s="1">
        <f t="shared" si="94"/>
        <v>3755.2050000000004</v>
      </c>
      <c r="L879" s="1">
        <v>37552.050000000003</v>
      </c>
      <c r="M879" s="1">
        <f t="shared" si="95"/>
        <v>6759.3690000000006</v>
      </c>
      <c r="N879" s="1">
        <f t="shared" si="96"/>
        <v>44311.419000000002</v>
      </c>
      <c r="S879" t="str">
        <f t="shared" si="91"/>
        <v>Punjab</v>
      </c>
      <c r="W879" t="str">
        <f t="shared" si="92"/>
        <v>East</v>
      </c>
      <c r="AB879" t="str">
        <f t="shared" si="97"/>
        <v>PK-PB</v>
      </c>
    </row>
    <row r="880" spans="1:28" x14ac:dyDescent="0.25">
      <c r="A880" s="2">
        <v>45118</v>
      </c>
      <c r="B880" t="s">
        <v>21</v>
      </c>
      <c r="C880" t="s">
        <v>62</v>
      </c>
      <c r="D880" t="s">
        <v>65</v>
      </c>
      <c r="E880" t="s">
        <v>64</v>
      </c>
      <c r="F880" t="s">
        <v>27</v>
      </c>
      <c r="G880" t="s">
        <v>42</v>
      </c>
      <c r="H880">
        <v>13</v>
      </c>
      <c r="I880" s="1">
        <v>2244.77</v>
      </c>
      <c r="J880" s="1">
        <f t="shared" si="93"/>
        <v>26263.808999999997</v>
      </c>
      <c r="K880" s="1">
        <f t="shared" si="94"/>
        <v>2918.201</v>
      </c>
      <c r="L880" s="1">
        <v>29182.01</v>
      </c>
      <c r="M880" s="1">
        <f t="shared" si="95"/>
        <v>5252.7617999999993</v>
      </c>
      <c r="N880" s="1">
        <f t="shared" si="96"/>
        <v>34434.771799999995</v>
      </c>
      <c r="S880" t="str">
        <f t="shared" si="91"/>
        <v>Punjab</v>
      </c>
      <c r="W880" t="str">
        <f t="shared" si="92"/>
        <v>East</v>
      </c>
      <c r="AB880" t="str">
        <f t="shared" si="97"/>
        <v>PK-PB</v>
      </c>
    </row>
    <row r="881" spans="1:28" x14ac:dyDescent="0.25">
      <c r="A881" s="2">
        <v>45271</v>
      </c>
      <c r="B881" t="s">
        <v>34</v>
      </c>
      <c r="C881" t="s">
        <v>59</v>
      </c>
      <c r="D881" t="s">
        <v>66</v>
      </c>
      <c r="E881" t="s">
        <v>41</v>
      </c>
      <c r="F881" t="s">
        <v>19</v>
      </c>
      <c r="G881" t="s">
        <v>20</v>
      </c>
      <c r="H881">
        <v>18</v>
      </c>
      <c r="I881" s="1">
        <v>3559.2</v>
      </c>
      <c r="J881" s="1">
        <f t="shared" si="93"/>
        <v>57659.040000000001</v>
      </c>
      <c r="K881" s="1">
        <f t="shared" si="94"/>
        <v>6406.56</v>
      </c>
      <c r="L881" s="1">
        <v>64065.599999999999</v>
      </c>
      <c r="M881" s="1">
        <f t="shared" si="95"/>
        <v>11531.807999999999</v>
      </c>
      <c r="N881" s="1">
        <f t="shared" si="96"/>
        <v>75597.407999999996</v>
      </c>
      <c r="S881" t="str">
        <f t="shared" si="91"/>
        <v>Khyber Pakhtunkhwa</v>
      </c>
      <c r="W881" t="str">
        <f t="shared" si="92"/>
        <v>North</v>
      </c>
      <c r="AB881" t="str">
        <f t="shared" si="97"/>
        <v>Khyber Pakhtunkhwa</v>
      </c>
    </row>
    <row r="882" spans="1:28" x14ac:dyDescent="0.25">
      <c r="A882" s="2">
        <v>45280</v>
      </c>
      <c r="B882" t="s">
        <v>25</v>
      </c>
      <c r="C882" t="s">
        <v>57</v>
      </c>
      <c r="D882" t="s">
        <v>22</v>
      </c>
      <c r="E882" t="s">
        <v>13</v>
      </c>
      <c r="F882" t="s">
        <v>23</v>
      </c>
      <c r="G882" t="s">
        <v>47</v>
      </c>
      <c r="H882">
        <v>16</v>
      </c>
      <c r="I882" s="1">
        <v>4238.6400000000003</v>
      </c>
      <c r="J882" s="1">
        <f t="shared" si="93"/>
        <v>61036.416000000005</v>
      </c>
      <c r="K882" s="1">
        <f t="shared" si="94"/>
        <v>6781.8240000000005</v>
      </c>
      <c r="L882" s="1">
        <v>67818.240000000005</v>
      </c>
      <c r="M882" s="1">
        <f t="shared" si="95"/>
        <v>12207.2832</v>
      </c>
      <c r="N882" s="1">
        <f t="shared" si="96"/>
        <v>80025.523200000011</v>
      </c>
      <c r="S882" t="str">
        <f t="shared" si="91"/>
        <v>Balochistan</v>
      </c>
      <c r="W882" t="str">
        <f t="shared" si="92"/>
        <v>West</v>
      </c>
      <c r="AB882" t="str">
        <f t="shared" si="97"/>
        <v>PK-BA</v>
      </c>
    </row>
    <row r="883" spans="1:28" x14ac:dyDescent="0.25">
      <c r="A883" s="2">
        <v>45244</v>
      </c>
      <c r="B883" t="s">
        <v>29</v>
      </c>
      <c r="C883" t="s">
        <v>26</v>
      </c>
      <c r="D883" t="s">
        <v>12</v>
      </c>
      <c r="E883" t="s">
        <v>18</v>
      </c>
      <c r="F883" t="s">
        <v>23</v>
      </c>
      <c r="G883" t="s">
        <v>47</v>
      </c>
      <c r="H883">
        <v>13</v>
      </c>
      <c r="I883" s="1">
        <v>151.65</v>
      </c>
      <c r="J883" s="1">
        <f t="shared" si="93"/>
        <v>1774.3050000000001</v>
      </c>
      <c r="K883" s="1">
        <f t="shared" si="94"/>
        <v>197.14500000000001</v>
      </c>
      <c r="L883" s="1">
        <v>1971.45</v>
      </c>
      <c r="M883" s="1">
        <f t="shared" si="95"/>
        <v>354.86099999999999</v>
      </c>
      <c r="N883" s="1">
        <f t="shared" si="96"/>
        <v>2326.3110000000001</v>
      </c>
      <c r="S883" t="str">
        <f t="shared" si="91"/>
        <v>Sindh</v>
      </c>
      <c r="W883" t="str">
        <f t="shared" si="92"/>
        <v>South</v>
      </c>
      <c r="AB883" t="str">
        <f t="shared" si="97"/>
        <v>PK-SD</v>
      </c>
    </row>
    <row r="884" spans="1:28" x14ac:dyDescent="0.25">
      <c r="A884" s="2">
        <v>45086</v>
      </c>
      <c r="B884" t="s">
        <v>10</v>
      </c>
      <c r="C884" t="s">
        <v>26</v>
      </c>
      <c r="D884" t="s">
        <v>12</v>
      </c>
      <c r="E884" t="s">
        <v>18</v>
      </c>
      <c r="F884" t="s">
        <v>14</v>
      </c>
      <c r="G884" t="s">
        <v>53</v>
      </c>
      <c r="H884">
        <v>11</v>
      </c>
      <c r="I884" s="1">
        <v>4242.8999999999996</v>
      </c>
      <c r="J884" s="1">
        <f t="shared" si="93"/>
        <v>42004.71</v>
      </c>
      <c r="K884" s="1">
        <f t="shared" si="94"/>
        <v>4667.1900000000005</v>
      </c>
      <c r="L884" s="1">
        <v>46671.9</v>
      </c>
      <c r="M884" s="1">
        <f t="shared" si="95"/>
        <v>8400.9419999999991</v>
      </c>
      <c r="N884" s="1">
        <f t="shared" si="96"/>
        <v>55072.842000000004</v>
      </c>
      <c r="S884" t="str">
        <f t="shared" si="91"/>
        <v>Sindh</v>
      </c>
      <c r="W884" t="str">
        <f t="shared" si="92"/>
        <v>South</v>
      </c>
      <c r="AB884" t="str">
        <f t="shared" si="97"/>
        <v>PK-SD</v>
      </c>
    </row>
    <row r="885" spans="1:28" x14ac:dyDescent="0.25">
      <c r="A885" s="2">
        <v>45192</v>
      </c>
      <c r="B885" t="s">
        <v>16</v>
      </c>
      <c r="C885" t="s">
        <v>60</v>
      </c>
      <c r="D885" t="s">
        <v>12</v>
      </c>
      <c r="E885" t="s">
        <v>18</v>
      </c>
      <c r="F885" t="s">
        <v>27</v>
      </c>
      <c r="G885" t="s">
        <v>28</v>
      </c>
      <c r="H885">
        <v>9</v>
      </c>
      <c r="I885" s="1">
        <v>4639.93</v>
      </c>
      <c r="J885" s="1">
        <f t="shared" si="93"/>
        <v>37583.433000000005</v>
      </c>
      <c r="K885" s="1">
        <f t="shared" si="94"/>
        <v>4175.9370000000008</v>
      </c>
      <c r="L885" s="1">
        <v>41759.370000000003</v>
      </c>
      <c r="M885" s="1">
        <f t="shared" si="95"/>
        <v>7516.6866</v>
      </c>
      <c r="N885" s="1">
        <f t="shared" si="96"/>
        <v>49276.056600000004</v>
      </c>
      <c r="S885" t="str">
        <f t="shared" si="91"/>
        <v>Sindh</v>
      </c>
      <c r="W885" t="str">
        <f t="shared" si="92"/>
        <v>South</v>
      </c>
      <c r="AB885" t="str">
        <f t="shared" si="97"/>
        <v>PK-SD</v>
      </c>
    </row>
    <row r="886" spans="1:28" x14ac:dyDescent="0.25">
      <c r="A886" s="2">
        <v>45132</v>
      </c>
      <c r="B886" t="s">
        <v>34</v>
      </c>
      <c r="C886" t="s">
        <v>55</v>
      </c>
      <c r="D886" t="s">
        <v>66</v>
      </c>
      <c r="E886" t="s">
        <v>41</v>
      </c>
      <c r="F886" t="s">
        <v>23</v>
      </c>
      <c r="G886" t="s">
        <v>37</v>
      </c>
      <c r="H886">
        <v>4</v>
      </c>
      <c r="I886" s="1">
        <v>4336.92</v>
      </c>
      <c r="J886" s="1">
        <f t="shared" si="93"/>
        <v>15612.912</v>
      </c>
      <c r="K886" s="1">
        <f t="shared" si="94"/>
        <v>1734.768</v>
      </c>
      <c r="L886" s="1">
        <v>17347.68</v>
      </c>
      <c r="M886" s="1">
        <f t="shared" si="95"/>
        <v>3122.5823999999998</v>
      </c>
      <c r="N886" s="1">
        <f t="shared" si="96"/>
        <v>20470.2624</v>
      </c>
      <c r="S886" t="str">
        <f t="shared" si="91"/>
        <v>Khyber Pakhtunkhwa</v>
      </c>
      <c r="W886" t="str">
        <f t="shared" si="92"/>
        <v>North</v>
      </c>
      <c r="AB886" t="str">
        <f t="shared" si="97"/>
        <v>Khyber Pakhtunkhwa</v>
      </c>
    </row>
    <row r="887" spans="1:28" x14ac:dyDescent="0.25">
      <c r="A887" s="2">
        <v>45036</v>
      </c>
      <c r="B887" t="s">
        <v>10</v>
      </c>
      <c r="C887" t="s">
        <v>58</v>
      </c>
      <c r="D887" t="s">
        <v>12</v>
      </c>
      <c r="E887" t="s">
        <v>18</v>
      </c>
      <c r="F887" t="s">
        <v>14</v>
      </c>
      <c r="G887" t="s">
        <v>15</v>
      </c>
      <c r="H887">
        <v>17</v>
      </c>
      <c r="I887" s="1">
        <v>1005.44</v>
      </c>
      <c r="J887" s="1">
        <f t="shared" si="93"/>
        <v>15383.232</v>
      </c>
      <c r="K887" s="1">
        <f t="shared" si="94"/>
        <v>1709.248</v>
      </c>
      <c r="L887" s="1">
        <v>17092.48</v>
      </c>
      <c r="M887" s="1">
        <f t="shared" si="95"/>
        <v>3076.6463999999996</v>
      </c>
      <c r="N887" s="1">
        <f t="shared" si="96"/>
        <v>20169.126400000001</v>
      </c>
      <c r="S887" t="str">
        <f t="shared" si="91"/>
        <v>Sindh</v>
      </c>
      <c r="W887" t="str">
        <f t="shared" si="92"/>
        <v>South</v>
      </c>
      <c r="AB887" t="str">
        <f t="shared" si="97"/>
        <v>PK-SD</v>
      </c>
    </row>
    <row r="888" spans="1:28" x14ac:dyDescent="0.25">
      <c r="A888" s="2">
        <v>44996</v>
      </c>
      <c r="B888" t="s">
        <v>16</v>
      </c>
      <c r="C888" t="s">
        <v>57</v>
      </c>
      <c r="D888" t="s">
        <v>22</v>
      </c>
      <c r="E888" t="s">
        <v>13</v>
      </c>
      <c r="F888" t="s">
        <v>14</v>
      </c>
      <c r="G888" t="s">
        <v>51</v>
      </c>
      <c r="H888">
        <v>18</v>
      </c>
      <c r="I888" s="1">
        <v>2231.56</v>
      </c>
      <c r="J888" s="1">
        <f t="shared" si="93"/>
        <v>36151.272000000004</v>
      </c>
      <c r="K888" s="1">
        <f t="shared" si="94"/>
        <v>4016.8080000000004</v>
      </c>
      <c r="L888" s="1">
        <v>40168.080000000002</v>
      </c>
      <c r="M888" s="1">
        <f t="shared" si="95"/>
        <v>7230.2543999999998</v>
      </c>
      <c r="N888" s="1">
        <f t="shared" si="96"/>
        <v>47398.3344</v>
      </c>
      <c r="S888" t="str">
        <f t="shared" si="91"/>
        <v>Balochistan</v>
      </c>
      <c r="W888" t="str">
        <f t="shared" si="92"/>
        <v>West</v>
      </c>
      <c r="AB888" t="str">
        <f t="shared" si="97"/>
        <v>PK-BA</v>
      </c>
    </row>
    <row r="889" spans="1:28" x14ac:dyDescent="0.25">
      <c r="A889" s="2">
        <v>45118</v>
      </c>
      <c r="B889" t="s">
        <v>10</v>
      </c>
      <c r="C889" t="s">
        <v>59</v>
      </c>
      <c r="D889" t="s">
        <v>66</v>
      </c>
      <c r="E889" t="s">
        <v>41</v>
      </c>
      <c r="F889" t="s">
        <v>14</v>
      </c>
      <c r="G889" t="s">
        <v>45</v>
      </c>
      <c r="H889">
        <v>14</v>
      </c>
      <c r="I889" s="1">
        <v>3677.67</v>
      </c>
      <c r="J889" s="1">
        <f t="shared" si="93"/>
        <v>46338.642</v>
      </c>
      <c r="K889" s="1">
        <f t="shared" si="94"/>
        <v>5148.7380000000003</v>
      </c>
      <c r="L889" s="1">
        <v>51487.38</v>
      </c>
      <c r="M889" s="1">
        <f t="shared" si="95"/>
        <v>9267.7284</v>
      </c>
      <c r="N889" s="1">
        <f t="shared" si="96"/>
        <v>60755.108399999997</v>
      </c>
      <c r="S889" t="str">
        <f t="shared" si="91"/>
        <v>Khyber Pakhtunkhwa</v>
      </c>
      <c r="W889" t="str">
        <f t="shared" si="92"/>
        <v>North</v>
      </c>
      <c r="AB889" t="str">
        <f t="shared" si="97"/>
        <v>Khyber Pakhtunkhwa</v>
      </c>
    </row>
    <row r="890" spans="1:28" x14ac:dyDescent="0.25">
      <c r="A890" s="2">
        <v>45003</v>
      </c>
      <c r="B890" t="s">
        <v>21</v>
      </c>
      <c r="C890" t="s">
        <v>55</v>
      </c>
      <c r="D890" t="s">
        <v>66</v>
      </c>
      <c r="E890" t="s">
        <v>41</v>
      </c>
      <c r="F890" t="s">
        <v>32</v>
      </c>
      <c r="G890" t="s">
        <v>50</v>
      </c>
      <c r="H890">
        <v>6</v>
      </c>
      <c r="I890" s="1">
        <v>1047.72</v>
      </c>
      <c r="J890" s="1">
        <f t="shared" si="93"/>
        <v>5657.6880000000001</v>
      </c>
      <c r="K890" s="1">
        <f t="shared" si="94"/>
        <v>628.63200000000006</v>
      </c>
      <c r="L890" s="1">
        <v>6286.32</v>
      </c>
      <c r="M890" s="1">
        <f t="shared" si="95"/>
        <v>1131.5375999999999</v>
      </c>
      <c r="N890" s="1">
        <f t="shared" si="96"/>
        <v>7417.8575999999994</v>
      </c>
      <c r="S890" t="str">
        <f t="shared" si="91"/>
        <v>Khyber Pakhtunkhwa</v>
      </c>
      <c r="W890" t="str">
        <f t="shared" si="92"/>
        <v>North</v>
      </c>
      <c r="AB890" t="str">
        <f t="shared" si="97"/>
        <v>Khyber Pakhtunkhwa</v>
      </c>
    </row>
    <row r="891" spans="1:28" x14ac:dyDescent="0.25">
      <c r="A891" s="2">
        <v>45000</v>
      </c>
      <c r="B891" t="s">
        <v>16</v>
      </c>
      <c r="C891" t="s">
        <v>55</v>
      </c>
      <c r="D891" t="s">
        <v>66</v>
      </c>
      <c r="E891" t="s">
        <v>41</v>
      </c>
      <c r="F891" t="s">
        <v>19</v>
      </c>
      <c r="G891" t="s">
        <v>52</v>
      </c>
      <c r="H891">
        <v>20</v>
      </c>
      <c r="I891" s="1">
        <v>827.08</v>
      </c>
      <c r="J891" s="1">
        <f t="shared" si="93"/>
        <v>14887.439999999999</v>
      </c>
      <c r="K891" s="1">
        <f t="shared" si="94"/>
        <v>1654.1599999999999</v>
      </c>
      <c r="L891" s="1">
        <v>16541.599999999999</v>
      </c>
      <c r="M891" s="1">
        <f t="shared" si="95"/>
        <v>2977.4879999999998</v>
      </c>
      <c r="N891" s="1">
        <f t="shared" si="96"/>
        <v>19519.088</v>
      </c>
      <c r="S891" t="str">
        <f t="shared" si="91"/>
        <v>Khyber Pakhtunkhwa</v>
      </c>
      <c r="W891" t="str">
        <f t="shared" si="92"/>
        <v>North</v>
      </c>
      <c r="AB891" t="str">
        <f t="shared" si="97"/>
        <v>Khyber Pakhtunkhwa</v>
      </c>
    </row>
    <row r="892" spans="1:28" x14ac:dyDescent="0.25">
      <c r="A892" s="2">
        <v>45290</v>
      </c>
      <c r="B892" t="s">
        <v>16</v>
      </c>
      <c r="C892" t="s">
        <v>62</v>
      </c>
      <c r="D892" t="s">
        <v>65</v>
      </c>
      <c r="E892" t="s">
        <v>64</v>
      </c>
      <c r="F892" t="s">
        <v>19</v>
      </c>
      <c r="G892" t="s">
        <v>30</v>
      </c>
      <c r="H892">
        <v>19</v>
      </c>
      <c r="I892" s="1">
        <v>1726.65</v>
      </c>
      <c r="J892" s="1">
        <f t="shared" si="93"/>
        <v>29525.715</v>
      </c>
      <c r="K892" s="1">
        <f t="shared" si="94"/>
        <v>3280.6350000000002</v>
      </c>
      <c r="L892" s="1">
        <v>32806.35</v>
      </c>
      <c r="M892" s="1">
        <f t="shared" si="95"/>
        <v>5905.1429999999991</v>
      </c>
      <c r="N892" s="1">
        <f t="shared" si="96"/>
        <v>38711.492999999995</v>
      </c>
      <c r="S892" t="str">
        <f t="shared" si="91"/>
        <v>Punjab</v>
      </c>
      <c r="W892" t="str">
        <f t="shared" si="92"/>
        <v>East</v>
      </c>
      <c r="AB892" t="str">
        <f t="shared" si="97"/>
        <v>PK-PB</v>
      </c>
    </row>
    <row r="893" spans="1:28" x14ac:dyDescent="0.25">
      <c r="A893" s="2">
        <v>45054</v>
      </c>
      <c r="B893" t="s">
        <v>29</v>
      </c>
      <c r="C893" t="s">
        <v>54</v>
      </c>
      <c r="D893" t="s">
        <v>12</v>
      </c>
      <c r="E893" t="s">
        <v>18</v>
      </c>
      <c r="F893" t="s">
        <v>19</v>
      </c>
      <c r="G893" t="s">
        <v>48</v>
      </c>
      <c r="H893">
        <v>17</v>
      </c>
      <c r="I893" s="1">
        <v>2339.5700000000002</v>
      </c>
      <c r="J893" s="1">
        <f t="shared" si="93"/>
        <v>35795.421000000002</v>
      </c>
      <c r="K893" s="1">
        <f t="shared" si="94"/>
        <v>3977.2690000000002</v>
      </c>
      <c r="L893" s="1">
        <v>39772.69</v>
      </c>
      <c r="M893" s="1">
        <f t="shared" si="95"/>
        <v>7159.0842000000002</v>
      </c>
      <c r="N893" s="1">
        <f t="shared" si="96"/>
        <v>46931.7742</v>
      </c>
      <c r="S893" t="str">
        <f t="shared" si="91"/>
        <v>Sindh</v>
      </c>
      <c r="W893" t="str">
        <f t="shared" si="92"/>
        <v>South</v>
      </c>
      <c r="AB893" t="str">
        <f t="shared" si="97"/>
        <v>PK-SD</v>
      </c>
    </row>
    <row r="894" spans="1:28" x14ac:dyDescent="0.25">
      <c r="A894" s="2">
        <v>45048</v>
      </c>
      <c r="B894" t="s">
        <v>29</v>
      </c>
      <c r="C894" t="s">
        <v>55</v>
      </c>
      <c r="D894" t="s">
        <v>66</v>
      </c>
      <c r="E894" t="s">
        <v>41</v>
      </c>
      <c r="F894" t="s">
        <v>23</v>
      </c>
      <c r="G894" t="s">
        <v>37</v>
      </c>
      <c r="H894">
        <v>8</v>
      </c>
      <c r="I894" s="1">
        <v>4984.96</v>
      </c>
      <c r="J894" s="1">
        <f t="shared" si="93"/>
        <v>35891.712</v>
      </c>
      <c r="K894" s="1">
        <f t="shared" si="94"/>
        <v>3987.9680000000003</v>
      </c>
      <c r="L894" s="1">
        <v>39879.68</v>
      </c>
      <c r="M894" s="1">
        <f t="shared" si="95"/>
        <v>7178.3423999999995</v>
      </c>
      <c r="N894" s="1">
        <f t="shared" si="96"/>
        <v>47058.022400000002</v>
      </c>
      <c r="S894" t="str">
        <f t="shared" si="91"/>
        <v>Khyber Pakhtunkhwa</v>
      </c>
      <c r="W894" t="str">
        <f t="shared" si="92"/>
        <v>North</v>
      </c>
      <c r="AB894" t="str">
        <f t="shared" si="97"/>
        <v>Khyber Pakhtunkhwa</v>
      </c>
    </row>
    <row r="895" spans="1:28" x14ac:dyDescent="0.25">
      <c r="A895" s="2">
        <v>45050</v>
      </c>
      <c r="B895" t="s">
        <v>43</v>
      </c>
      <c r="C895" t="s">
        <v>61</v>
      </c>
      <c r="D895" t="s">
        <v>65</v>
      </c>
      <c r="E895" t="s">
        <v>64</v>
      </c>
      <c r="F895" t="s">
        <v>32</v>
      </c>
      <c r="G895" t="s">
        <v>49</v>
      </c>
      <c r="H895">
        <v>17</v>
      </c>
      <c r="I895" s="1">
        <v>3259.21</v>
      </c>
      <c r="J895" s="1">
        <f t="shared" si="93"/>
        <v>49865.913</v>
      </c>
      <c r="K895" s="1">
        <f t="shared" si="94"/>
        <v>5540.6570000000002</v>
      </c>
      <c r="L895" s="1">
        <v>55406.57</v>
      </c>
      <c r="M895" s="1">
        <f t="shared" si="95"/>
        <v>9973.1826000000001</v>
      </c>
      <c r="N895" s="1">
        <f t="shared" si="96"/>
        <v>65379.7526</v>
      </c>
      <c r="S895" t="str">
        <f t="shared" si="91"/>
        <v>Punjab</v>
      </c>
      <c r="W895" t="str">
        <f t="shared" si="92"/>
        <v>East</v>
      </c>
      <c r="AB895" t="str">
        <f t="shared" si="97"/>
        <v>PK-PB</v>
      </c>
    </row>
    <row r="896" spans="1:28" x14ac:dyDescent="0.25">
      <c r="A896" s="2">
        <v>45168</v>
      </c>
      <c r="B896" t="s">
        <v>16</v>
      </c>
      <c r="C896" t="s">
        <v>17</v>
      </c>
      <c r="D896" t="s">
        <v>65</v>
      </c>
      <c r="E896" t="s">
        <v>64</v>
      </c>
      <c r="F896" t="s">
        <v>14</v>
      </c>
      <c r="G896" t="s">
        <v>15</v>
      </c>
      <c r="H896">
        <v>7</v>
      </c>
      <c r="I896" s="1">
        <v>4847.62</v>
      </c>
      <c r="J896" s="1">
        <f t="shared" si="93"/>
        <v>30540.005999999998</v>
      </c>
      <c r="K896" s="1">
        <f t="shared" si="94"/>
        <v>3393.3339999999998</v>
      </c>
      <c r="L896" s="1">
        <v>33933.339999999997</v>
      </c>
      <c r="M896" s="1">
        <f t="shared" si="95"/>
        <v>6108.0011999999988</v>
      </c>
      <c r="N896" s="1">
        <f t="shared" si="96"/>
        <v>40041.341199999995</v>
      </c>
      <c r="S896" t="str">
        <f t="shared" si="91"/>
        <v>Punjab</v>
      </c>
      <c r="W896" t="str">
        <f t="shared" si="92"/>
        <v>East</v>
      </c>
      <c r="AB896" t="str">
        <f t="shared" si="97"/>
        <v>PK-PB</v>
      </c>
    </row>
    <row r="897" spans="1:28" x14ac:dyDescent="0.25">
      <c r="A897" s="2">
        <v>45130</v>
      </c>
      <c r="B897" t="s">
        <v>21</v>
      </c>
      <c r="C897" t="s">
        <v>56</v>
      </c>
      <c r="D897" t="s">
        <v>12</v>
      </c>
      <c r="E897" t="s">
        <v>18</v>
      </c>
      <c r="F897" t="s">
        <v>27</v>
      </c>
      <c r="G897" t="s">
        <v>42</v>
      </c>
      <c r="H897">
        <v>6</v>
      </c>
      <c r="I897" s="1">
        <v>2260.16</v>
      </c>
      <c r="J897" s="1">
        <f t="shared" si="93"/>
        <v>12204.864</v>
      </c>
      <c r="K897" s="1">
        <f t="shared" si="94"/>
        <v>1356.096</v>
      </c>
      <c r="L897" s="1">
        <v>13560.96</v>
      </c>
      <c r="M897" s="1">
        <f t="shared" si="95"/>
        <v>2440.9727999999996</v>
      </c>
      <c r="N897" s="1">
        <f t="shared" si="96"/>
        <v>16001.932799999999</v>
      </c>
      <c r="S897" t="str">
        <f t="shared" si="91"/>
        <v>Sindh</v>
      </c>
      <c r="W897" t="str">
        <f t="shared" si="92"/>
        <v>South</v>
      </c>
      <c r="AB897" t="str">
        <f t="shared" si="97"/>
        <v>PK-SD</v>
      </c>
    </row>
    <row r="898" spans="1:28" x14ac:dyDescent="0.25">
      <c r="A898" s="2">
        <v>45181</v>
      </c>
      <c r="B898" t="s">
        <v>31</v>
      </c>
      <c r="C898" t="s">
        <v>26</v>
      </c>
      <c r="D898" t="s">
        <v>12</v>
      </c>
      <c r="E898" t="s">
        <v>18</v>
      </c>
      <c r="F898" t="s">
        <v>14</v>
      </c>
      <c r="G898" t="s">
        <v>45</v>
      </c>
      <c r="H898">
        <v>16</v>
      </c>
      <c r="I898" s="1">
        <v>1795.37</v>
      </c>
      <c r="J898" s="1">
        <f t="shared" si="93"/>
        <v>25853.327999999998</v>
      </c>
      <c r="K898" s="1">
        <f t="shared" si="94"/>
        <v>2872.5920000000001</v>
      </c>
      <c r="L898" s="1">
        <v>28725.919999999998</v>
      </c>
      <c r="M898" s="1">
        <f t="shared" si="95"/>
        <v>5170.6655999999994</v>
      </c>
      <c r="N898" s="1">
        <f t="shared" si="96"/>
        <v>33896.585599999999</v>
      </c>
      <c r="S898" t="str">
        <f t="shared" ref="S898:S961" si="98">VLOOKUP(C898,$Q$2:$R$15,2,FALSE)</f>
        <v>Sindh</v>
      </c>
      <c r="W898" t="str">
        <f t="shared" ref="W898:W961" si="99">VLOOKUP(D898,$U$2:$V$5,2,FALSE)</f>
        <v>South</v>
      </c>
      <c r="AB898" t="str">
        <f t="shared" si="97"/>
        <v>PK-SD</v>
      </c>
    </row>
    <row r="899" spans="1:28" x14ac:dyDescent="0.25">
      <c r="A899" s="2">
        <v>45049</v>
      </c>
      <c r="B899" t="s">
        <v>31</v>
      </c>
      <c r="C899" t="s">
        <v>63</v>
      </c>
      <c r="D899" t="s">
        <v>65</v>
      </c>
      <c r="E899" t="s">
        <v>64</v>
      </c>
      <c r="F899" t="s">
        <v>32</v>
      </c>
      <c r="G899" t="s">
        <v>50</v>
      </c>
      <c r="H899">
        <v>19</v>
      </c>
      <c r="I899" s="1">
        <v>2040.79</v>
      </c>
      <c r="J899" s="1">
        <f t="shared" ref="J899:J962" si="100">L899*90%</f>
        <v>34897.509000000005</v>
      </c>
      <c r="K899" s="1">
        <f t="shared" ref="K899:K962" si="101">L899*10%</f>
        <v>3877.5010000000002</v>
      </c>
      <c r="L899" s="1">
        <v>38775.01</v>
      </c>
      <c r="M899" s="1">
        <f t="shared" ref="M899:M962" si="102">L899*18%</f>
        <v>6979.5018</v>
      </c>
      <c r="N899" s="1">
        <f t="shared" ref="N899:N962" si="103">L899+M899</f>
        <v>45754.5118</v>
      </c>
      <c r="S899" t="str">
        <f t="shared" si="98"/>
        <v>Punjab</v>
      </c>
      <c r="W899" t="str">
        <f t="shared" si="99"/>
        <v>East</v>
      </c>
      <c r="AB899" t="str">
        <f t="shared" ref="AB899:AB962" si="104">VLOOKUP(D899,$Z$2:$AA$5,2,FALSE)</f>
        <v>PK-PB</v>
      </c>
    </row>
    <row r="900" spans="1:28" x14ac:dyDescent="0.25">
      <c r="A900" s="2">
        <v>45135</v>
      </c>
      <c r="B900" t="s">
        <v>40</v>
      </c>
      <c r="C900" t="s">
        <v>62</v>
      </c>
      <c r="D900" t="s">
        <v>65</v>
      </c>
      <c r="E900" t="s">
        <v>64</v>
      </c>
      <c r="F900" t="s">
        <v>14</v>
      </c>
      <c r="G900" t="s">
        <v>53</v>
      </c>
      <c r="H900">
        <v>13</v>
      </c>
      <c r="I900" s="1">
        <v>1764.64</v>
      </c>
      <c r="J900" s="1">
        <f t="shared" si="100"/>
        <v>20646.288</v>
      </c>
      <c r="K900" s="1">
        <f t="shared" si="101"/>
        <v>2294.0320000000002</v>
      </c>
      <c r="L900" s="1">
        <v>22940.32</v>
      </c>
      <c r="M900" s="1">
        <f t="shared" si="102"/>
        <v>4129.2575999999999</v>
      </c>
      <c r="N900" s="1">
        <f t="shared" si="103"/>
        <v>27069.577600000001</v>
      </c>
      <c r="S900" t="str">
        <f t="shared" si="98"/>
        <v>Punjab</v>
      </c>
      <c r="W900" t="str">
        <f t="shared" si="99"/>
        <v>East</v>
      </c>
      <c r="AB900" t="str">
        <f t="shared" si="104"/>
        <v>PK-PB</v>
      </c>
    </row>
    <row r="901" spans="1:28" x14ac:dyDescent="0.25">
      <c r="A901" s="2">
        <v>45159</v>
      </c>
      <c r="B901" t="s">
        <v>10</v>
      </c>
      <c r="C901" t="s">
        <v>17</v>
      </c>
      <c r="D901" t="s">
        <v>65</v>
      </c>
      <c r="E901" t="s">
        <v>64</v>
      </c>
      <c r="F901" t="s">
        <v>27</v>
      </c>
      <c r="G901" t="s">
        <v>42</v>
      </c>
      <c r="H901">
        <v>6</v>
      </c>
      <c r="I901" s="1">
        <v>746.23</v>
      </c>
      <c r="J901" s="1">
        <f t="shared" si="100"/>
        <v>4029.6420000000003</v>
      </c>
      <c r="K901" s="1">
        <f t="shared" si="101"/>
        <v>447.73800000000006</v>
      </c>
      <c r="L901" s="1">
        <v>4477.38</v>
      </c>
      <c r="M901" s="1">
        <f t="shared" si="102"/>
        <v>805.92840000000001</v>
      </c>
      <c r="N901" s="1">
        <f t="shared" si="103"/>
        <v>5283.3083999999999</v>
      </c>
      <c r="S901" t="str">
        <f t="shared" si="98"/>
        <v>Punjab</v>
      </c>
      <c r="W901" t="str">
        <f t="shared" si="99"/>
        <v>East</v>
      </c>
      <c r="AB901" t="str">
        <f t="shared" si="104"/>
        <v>PK-PB</v>
      </c>
    </row>
    <row r="902" spans="1:28" x14ac:dyDescent="0.25">
      <c r="A902" s="2">
        <v>45240</v>
      </c>
      <c r="B902" t="s">
        <v>21</v>
      </c>
      <c r="C902" t="s">
        <v>26</v>
      </c>
      <c r="D902" t="s">
        <v>12</v>
      </c>
      <c r="E902" t="s">
        <v>18</v>
      </c>
      <c r="F902" t="s">
        <v>14</v>
      </c>
      <c r="G902" t="s">
        <v>51</v>
      </c>
      <c r="H902">
        <v>14</v>
      </c>
      <c r="I902" s="1">
        <v>2385.9899999999998</v>
      </c>
      <c r="J902" s="1">
        <f t="shared" si="100"/>
        <v>30063.474000000002</v>
      </c>
      <c r="K902" s="1">
        <f t="shared" si="101"/>
        <v>3340.3860000000004</v>
      </c>
      <c r="L902" s="1">
        <v>33403.86</v>
      </c>
      <c r="M902" s="1">
        <f t="shared" si="102"/>
        <v>6012.6948000000002</v>
      </c>
      <c r="N902" s="1">
        <f t="shared" si="103"/>
        <v>39416.554799999998</v>
      </c>
      <c r="S902" t="str">
        <f t="shared" si="98"/>
        <v>Sindh</v>
      </c>
      <c r="W902" t="str">
        <f t="shared" si="99"/>
        <v>South</v>
      </c>
      <c r="AB902" t="str">
        <f t="shared" si="104"/>
        <v>PK-SD</v>
      </c>
    </row>
    <row r="903" spans="1:28" x14ac:dyDescent="0.25">
      <c r="A903" s="2">
        <v>45028</v>
      </c>
      <c r="B903" t="s">
        <v>10</v>
      </c>
      <c r="C903" t="s">
        <v>63</v>
      </c>
      <c r="D903" t="s">
        <v>65</v>
      </c>
      <c r="E903" t="s">
        <v>64</v>
      </c>
      <c r="F903" t="s">
        <v>32</v>
      </c>
      <c r="G903" t="s">
        <v>33</v>
      </c>
      <c r="H903">
        <v>1</v>
      </c>
      <c r="I903" s="1">
        <v>2362.15</v>
      </c>
      <c r="J903" s="1">
        <f t="shared" si="100"/>
        <v>2125.9349999999999</v>
      </c>
      <c r="K903" s="1">
        <f t="shared" si="101"/>
        <v>236.21500000000003</v>
      </c>
      <c r="L903" s="1">
        <v>2362.15</v>
      </c>
      <c r="M903" s="1">
        <f t="shared" si="102"/>
        <v>425.18700000000001</v>
      </c>
      <c r="N903" s="1">
        <f t="shared" si="103"/>
        <v>2787.337</v>
      </c>
      <c r="S903" t="str">
        <f t="shared" si="98"/>
        <v>Punjab</v>
      </c>
      <c r="W903" t="str">
        <f t="shared" si="99"/>
        <v>East</v>
      </c>
      <c r="AB903" t="str">
        <f t="shared" si="104"/>
        <v>PK-PB</v>
      </c>
    </row>
    <row r="904" spans="1:28" x14ac:dyDescent="0.25">
      <c r="A904" s="2">
        <v>45286</v>
      </c>
      <c r="B904" t="s">
        <v>31</v>
      </c>
      <c r="C904" t="s">
        <v>26</v>
      </c>
      <c r="D904" t="s">
        <v>12</v>
      </c>
      <c r="E904" t="s">
        <v>18</v>
      </c>
      <c r="F904" t="s">
        <v>23</v>
      </c>
      <c r="G904" t="s">
        <v>37</v>
      </c>
      <c r="H904">
        <v>16</v>
      </c>
      <c r="I904" s="1">
        <v>1236.8</v>
      </c>
      <c r="J904" s="1">
        <f t="shared" si="100"/>
        <v>17809.919999999998</v>
      </c>
      <c r="K904" s="1">
        <f t="shared" si="101"/>
        <v>1978.88</v>
      </c>
      <c r="L904" s="1">
        <v>19788.8</v>
      </c>
      <c r="M904" s="1">
        <f t="shared" si="102"/>
        <v>3561.9839999999999</v>
      </c>
      <c r="N904" s="1">
        <f t="shared" si="103"/>
        <v>23350.784</v>
      </c>
      <c r="S904" t="str">
        <f t="shared" si="98"/>
        <v>Sindh</v>
      </c>
      <c r="W904" t="str">
        <f t="shared" si="99"/>
        <v>South</v>
      </c>
      <c r="AB904" t="str">
        <f t="shared" si="104"/>
        <v>PK-SD</v>
      </c>
    </row>
    <row r="905" spans="1:28" x14ac:dyDescent="0.25">
      <c r="A905" s="2">
        <v>44965</v>
      </c>
      <c r="B905" t="s">
        <v>25</v>
      </c>
      <c r="C905" t="s">
        <v>26</v>
      </c>
      <c r="D905" t="s">
        <v>12</v>
      </c>
      <c r="E905" t="s">
        <v>18</v>
      </c>
      <c r="F905" t="s">
        <v>32</v>
      </c>
      <c r="G905" t="s">
        <v>36</v>
      </c>
      <c r="H905">
        <v>17</v>
      </c>
      <c r="I905" s="1">
        <v>1248.03</v>
      </c>
      <c r="J905" s="1">
        <f t="shared" si="100"/>
        <v>19094.859</v>
      </c>
      <c r="K905" s="1">
        <f t="shared" si="101"/>
        <v>2121.6509999999998</v>
      </c>
      <c r="L905" s="1">
        <v>21216.51</v>
      </c>
      <c r="M905" s="1">
        <f t="shared" si="102"/>
        <v>3818.9717999999993</v>
      </c>
      <c r="N905" s="1">
        <f t="shared" si="103"/>
        <v>25035.481799999998</v>
      </c>
      <c r="S905" t="str">
        <f t="shared" si="98"/>
        <v>Sindh</v>
      </c>
      <c r="W905" t="str">
        <f t="shared" si="99"/>
        <v>South</v>
      </c>
      <c r="AB905" t="str">
        <f t="shared" si="104"/>
        <v>PK-SD</v>
      </c>
    </row>
    <row r="906" spans="1:28" x14ac:dyDescent="0.25">
      <c r="A906" s="2">
        <v>45080</v>
      </c>
      <c r="B906" t="s">
        <v>40</v>
      </c>
      <c r="C906" t="s">
        <v>61</v>
      </c>
      <c r="D906" t="s">
        <v>65</v>
      </c>
      <c r="E906" t="s">
        <v>64</v>
      </c>
      <c r="F906" t="s">
        <v>19</v>
      </c>
      <c r="G906" t="s">
        <v>30</v>
      </c>
      <c r="H906">
        <v>16</v>
      </c>
      <c r="I906" s="1">
        <v>665.83</v>
      </c>
      <c r="J906" s="1">
        <f t="shared" si="100"/>
        <v>9587.9520000000011</v>
      </c>
      <c r="K906" s="1">
        <f t="shared" si="101"/>
        <v>1065.3280000000002</v>
      </c>
      <c r="L906" s="1">
        <v>10653.28</v>
      </c>
      <c r="M906" s="1">
        <f t="shared" si="102"/>
        <v>1917.5904</v>
      </c>
      <c r="N906" s="1">
        <f t="shared" si="103"/>
        <v>12570.8704</v>
      </c>
      <c r="S906" t="str">
        <f t="shared" si="98"/>
        <v>Punjab</v>
      </c>
      <c r="W906" t="str">
        <f t="shared" si="99"/>
        <v>East</v>
      </c>
      <c r="AB906" t="str">
        <f t="shared" si="104"/>
        <v>PK-PB</v>
      </c>
    </row>
    <row r="907" spans="1:28" x14ac:dyDescent="0.25">
      <c r="A907" s="2">
        <v>45052</v>
      </c>
      <c r="B907" t="s">
        <v>10</v>
      </c>
      <c r="C907" t="s">
        <v>59</v>
      </c>
      <c r="D907" t="s">
        <v>66</v>
      </c>
      <c r="E907" t="s">
        <v>41</v>
      </c>
      <c r="F907" t="s">
        <v>32</v>
      </c>
      <c r="G907" t="s">
        <v>49</v>
      </c>
      <c r="H907">
        <v>16</v>
      </c>
      <c r="I907" s="1">
        <v>615.70000000000005</v>
      </c>
      <c r="J907" s="1">
        <f t="shared" si="100"/>
        <v>8866.0800000000017</v>
      </c>
      <c r="K907" s="1">
        <f t="shared" si="101"/>
        <v>985.12000000000012</v>
      </c>
      <c r="L907" s="1">
        <v>9851.2000000000007</v>
      </c>
      <c r="M907" s="1">
        <f t="shared" si="102"/>
        <v>1773.2160000000001</v>
      </c>
      <c r="N907" s="1">
        <f t="shared" si="103"/>
        <v>11624.416000000001</v>
      </c>
      <c r="S907" t="str">
        <f t="shared" si="98"/>
        <v>Khyber Pakhtunkhwa</v>
      </c>
      <c r="W907" t="str">
        <f t="shared" si="99"/>
        <v>North</v>
      </c>
      <c r="AB907" t="str">
        <f t="shared" si="104"/>
        <v>Khyber Pakhtunkhwa</v>
      </c>
    </row>
    <row r="908" spans="1:28" x14ac:dyDescent="0.25">
      <c r="A908" s="2">
        <v>45103</v>
      </c>
      <c r="B908" t="s">
        <v>34</v>
      </c>
      <c r="C908" t="s">
        <v>62</v>
      </c>
      <c r="D908" t="s">
        <v>65</v>
      </c>
      <c r="E908" t="s">
        <v>64</v>
      </c>
      <c r="F908" t="s">
        <v>19</v>
      </c>
      <c r="G908" t="s">
        <v>52</v>
      </c>
      <c r="H908">
        <v>13</v>
      </c>
      <c r="I908" s="1">
        <v>3616.99</v>
      </c>
      <c r="J908" s="1">
        <f t="shared" si="100"/>
        <v>42318.783000000003</v>
      </c>
      <c r="K908" s="1">
        <f t="shared" si="101"/>
        <v>4702.0870000000004</v>
      </c>
      <c r="L908" s="1">
        <v>47020.87</v>
      </c>
      <c r="M908" s="1">
        <f t="shared" si="102"/>
        <v>8463.7566000000006</v>
      </c>
      <c r="N908" s="1">
        <f t="shared" si="103"/>
        <v>55484.626600000003</v>
      </c>
      <c r="S908" t="str">
        <f t="shared" si="98"/>
        <v>Punjab</v>
      </c>
      <c r="W908" t="str">
        <f t="shared" si="99"/>
        <v>East</v>
      </c>
      <c r="AB908" t="str">
        <f t="shared" si="104"/>
        <v>PK-PB</v>
      </c>
    </row>
    <row r="909" spans="1:28" x14ac:dyDescent="0.25">
      <c r="A909" s="2">
        <v>45085</v>
      </c>
      <c r="B909" t="s">
        <v>43</v>
      </c>
      <c r="C909" t="s">
        <v>55</v>
      </c>
      <c r="D909" t="s">
        <v>66</v>
      </c>
      <c r="E909" t="s">
        <v>41</v>
      </c>
      <c r="F909" t="s">
        <v>23</v>
      </c>
      <c r="G909" t="s">
        <v>37</v>
      </c>
      <c r="H909">
        <v>9</v>
      </c>
      <c r="I909" s="1">
        <v>1940.11</v>
      </c>
      <c r="J909" s="1">
        <f t="shared" si="100"/>
        <v>15714.891000000001</v>
      </c>
      <c r="K909" s="1">
        <f t="shared" si="101"/>
        <v>1746.0990000000002</v>
      </c>
      <c r="L909" s="1">
        <v>17460.990000000002</v>
      </c>
      <c r="M909" s="1">
        <f t="shared" si="102"/>
        <v>3142.9782</v>
      </c>
      <c r="N909" s="1">
        <f t="shared" si="103"/>
        <v>20603.968200000003</v>
      </c>
      <c r="S909" t="str">
        <f t="shared" si="98"/>
        <v>Khyber Pakhtunkhwa</v>
      </c>
      <c r="W909" t="str">
        <f t="shared" si="99"/>
        <v>North</v>
      </c>
      <c r="AB909" t="str">
        <f t="shared" si="104"/>
        <v>Khyber Pakhtunkhwa</v>
      </c>
    </row>
    <row r="910" spans="1:28" x14ac:dyDescent="0.25">
      <c r="A910" s="2">
        <v>45036</v>
      </c>
      <c r="B910" t="s">
        <v>38</v>
      </c>
      <c r="C910" t="s">
        <v>55</v>
      </c>
      <c r="D910" t="s">
        <v>66</v>
      </c>
      <c r="E910" t="s">
        <v>41</v>
      </c>
      <c r="F910" t="s">
        <v>32</v>
      </c>
      <c r="G910" t="s">
        <v>36</v>
      </c>
      <c r="H910">
        <v>16</v>
      </c>
      <c r="I910" s="1">
        <v>1064.93</v>
      </c>
      <c r="J910" s="1">
        <f t="shared" si="100"/>
        <v>15334.992000000002</v>
      </c>
      <c r="K910" s="1">
        <f t="shared" si="101"/>
        <v>1703.8880000000001</v>
      </c>
      <c r="L910" s="1">
        <v>17038.88</v>
      </c>
      <c r="M910" s="1">
        <f t="shared" si="102"/>
        <v>3066.9983999999999</v>
      </c>
      <c r="N910" s="1">
        <f t="shared" si="103"/>
        <v>20105.878400000001</v>
      </c>
      <c r="S910" t="str">
        <f t="shared" si="98"/>
        <v>Khyber Pakhtunkhwa</v>
      </c>
      <c r="W910" t="str">
        <f t="shared" si="99"/>
        <v>North</v>
      </c>
      <c r="AB910" t="str">
        <f t="shared" si="104"/>
        <v>Khyber Pakhtunkhwa</v>
      </c>
    </row>
    <row r="911" spans="1:28" x14ac:dyDescent="0.25">
      <c r="A911" s="2">
        <v>44968</v>
      </c>
      <c r="B911" t="s">
        <v>38</v>
      </c>
      <c r="C911" t="s">
        <v>26</v>
      </c>
      <c r="D911" t="s">
        <v>12</v>
      </c>
      <c r="E911" t="s">
        <v>18</v>
      </c>
      <c r="F911" t="s">
        <v>23</v>
      </c>
      <c r="G911" t="s">
        <v>47</v>
      </c>
      <c r="H911">
        <v>2</v>
      </c>
      <c r="I911" s="1">
        <v>4845.74</v>
      </c>
      <c r="J911" s="1">
        <f t="shared" si="100"/>
        <v>8722.3320000000003</v>
      </c>
      <c r="K911" s="1">
        <f t="shared" si="101"/>
        <v>969.14800000000002</v>
      </c>
      <c r="L911" s="1">
        <v>9691.48</v>
      </c>
      <c r="M911" s="1">
        <f t="shared" si="102"/>
        <v>1744.4663999999998</v>
      </c>
      <c r="N911" s="1">
        <f t="shared" si="103"/>
        <v>11435.946399999999</v>
      </c>
      <c r="S911" t="str">
        <f t="shared" si="98"/>
        <v>Sindh</v>
      </c>
      <c r="W911" t="str">
        <f t="shared" si="99"/>
        <v>South</v>
      </c>
      <c r="AB911" t="str">
        <f t="shared" si="104"/>
        <v>PK-SD</v>
      </c>
    </row>
    <row r="912" spans="1:28" x14ac:dyDescent="0.25">
      <c r="A912" s="2">
        <v>45168</v>
      </c>
      <c r="B912" t="s">
        <v>25</v>
      </c>
      <c r="C912" t="s">
        <v>57</v>
      </c>
      <c r="D912" t="s">
        <v>22</v>
      </c>
      <c r="E912" t="s">
        <v>13</v>
      </c>
      <c r="F912" t="s">
        <v>27</v>
      </c>
      <c r="G912" t="s">
        <v>46</v>
      </c>
      <c r="H912">
        <v>3</v>
      </c>
      <c r="I912" s="1">
        <v>4766.28</v>
      </c>
      <c r="J912" s="1">
        <f t="shared" si="100"/>
        <v>12868.956</v>
      </c>
      <c r="K912" s="1">
        <f t="shared" si="101"/>
        <v>1429.884</v>
      </c>
      <c r="L912" s="1">
        <v>14298.84</v>
      </c>
      <c r="M912" s="1">
        <f t="shared" si="102"/>
        <v>2573.7912000000001</v>
      </c>
      <c r="N912" s="1">
        <f t="shared" si="103"/>
        <v>16872.6312</v>
      </c>
      <c r="S912" t="str">
        <f t="shared" si="98"/>
        <v>Balochistan</v>
      </c>
      <c r="W912" t="str">
        <f t="shared" si="99"/>
        <v>West</v>
      </c>
      <c r="AB912" t="str">
        <f t="shared" si="104"/>
        <v>PK-BA</v>
      </c>
    </row>
    <row r="913" spans="1:28" x14ac:dyDescent="0.25">
      <c r="A913" s="2">
        <v>44996</v>
      </c>
      <c r="B913" t="s">
        <v>16</v>
      </c>
      <c r="C913" t="s">
        <v>26</v>
      </c>
      <c r="D913" t="s">
        <v>12</v>
      </c>
      <c r="E913" t="s">
        <v>18</v>
      </c>
      <c r="F913" t="s">
        <v>23</v>
      </c>
      <c r="G913" t="s">
        <v>47</v>
      </c>
      <c r="H913">
        <v>15</v>
      </c>
      <c r="I913" s="1">
        <v>3946.23</v>
      </c>
      <c r="J913" s="1">
        <f t="shared" si="100"/>
        <v>53274.104999999996</v>
      </c>
      <c r="K913" s="1">
        <f t="shared" si="101"/>
        <v>5919.3450000000003</v>
      </c>
      <c r="L913" s="1">
        <v>59193.45</v>
      </c>
      <c r="M913" s="1">
        <f t="shared" si="102"/>
        <v>10654.821</v>
      </c>
      <c r="N913" s="1">
        <f t="shared" si="103"/>
        <v>69848.270999999993</v>
      </c>
      <c r="S913" t="str">
        <f t="shared" si="98"/>
        <v>Sindh</v>
      </c>
      <c r="W913" t="str">
        <f t="shared" si="99"/>
        <v>South</v>
      </c>
      <c r="AB913" t="str">
        <f t="shared" si="104"/>
        <v>PK-SD</v>
      </c>
    </row>
    <row r="914" spans="1:28" x14ac:dyDescent="0.25">
      <c r="A914" s="2">
        <v>45115</v>
      </c>
      <c r="B914" t="s">
        <v>34</v>
      </c>
      <c r="C914" t="s">
        <v>35</v>
      </c>
      <c r="D914" t="s">
        <v>65</v>
      </c>
      <c r="E914" t="s">
        <v>64</v>
      </c>
      <c r="F914" t="s">
        <v>23</v>
      </c>
      <c r="G914" t="s">
        <v>37</v>
      </c>
      <c r="H914">
        <v>12</v>
      </c>
      <c r="I914" s="1">
        <v>1804.27</v>
      </c>
      <c r="J914" s="1">
        <f t="shared" si="100"/>
        <v>19486.116000000002</v>
      </c>
      <c r="K914" s="1">
        <f t="shared" si="101"/>
        <v>2165.1240000000003</v>
      </c>
      <c r="L914" s="1">
        <v>21651.24</v>
      </c>
      <c r="M914" s="1">
        <f t="shared" si="102"/>
        <v>3897.2232000000004</v>
      </c>
      <c r="N914" s="1">
        <f t="shared" si="103"/>
        <v>25548.463200000002</v>
      </c>
      <c r="S914" t="str">
        <f t="shared" si="98"/>
        <v>Punjab</v>
      </c>
      <c r="W914" t="str">
        <f t="shared" si="99"/>
        <v>East</v>
      </c>
      <c r="AB914" t="str">
        <f t="shared" si="104"/>
        <v>PK-PB</v>
      </c>
    </row>
    <row r="915" spans="1:28" x14ac:dyDescent="0.25">
      <c r="A915" s="2">
        <v>45253</v>
      </c>
      <c r="B915" t="s">
        <v>29</v>
      </c>
      <c r="C915" t="s">
        <v>11</v>
      </c>
      <c r="D915" t="s">
        <v>22</v>
      </c>
      <c r="E915" t="s">
        <v>13</v>
      </c>
      <c r="F915" t="s">
        <v>32</v>
      </c>
      <c r="G915" t="s">
        <v>33</v>
      </c>
      <c r="H915">
        <v>3</v>
      </c>
      <c r="I915" s="1">
        <v>2055.4499999999998</v>
      </c>
      <c r="J915" s="1">
        <f t="shared" si="100"/>
        <v>5549.7150000000001</v>
      </c>
      <c r="K915" s="1">
        <f t="shared" si="101"/>
        <v>616.6350000000001</v>
      </c>
      <c r="L915" s="1">
        <v>6166.35</v>
      </c>
      <c r="M915" s="1">
        <f t="shared" si="102"/>
        <v>1109.943</v>
      </c>
      <c r="N915" s="1">
        <f t="shared" si="103"/>
        <v>7276.2930000000006</v>
      </c>
      <c r="S915" t="str">
        <f t="shared" si="98"/>
        <v>Balochistan</v>
      </c>
      <c r="W915" t="str">
        <f t="shared" si="99"/>
        <v>West</v>
      </c>
      <c r="AB915" t="str">
        <f t="shared" si="104"/>
        <v>PK-BA</v>
      </c>
    </row>
    <row r="916" spans="1:28" x14ac:dyDescent="0.25">
      <c r="A916" s="2">
        <v>45204</v>
      </c>
      <c r="B916" t="s">
        <v>29</v>
      </c>
      <c r="C916" t="s">
        <v>26</v>
      </c>
      <c r="D916" t="s">
        <v>12</v>
      </c>
      <c r="E916" t="s">
        <v>18</v>
      </c>
      <c r="F916" t="s">
        <v>14</v>
      </c>
      <c r="G916" t="s">
        <v>45</v>
      </c>
      <c r="H916">
        <v>5</v>
      </c>
      <c r="I916" s="1">
        <v>1568.68</v>
      </c>
      <c r="J916" s="1">
        <f t="shared" si="100"/>
        <v>7059.0599999999995</v>
      </c>
      <c r="K916" s="1">
        <f t="shared" si="101"/>
        <v>784.34</v>
      </c>
      <c r="L916" s="1">
        <v>7843.4</v>
      </c>
      <c r="M916" s="1">
        <f t="shared" si="102"/>
        <v>1411.8119999999999</v>
      </c>
      <c r="N916" s="1">
        <f t="shared" si="103"/>
        <v>9255.2119999999995</v>
      </c>
      <c r="S916" t="str">
        <f t="shared" si="98"/>
        <v>Sindh</v>
      </c>
      <c r="W916" t="str">
        <f t="shared" si="99"/>
        <v>South</v>
      </c>
      <c r="AB916" t="str">
        <f t="shared" si="104"/>
        <v>PK-SD</v>
      </c>
    </row>
    <row r="917" spans="1:28" x14ac:dyDescent="0.25">
      <c r="A917" s="2">
        <v>44975</v>
      </c>
      <c r="B917" t="s">
        <v>31</v>
      </c>
      <c r="C917" t="s">
        <v>57</v>
      </c>
      <c r="D917" t="s">
        <v>22</v>
      </c>
      <c r="E917" t="s">
        <v>13</v>
      </c>
      <c r="F917" t="s">
        <v>14</v>
      </c>
      <c r="G917" t="s">
        <v>51</v>
      </c>
      <c r="H917">
        <v>16</v>
      </c>
      <c r="I917" s="1">
        <v>2288.6799999999998</v>
      </c>
      <c r="J917" s="1">
        <f t="shared" si="100"/>
        <v>32956.991999999998</v>
      </c>
      <c r="K917" s="1">
        <f t="shared" si="101"/>
        <v>3661.8879999999999</v>
      </c>
      <c r="L917" s="1">
        <v>36618.879999999997</v>
      </c>
      <c r="M917" s="1">
        <f t="shared" si="102"/>
        <v>6591.3983999999991</v>
      </c>
      <c r="N917" s="1">
        <f t="shared" si="103"/>
        <v>43210.278399999996</v>
      </c>
      <c r="S917" t="str">
        <f t="shared" si="98"/>
        <v>Balochistan</v>
      </c>
      <c r="W917" t="str">
        <f t="shared" si="99"/>
        <v>West</v>
      </c>
      <c r="AB917" t="str">
        <f t="shared" si="104"/>
        <v>PK-BA</v>
      </c>
    </row>
    <row r="918" spans="1:28" x14ac:dyDescent="0.25">
      <c r="A918" s="2">
        <v>45084</v>
      </c>
      <c r="B918" t="s">
        <v>40</v>
      </c>
      <c r="C918" t="s">
        <v>55</v>
      </c>
      <c r="D918" t="s">
        <v>66</v>
      </c>
      <c r="E918" t="s">
        <v>41</v>
      </c>
      <c r="F918" t="s">
        <v>14</v>
      </c>
      <c r="G918" t="s">
        <v>53</v>
      </c>
      <c r="H918">
        <v>12</v>
      </c>
      <c r="I918" s="1">
        <v>2133.0500000000002</v>
      </c>
      <c r="J918" s="1">
        <f t="shared" si="100"/>
        <v>23036.94</v>
      </c>
      <c r="K918" s="1">
        <f t="shared" si="101"/>
        <v>2559.66</v>
      </c>
      <c r="L918" s="1">
        <v>25596.6</v>
      </c>
      <c r="M918" s="1">
        <f t="shared" si="102"/>
        <v>4607.3879999999999</v>
      </c>
      <c r="N918" s="1">
        <f t="shared" si="103"/>
        <v>30203.987999999998</v>
      </c>
      <c r="S918" t="str">
        <f t="shared" si="98"/>
        <v>Khyber Pakhtunkhwa</v>
      </c>
      <c r="W918" t="str">
        <f t="shared" si="99"/>
        <v>North</v>
      </c>
      <c r="AB918" t="str">
        <f t="shared" si="104"/>
        <v>Khyber Pakhtunkhwa</v>
      </c>
    </row>
    <row r="919" spans="1:28" x14ac:dyDescent="0.25">
      <c r="A919" s="2">
        <v>45021</v>
      </c>
      <c r="B919" t="s">
        <v>40</v>
      </c>
      <c r="C919" t="s">
        <v>59</v>
      </c>
      <c r="D919" t="s">
        <v>66</v>
      </c>
      <c r="E919" t="s">
        <v>41</v>
      </c>
      <c r="F919" t="s">
        <v>27</v>
      </c>
      <c r="G919" t="s">
        <v>44</v>
      </c>
      <c r="H919">
        <v>4</v>
      </c>
      <c r="I919" s="1">
        <v>1208.42</v>
      </c>
      <c r="J919" s="1">
        <f t="shared" si="100"/>
        <v>4350.3120000000008</v>
      </c>
      <c r="K919" s="1">
        <f t="shared" si="101"/>
        <v>483.36800000000005</v>
      </c>
      <c r="L919" s="1">
        <v>4833.68</v>
      </c>
      <c r="M919" s="1">
        <f t="shared" si="102"/>
        <v>870.06240000000003</v>
      </c>
      <c r="N919" s="1">
        <f t="shared" si="103"/>
        <v>5703.7424000000001</v>
      </c>
      <c r="S919" t="str">
        <f t="shared" si="98"/>
        <v>Khyber Pakhtunkhwa</v>
      </c>
      <c r="W919" t="str">
        <f t="shared" si="99"/>
        <v>North</v>
      </c>
      <c r="AB919" t="str">
        <f t="shared" si="104"/>
        <v>Khyber Pakhtunkhwa</v>
      </c>
    </row>
    <row r="920" spans="1:28" x14ac:dyDescent="0.25">
      <c r="A920" s="2">
        <v>45086</v>
      </c>
      <c r="B920" t="s">
        <v>40</v>
      </c>
      <c r="C920" t="s">
        <v>58</v>
      </c>
      <c r="D920" t="s">
        <v>12</v>
      </c>
      <c r="E920" t="s">
        <v>18</v>
      </c>
      <c r="F920" t="s">
        <v>19</v>
      </c>
      <c r="G920" t="s">
        <v>20</v>
      </c>
      <c r="H920">
        <v>14</v>
      </c>
      <c r="I920" s="1">
        <v>630.45000000000005</v>
      </c>
      <c r="J920" s="1">
        <f t="shared" si="100"/>
        <v>7943.6699999999992</v>
      </c>
      <c r="K920" s="1">
        <f t="shared" si="101"/>
        <v>882.63</v>
      </c>
      <c r="L920" s="1">
        <v>8826.2999999999993</v>
      </c>
      <c r="M920" s="1">
        <f t="shared" si="102"/>
        <v>1588.7339999999999</v>
      </c>
      <c r="N920" s="1">
        <f t="shared" si="103"/>
        <v>10415.034</v>
      </c>
      <c r="S920" t="str">
        <f t="shared" si="98"/>
        <v>Sindh</v>
      </c>
      <c r="W920" t="str">
        <f t="shared" si="99"/>
        <v>South</v>
      </c>
      <c r="AB920" t="str">
        <f t="shared" si="104"/>
        <v>PK-SD</v>
      </c>
    </row>
    <row r="921" spans="1:28" x14ac:dyDescent="0.25">
      <c r="A921" s="2">
        <v>44948</v>
      </c>
      <c r="B921" t="s">
        <v>29</v>
      </c>
      <c r="C921" t="s">
        <v>11</v>
      </c>
      <c r="D921" t="s">
        <v>22</v>
      </c>
      <c r="E921" t="s">
        <v>13</v>
      </c>
      <c r="F921" t="s">
        <v>23</v>
      </c>
      <c r="G921" t="s">
        <v>24</v>
      </c>
      <c r="H921">
        <v>14</v>
      </c>
      <c r="I921" s="1">
        <v>2713.47</v>
      </c>
      <c r="J921" s="1">
        <f t="shared" si="100"/>
        <v>34189.722000000002</v>
      </c>
      <c r="K921" s="1">
        <f t="shared" si="101"/>
        <v>3798.8580000000002</v>
      </c>
      <c r="L921" s="1">
        <v>37988.58</v>
      </c>
      <c r="M921" s="1">
        <f t="shared" si="102"/>
        <v>6837.9444000000003</v>
      </c>
      <c r="N921" s="1">
        <f t="shared" si="103"/>
        <v>44826.524400000002</v>
      </c>
      <c r="S921" t="str">
        <f t="shared" si="98"/>
        <v>Balochistan</v>
      </c>
      <c r="W921" t="str">
        <f t="shared" si="99"/>
        <v>West</v>
      </c>
      <c r="AB921" t="str">
        <f t="shared" si="104"/>
        <v>PK-BA</v>
      </c>
    </row>
    <row r="922" spans="1:28" x14ac:dyDescent="0.25">
      <c r="A922" s="2">
        <v>45025</v>
      </c>
      <c r="B922" t="s">
        <v>10</v>
      </c>
      <c r="C922" t="s">
        <v>58</v>
      </c>
      <c r="D922" t="s">
        <v>12</v>
      </c>
      <c r="E922" t="s">
        <v>18</v>
      </c>
      <c r="F922" t="s">
        <v>14</v>
      </c>
      <c r="G922" t="s">
        <v>53</v>
      </c>
      <c r="H922">
        <v>7</v>
      </c>
      <c r="I922" s="1">
        <v>3273.61</v>
      </c>
      <c r="J922" s="1">
        <f t="shared" si="100"/>
        <v>20623.743000000002</v>
      </c>
      <c r="K922" s="1">
        <f t="shared" si="101"/>
        <v>2291.527</v>
      </c>
      <c r="L922" s="1">
        <v>22915.27</v>
      </c>
      <c r="M922" s="1">
        <f t="shared" si="102"/>
        <v>4124.7485999999999</v>
      </c>
      <c r="N922" s="1">
        <f t="shared" si="103"/>
        <v>27040.018599999999</v>
      </c>
      <c r="S922" t="str">
        <f t="shared" si="98"/>
        <v>Sindh</v>
      </c>
      <c r="W922" t="str">
        <f t="shared" si="99"/>
        <v>South</v>
      </c>
      <c r="AB922" t="str">
        <f t="shared" si="104"/>
        <v>PK-SD</v>
      </c>
    </row>
    <row r="923" spans="1:28" x14ac:dyDescent="0.25">
      <c r="A923" s="2">
        <v>45189</v>
      </c>
      <c r="B923" t="s">
        <v>29</v>
      </c>
      <c r="C923" t="s">
        <v>59</v>
      </c>
      <c r="D923" t="s">
        <v>66</v>
      </c>
      <c r="E923" t="s">
        <v>41</v>
      </c>
      <c r="F923" t="s">
        <v>23</v>
      </c>
      <c r="G923" t="s">
        <v>39</v>
      </c>
      <c r="H923">
        <v>9</v>
      </c>
      <c r="I923" s="1">
        <v>566.91999999999996</v>
      </c>
      <c r="J923" s="1">
        <f t="shared" si="100"/>
        <v>4592.0519999999997</v>
      </c>
      <c r="K923" s="1">
        <f t="shared" si="101"/>
        <v>510.22800000000001</v>
      </c>
      <c r="L923" s="1">
        <v>5102.28</v>
      </c>
      <c r="M923" s="1">
        <f t="shared" si="102"/>
        <v>918.41039999999987</v>
      </c>
      <c r="N923" s="1">
        <f t="shared" si="103"/>
        <v>6020.6903999999995</v>
      </c>
      <c r="S923" t="str">
        <f t="shared" si="98"/>
        <v>Khyber Pakhtunkhwa</v>
      </c>
      <c r="W923" t="str">
        <f t="shared" si="99"/>
        <v>North</v>
      </c>
      <c r="AB923" t="str">
        <f t="shared" si="104"/>
        <v>Khyber Pakhtunkhwa</v>
      </c>
    </row>
    <row r="924" spans="1:28" x14ac:dyDescent="0.25">
      <c r="A924" s="2">
        <v>45004</v>
      </c>
      <c r="B924" t="s">
        <v>38</v>
      </c>
      <c r="C924" t="s">
        <v>57</v>
      </c>
      <c r="D924" t="s">
        <v>22</v>
      </c>
      <c r="E924" t="s">
        <v>13</v>
      </c>
      <c r="F924" t="s">
        <v>32</v>
      </c>
      <c r="G924" t="s">
        <v>36</v>
      </c>
      <c r="H924">
        <v>2</v>
      </c>
      <c r="I924" s="1">
        <v>3830.39</v>
      </c>
      <c r="J924" s="1">
        <f t="shared" si="100"/>
        <v>6894.7020000000002</v>
      </c>
      <c r="K924" s="1">
        <f t="shared" si="101"/>
        <v>766.07799999999997</v>
      </c>
      <c r="L924" s="1">
        <v>7660.78</v>
      </c>
      <c r="M924" s="1">
        <f t="shared" si="102"/>
        <v>1378.9404</v>
      </c>
      <c r="N924" s="1">
        <f t="shared" si="103"/>
        <v>9039.7204000000002</v>
      </c>
      <c r="S924" t="str">
        <f t="shared" si="98"/>
        <v>Balochistan</v>
      </c>
      <c r="W924" t="str">
        <f t="shared" si="99"/>
        <v>West</v>
      </c>
      <c r="AB924" t="str">
        <f t="shared" si="104"/>
        <v>PK-BA</v>
      </c>
    </row>
    <row r="925" spans="1:28" x14ac:dyDescent="0.25">
      <c r="A925" s="2">
        <v>45250</v>
      </c>
      <c r="B925" t="s">
        <v>25</v>
      </c>
      <c r="C925" t="s">
        <v>59</v>
      </c>
      <c r="D925" t="s">
        <v>66</v>
      </c>
      <c r="E925" t="s">
        <v>41</v>
      </c>
      <c r="F925" t="s">
        <v>32</v>
      </c>
      <c r="G925" t="s">
        <v>49</v>
      </c>
      <c r="H925">
        <v>7</v>
      </c>
      <c r="I925" s="1">
        <v>4456.5</v>
      </c>
      <c r="J925" s="1">
        <f t="shared" si="100"/>
        <v>28075.95</v>
      </c>
      <c r="K925" s="1">
        <f t="shared" si="101"/>
        <v>3119.55</v>
      </c>
      <c r="L925" s="1">
        <v>31195.5</v>
      </c>
      <c r="M925" s="1">
        <f t="shared" si="102"/>
        <v>5615.19</v>
      </c>
      <c r="N925" s="1">
        <f t="shared" si="103"/>
        <v>36810.69</v>
      </c>
      <c r="S925" t="str">
        <f t="shared" si="98"/>
        <v>Khyber Pakhtunkhwa</v>
      </c>
      <c r="W925" t="str">
        <f t="shared" si="99"/>
        <v>North</v>
      </c>
      <c r="AB925" t="str">
        <f t="shared" si="104"/>
        <v>Khyber Pakhtunkhwa</v>
      </c>
    </row>
    <row r="926" spans="1:28" x14ac:dyDescent="0.25">
      <c r="A926" s="2">
        <v>45156</v>
      </c>
      <c r="B926" t="s">
        <v>10</v>
      </c>
      <c r="C926" t="s">
        <v>56</v>
      </c>
      <c r="D926" t="s">
        <v>12</v>
      </c>
      <c r="E926" t="s">
        <v>18</v>
      </c>
      <c r="F926" t="s">
        <v>19</v>
      </c>
      <c r="G926" t="s">
        <v>48</v>
      </c>
      <c r="H926">
        <v>15</v>
      </c>
      <c r="I926" s="1">
        <v>202.66</v>
      </c>
      <c r="J926" s="1">
        <f t="shared" si="100"/>
        <v>2735.9100000000003</v>
      </c>
      <c r="K926" s="1">
        <f t="shared" si="101"/>
        <v>303.99</v>
      </c>
      <c r="L926" s="1">
        <v>3039.9</v>
      </c>
      <c r="M926" s="1">
        <f t="shared" si="102"/>
        <v>547.18200000000002</v>
      </c>
      <c r="N926" s="1">
        <f t="shared" si="103"/>
        <v>3587.0820000000003</v>
      </c>
      <c r="S926" t="str">
        <f t="shared" si="98"/>
        <v>Sindh</v>
      </c>
      <c r="W926" t="str">
        <f t="shared" si="99"/>
        <v>South</v>
      </c>
      <c r="AB926" t="str">
        <f t="shared" si="104"/>
        <v>PK-SD</v>
      </c>
    </row>
    <row r="927" spans="1:28" x14ac:dyDescent="0.25">
      <c r="A927" s="2">
        <v>45036</v>
      </c>
      <c r="B927" t="s">
        <v>38</v>
      </c>
      <c r="C927" t="s">
        <v>11</v>
      </c>
      <c r="D927" t="s">
        <v>22</v>
      </c>
      <c r="E927" t="s">
        <v>13</v>
      </c>
      <c r="F927" t="s">
        <v>23</v>
      </c>
      <c r="G927" t="s">
        <v>37</v>
      </c>
      <c r="H927">
        <v>10</v>
      </c>
      <c r="I927" s="1">
        <v>1018.19</v>
      </c>
      <c r="J927" s="1">
        <f t="shared" si="100"/>
        <v>9163.7099999999991</v>
      </c>
      <c r="K927" s="1">
        <f t="shared" si="101"/>
        <v>1018.19</v>
      </c>
      <c r="L927" s="1">
        <v>10181.9</v>
      </c>
      <c r="M927" s="1">
        <f t="shared" si="102"/>
        <v>1832.742</v>
      </c>
      <c r="N927" s="1">
        <f t="shared" si="103"/>
        <v>12014.642</v>
      </c>
      <c r="S927" t="str">
        <f t="shared" si="98"/>
        <v>Balochistan</v>
      </c>
      <c r="W927" t="str">
        <f t="shared" si="99"/>
        <v>West</v>
      </c>
      <c r="AB927" t="str">
        <f t="shared" si="104"/>
        <v>PK-BA</v>
      </c>
    </row>
    <row r="928" spans="1:28" x14ac:dyDescent="0.25">
      <c r="A928" s="2">
        <v>45021</v>
      </c>
      <c r="B928" t="s">
        <v>10</v>
      </c>
      <c r="C928" t="s">
        <v>35</v>
      </c>
      <c r="D928" t="s">
        <v>65</v>
      </c>
      <c r="E928" t="s">
        <v>64</v>
      </c>
      <c r="F928" t="s">
        <v>23</v>
      </c>
      <c r="G928" t="s">
        <v>37</v>
      </c>
      <c r="H928">
        <v>4</v>
      </c>
      <c r="I928" s="1">
        <v>3300.36</v>
      </c>
      <c r="J928" s="1">
        <f t="shared" si="100"/>
        <v>11881.296</v>
      </c>
      <c r="K928" s="1">
        <f t="shared" si="101"/>
        <v>1320.1440000000002</v>
      </c>
      <c r="L928" s="1">
        <v>13201.44</v>
      </c>
      <c r="M928" s="1">
        <f t="shared" si="102"/>
        <v>2376.2592</v>
      </c>
      <c r="N928" s="1">
        <f t="shared" si="103"/>
        <v>15577.699200000001</v>
      </c>
      <c r="S928" t="str">
        <f t="shared" si="98"/>
        <v>Punjab</v>
      </c>
      <c r="W928" t="str">
        <f t="shared" si="99"/>
        <v>East</v>
      </c>
      <c r="AB928" t="str">
        <f t="shared" si="104"/>
        <v>PK-PB</v>
      </c>
    </row>
    <row r="929" spans="1:28" x14ac:dyDescent="0.25">
      <c r="A929" s="2">
        <v>45008</v>
      </c>
      <c r="B929" t="s">
        <v>16</v>
      </c>
      <c r="C929" t="s">
        <v>26</v>
      </c>
      <c r="D929" t="s">
        <v>12</v>
      </c>
      <c r="E929" t="s">
        <v>18</v>
      </c>
      <c r="F929" t="s">
        <v>23</v>
      </c>
      <c r="G929" t="s">
        <v>37</v>
      </c>
      <c r="H929">
        <v>12</v>
      </c>
      <c r="I929" s="1">
        <v>957.01</v>
      </c>
      <c r="J929" s="1">
        <f t="shared" si="100"/>
        <v>10335.708000000001</v>
      </c>
      <c r="K929" s="1">
        <f t="shared" si="101"/>
        <v>1148.412</v>
      </c>
      <c r="L929" s="1">
        <v>11484.12</v>
      </c>
      <c r="M929" s="1">
        <f t="shared" si="102"/>
        <v>2067.1415999999999</v>
      </c>
      <c r="N929" s="1">
        <f t="shared" si="103"/>
        <v>13551.261600000002</v>
      </c>
      <c r="S929" t="str">
        <f t="shared" si="98"/>
        <v>Sindh</v>
      </c>
      <c r="W929" t="str">
        <f t="shared" si="99"/>
        <v>South</v>
      </c>
      <c r="AB929" t="str">
        <f t="shared" si="104"/>
        <v>PK-SD</v>
      </c>
    </row>
    <row r="930" spans="1:28" x14ac:dyDescent="0.25">
      <c r="A930" s="2">
        <v>45244</v>
      </c>
      <c r="B930" t="s">
        <v>16</v>
      </c>
      <c r="C930" t="s">
        <v>56</v>
      </c>
      <c r="D930" t="s">
        <v>12</v>
      </c>
      <c r="E930" t="s">
        <v>18</v>
      </c>
      <c r="F930" t="s">
        <v>27</v>
      </c>
      <c r="G930" t="s">
        <v>42</v>
      </c>
      <c r="H930">
        <v>19</v>
      </c>
      <c r="I930" s="1">
        <v>1933.19</v>
      </c>
      <c r="J930" s="1">
        <f t="shared" si="100"/>
        <v>33057.548999999999</v>
      </c>
      <c r="K930" s="1">
        <f t="shared" si="101"/>
        <v>3673.0610000000001</v>
      </c>
      <c r="L930" s="1">
        <v>36730.61</v>
      </c>
      <c r="M930" s="1">
        <f t="shared" si="102"/>
        <v>6611.5097999999998</v>
      </c>
      <c r="N930" s="1">
        <f t="shared" si="103"/>
        <v>43342.1198</v>
      </c>
      <c r="S930" t="str">
        <f t="shared" si="98"/>
        <v>Sindh</v>
      </c>
      <c r="W930" t="str">
        <f t="shared" si="99"/>
        <v>South</v>
      </c>
      <c r="AB930" t="str">
        <f t="shared" si="104"/>
        <v>PK-SD</v>
      </c>
    </row>
    <row r="931" spans="1:28" x14ac:dyDescent="0.25">
      <c r="A931" s="2">
        <v>45125</v>
      </c>
      <c r="B931" t="s">
        <v>21</v>
      </c>
      <c r="C931" t="s">
        <v>58</v>
      </c>
      <c r="D931" t="s">
        <v>12</v>
      </c>
      <c r="E931" t="s">
        <v>18</v>
      </c>
      <c r="F931" t="s">
        <v>14</v>
      </c>
      <c r="G931" t="s">
        <v>53</v>
      </c>
      <c r="H931">
        <v>15</v>
      </c>
      <c r="I931" s="1">
        <v>834.13</v>
      </c>
      <c r="J931" s="1">
        <f t="shared" si="100"/>
        <v>11260.755000000001</v>
      </c>
      <c r="K931" s="1">
        <f t="shared" si="101"/>
        <v>1251.1950000000002</v>
      </c>
      <c r="L931" s="1">
        <v>12511.95</v>
      </c>
      <c r="M931" s="1">
        <f t="shared" si="102"/>
        <v>2252.1509999999998</v>
      </c>
      <c r="N931" s="1">
        <f t="shared" si="103"/>
        <v>14764.101000000001</v>
      </c>
      <c r="S931" t="str">
        <f t="shared" si="98"/>
        <v>Sindh</v>
      </c>
      <c r="W931" t="str">
        <f t="shared" si="99"/>
        <v>South</v>
      </c>
      <c r="AB931" t="str">
        <f t="shared" si="104"/>
        <v>PK-SD</v>
      </c>
    </row>
    <row r="932" spans="1:28" x14ac:dyDescent="0.25">
      <c r="A932" s="2">
        <v>45095</v>
      </c>
      <c r="B932" t="s">
        <v>31</v>
      </c>
      <c r="C932" t="s">
        <v>57</v>
      </c>
      <c r="D932" t="s">
        <v>22</v>
      </c>
      <c r="E932" t="s">
        <v>13</v>
      </c>
      <c r="F932" t="s">
        <v>19</v>
      </c>
      <c r="G932" t="s">
        <v>48</v>
      </c>
      <c r="H932">
        <v>18</v>
      </c>
      <c r="I932" s="1">
        <v>2535.8200000000002</v>
      </c>
      <c r="J932" s="1">
        <f t="shared" si="100"/>
        <v>41080.284</v>
      </c>
      <c r="K932" s="1">
        <f t="shared" si="101"/>
        <v>4564.4760000000006</v>
      </c>
      <c r="L932" s="1">
        <v>45644.76</v>
      </c>
      <c r="M932" s="1">
        <f t="shared" si="102"/>
        <v>8216.0568000000003</v>
      </c>
      <c r="N932" s="1">
        <f t="shared" si="103"/>
        <v>53860.816800000001</v>
      </c>
      <c r="S932" t="str">
        <f t="shared" si="98"/>
        <v>Balochistan</v>
      </c>
      <c r="W932" t="str">
        <f t="shared" si="99"/>
        <v>West</v>
      </c>
      <c r="AB932" t="str">
        <f t="shared" si="104"/>
        <v>PK-BA</v>
      </c>
    </row>
    <row r="933" spans="1:28" x14ac:dyDescent="0.25">
      <c r="A933" s="2">
        <v>44995</v>
      </c>
      <c r="B933" t="s">
        <v>16</v>
      </c>
      <c r="C933" t="s">
        <v>56</v>
      </c>
      <c r="D933" t="s">
        <v>12</v>
      </c>
      <c r="E933" t="s">
        <v>18</v>
      </c>
      <c r="F933" t="s">
        <v>27</v>
      </c>
      <c r="G933" t="s">
        <v>46</v>
      </c>
      <c r="H933">
        <v>18</v>
      </c>
      <c r="I933" s="1">
        <v>2299.9299999999998</v>
      </c>
      <c r="J933" s="1">
        <f t="shared" si="100"/>
        <v>37258.866000000002</v>
      </c>
      <c r="K933" s="1">
        <f t="shared" si="101"/>
        <v>4139.8739999999998</v>
      </c>
      <c r="L933" s="1">
        <v>41398.74</v>
      </c>
      <c r="M933" s="1">
        <f t="shared" si="102"/>
        <v>7451.7731999999996</v>
      </c>
      <c r="N933" s="1">
        <f t="shared" si="103"/>
        <v>48850.513200000001</v>
      </c>
      <c r="S933" t="str">
        <f t="shared" si="98"/>
        <v>Sindh</v>
      </c>
      <c r="W933" t="str">
        <f t="shared" si="99"/>
        <v>South</v>
      </c>
      <c r="AB933" t="str">
        <f t="shared" si="104"/>
        <v>PK-SD</v>
      </c>
    </row>
    <row r="934" spans="1:28" x14ac:dyDescent="0.25">
      <c r="A934" s="2">
        <v>45214</v>
      </c>
      <c r="B934" t="s">
        <v>31</v>
      </c>
      <c r="C934" t="s">
        <v>35</v>
      </c>
      <c r="D934" t="s">
        <v>65</v>
      </c>
      <c r="E934" t="s">
        <v>64</v>
      </c>
      <c r="F934" t="s">
        <v>14</v>
      </c>
      <c r="G934" t="s">
        <v>45</v>
      </c>
      <c r="H934">
        <v>5</v>
      </c>
      <c r="I934" s="1">
        <v>606.49</v>
      </c>
      <c r="J934" s="1">
        <f t="shared" si="100"/>
        <v>2729.2049999999999</v>
      </c>
      <c r="K934" s="1">
        <f t="shared" si="101"/>
        <v>303.245</v>
      </c>
      <c r="L934" s="1">
        <v>3032.45</v>
      </c>
      <c r="M934" s="1">
        <f t="shared" si="102"/>
        <v>545.84099999999989</v>
      </c>
      <c r="N934" s="1">
        <f t="shared" si="103"/>
        <v>3578.2909999999997</v>
      </c>
      <c r="S934" t="str">
        <f t="shared" si="98"/>
        <v>Punjab</v>
      </c>
      <c r="W934" t="str">
        <f t="shared" si="99"/>
        <v>East</v>
      </c>
      <c r="AB934" t="str">
        <f t="shared" si="104"/>
        <v>PK-PB</v>
      </c>
    </row>
    <row r="935" spans="1:28" x14ac:dyDescent="0.25">
      <c r="A935" s="2">
        <v>45002</v>
      </c>
      <c r="B935" t="s">
        <v>29</v>
      </c>
      <c r="C935" t="s">
        <v>62</v>
      </c>
      <c r="D935" t="s">
        <v>65</v>
      </c>
      <c r="E935" t="s">
        <v>64</v>
      </c>
      <c r="F935" t="s">
        <v>19</v>
      </c>
      <c r="G935" t="s">
        <v>30</v>
      </c>
      <c r="H935">
        <v>6</v>
      </c>
      <c r="I935" s="1">
        <v>1919.03</v>
      </c>
      <c r="J935" s="1">
        <f t="shared" si="100"/>
        <v>10362.762000000001</v>
      </c>
      <c r="K935" s="1">
        <f t="shared" si="101"/>
        <v>1151.4180000000001</v>
      </c>
      <c r="L935" s="1">
        <v>11514.18</v>
      </c>
      <c r="M935" s="1">
        <f t="shared" si="102"/>
        <v>2072.5524</v>
      </c>
      <c r="N935" s="1">
        <f t="shared" si="103"/>
        <v>13586.732400000001</v>
      </c>
      <c r="S935" t="str">
        <f t="shared" si="98"/>
        <v>Punjab</v>
      </c>
      <c r="W935" t="str">
        <f t="shared" si="99"/>
        <v>East</v>
      </c>
      <c r="AB935" t="str">
        <f t="shared" si="104"/>
        <v>PK-PB</v>
      </c>
    </row>
    <row r="936" spans="1:28" x14ac:dyDescent="0.25">
      <c r="A936" s="2">
        <v>45079</v>
      </c>
      <c r="B936" t="s">
        <v>10</v>
      </c>
      <c r="C936" t="s">
        <v>62</v>
      </c>
      <c r="D936" t="s">
        <v>65</v>
      </c>
      <c r="E936" t="s">
        <v>64</v>
      </c>
      <c r="F936" t="s">
        <v>19</v>
      </c>
      <c r="G936" t="s">
        <v>48</v>
      </c>
      <c r="H936">
        <v>9</v>
      </c>
      <c r="I936" s="1">
        <v>662.41</v>
      </c>
      <c r="J936" s="1">
        <f t="shared" si="100"/>
        <v>5365.5209999999997</v>
      </c>
      <c r="K936" s="1">
        <f t="shared" si="101"/>
        <v>596.16899999999998</v>
      </c>
      <c r="L936" s="1">
        <v>5961.69</v>
      </c>
      <c r="M936" s="1">
        <f t="shared" si="102"/>
        <v>1073.1042</v>
      </c>
      <c r="N936" s="1">
        <f t="shared" si="103"/>
        <v>7034.7941999999994</v>
      </c>
      <c r="S936" t="str">
        <f t="shared" si="98"/>
        <v>Punjab</v>
      </c>
      <c r="W936" t="str">
        <f t="shared" si="99"/>
        <v>East</v>
      </c>
      <c r="AB936" t="str">
        <f t="shared" si="104"/>
        <v>PK-PB</v>
      </c>
    </row>
    <row r="937" spans="1:28" x14ac:dyDescent="0.25">
      <c r="A937" s="2">
        <v>44935</v>
      </c>
      <c r="B937" t="s">
        <v>43</v>
      </c>
      <c r="C937" t="s">
        <v>55</v>
      </c>
      <c r="D937" t="s">
        <v>66</v>
      </c>
      <c r="E937" t="s">
        <v>41</v>
      </c>
      <c r="F937" t="s">
        <v>19</v>
      </c>
      <c r="G937" t="s">
        <v>52</v>
      </c>
      <c r="H937">
        <v>18</v>
      </c>
      <c r="I937" s="1">
        <v>970.52</v>
      </c>
      <c r="J937" s="1">
        <f t="shared" si="100"/>
        <v>15722.424000000001</v>
      </c>
      <c r="K937" s="1">
        <f t="shared" si="101"/>
        <v>1746.9360000000001</v>
      </c>
      <c r="L937" s="1">
        <v>17469.36</v>
      </c>
      <c r="M937" s="1">
        <f t="shared" si="102"/>
        <v>3144.4848000000002</v>
      </c>
      <c r="N937" s="1">
        <f t="shared" si="103"/>
        <v>20613.844799999999</v>
      </c>
      <c r="S937" t="str">
        <f t="shared" si="98"/>
        <v>Khyber Pakhtunkhwa</v>
      </c>
      <c r="W937" t="str">
        <f t="shared" si="99"/>
        <v>North</v>
      </c>
      <c r="AB937" t="str">
        <f t="shared" si="104"/>
        <v>Khyber Pakhtunkhwa</v>
      </c>
    </row>
    <row r="938" spans="1:28" x14ac:dyDescent="0.25">
      <c r="A938" s="2">
        <v>45204</v>
      </c>
      <c r="B938" t="s">
        <v>40</v>
      </c>
      <c r="C938" t="s">
        <v>26</v>
      </c>
      <c r="D938" t="s">
        <v>12</v>
      </c>
      <c r="E938" t="s">
        <v>18</v>
      </c>
      <c r="F938" t="s">
        <v>32</v>
      </c>
      <c r="G938" t="s">
        <v>49</v>
      </c>
      <c r="H938">
        <v>2</v>
      </c>
      <c r="I938" s="1">
        <v>4112.53</v>
      </c>
      <c r="J938" s="1">
        <f t="shared" si="100"/>
        <v>7402.5540000000001</v>
      </c>
      <c r="K938" s="1">
        <f t="shared" si="101"/>
        <v>822.50599999999997</v>
      </c>
      <c r="L938" s="1">
        <v>8225.06</v>
      </c>
      <c r="M938" s="1">
        <f t="shared" si="102"/>
        <v>1480.5107999999998</v>
      </c>
      <c r="N938" s="1">
        <f t="shared" si="103"/>
        <v>9705.5707999999995</v>
      </c>
      <c r="S938" t="str">
        <f t="shared" si="98"/>
        <v>Sindh</v>
      </c>
      <c r="W938" t="str">
        <f t="shared" si="99"/>
        <v>South</v>
      </c>
      <c r="AB938" t="str">
        <f t="shared" si="104"/>
        <v>PK-SD</v>
      </c>
    </row>
    <row r="939" spans="1:28" x14ac:dyDescent="0.25">
      <c r="A939" s="2">
        <v>45050</v>
      </c>
      <c r="B939" t="s">
        <v>31</v>
      </c>
      <c r="C939" t="s">
        <v>57</v>
      </c>
      <c r="D939" t="s">
        <v>22</v>
      </c>
      <c r="E939" t="s">
        <v>13</v>
      </c>
      <c r="F939" t="s">
        <v>32</v>
      </c>
      <c r="G939" t="s">
        <v>49</v>
      </c>
      <c r="H939">
        <v>4</v>
      </c>
      <c r="I939" s="1">
        <v>4968.93</v>
      </c>
      <c r="J939" s="1">
        <f t="shared" si="100"/>
        <v>17888.148000000001</v>
      </c>
      <c r="K939" s="1">
        <f t="shared" si="101"/>
        <v>1987.5720000000001</v>
      </c>
      <c r="L939" s="1">
        <v>19875.72</v>
      </c>
      <c r="M939" s="1">
        <f t="shared" si="102"/>
        <v>3577.6296000000002</v>
      </c>
      <c r="N939" s="1">
        <f t="shared" si="103"/>
        <v>23453.349600000001</v>
      </c>
      <c r="S939" t="str">
        <f t="shared" si="98"/>
        <v>Balochistan</v>
      </c>
      <c r="W939" t="str">
        <f t="shared" si="99"/>
        <v>West</v>
      </c>
      <c r="AB939" t="str">
        <f t="shared" si="104"/>
        <v>PK-BA</v>
      </c>
    </row>
    <row r="940" spans="1:28" x14ac:dyDescent="0.25">
      <c r="A940" s="2">
        <v>45281</v>
      </c>
      <c r="B940" t="s">
        <v>34</v>
      </c>
      <c r="C940" t="s">
        <v>54</v>
      </c>
      <c r="D940" t="s">
        <v>12</v>
      </c>
      <c r="E940" t="s">
        <v>18</v>
      </c>
      <c r="F940" t="s">
        <v>23</v>
      </c>
      <c r="G940" t="s">
        <v>39</v>
      </c>
      <c r="H940">
        <v>2</v>
      </c>
      <c r="I940" s="1">
        <v>339.56</v>
      </c>
      <c r="J940" s="1">
        <f t="shared" si="100"/>
        <v>611.20799999999997</v>
      </c>
      <c r="K940" s="1">
        <f t="shared" si="101"/>
        <v>67.912000000000006</v>
      </c>
      <c r="L940" s="1">
        <v>679.12</v>
      </c>
      <c r="M940" s="1">
        <f t="shared" si="102"/>
        <v>122.24159999999999</v>
      </c>
      <c r="N940" s="1">
        <f t="shared" si="103"/>
        <v>801.36159999999995</v>
      </c>
      <c r="S940" t="str">
        <f t="shared" si="98"/>
        <v>Sindh</v>
      </c>
      <c r="W940" t="str">
        <f t="shared" si="99"/>
        <v>South</v>
      </c>
      <c r="AB940" t="str">
        <f t="shared" si="104"/>
        <v>PK-SD</v>
      </c>
    </row>
    <row r="941" spans="1:28" x14ac:dyDescent="0.25">
      <c r="A941" s="2">
        <v>45131</v>
      </c>
      <c r="B941" t="s">
        <v>16</v>
      </c>
      <c r="C941" t="s">
        <v>57</v>
      </c>
      <c r="D941" t="s">
        <v>22</v>
      </c>
      <c r="E941" t="s">
        <v>13</v>
      </c>
      <c r="F941" t="s">
        <v>19</v>
      </c>
      <c r="G941" t="s">
        <v>20</v>
      </c>
      <c r="H941">
        <v>3</v>
      </c>
      <c r="I941" s="1">
        <v>3853.05</v>
      </c>
      <c r="J941" s="1">
        <f t="shared" si="100"/>
        <v>10403.235000000001</v>
      </c>
      <c r="K941" s="1">
        <f t="shared" si="101"/>
        <v>1155.915</v>
      </c>
      <c r="L941" s="1">
        <v>11559.15</v>
      </c>
      <c r="M941" s="1">
        <f t="shared" si="102"/>
        <v>2080.6469999999999</v>
      </c>
      <c r="N941" s="1">
        <f t="shared" si="103"/>
        <v>13639.796999999999</v>
      </c>
      <c r="S941" t="str">
        <f t="shared" si="98"/>
        <v>Balochistan</v>
      </c>
      <c r="W941" t="str">
        <f t="shared" si="99"/>
        <v>West</v>
      </c>
      <c r="AB941" t="str">
        <f t="shared" si="104"/>
        <v>PK-BA</v>
      </c>
    </row>
    <row r="942" spans="1:28" x14ac:dyDescent="0.25">
      <c r="A942" s="2">
        <v>45062</v>
      </c>
      <c r="B942" t="s">
        <v>21</v>
      </c>
      <c r="C942" t="s">
        <v>58</v>
      </c>
      <c r="D942" t="s">
        <v>12</v>
      </c>
      <c r="E942" t="s">
        <v>18</v>
      </c>
      <c r="F942" t="s">
        <v>23</v>
      </c>
      <c r="G942" t="s">
        <v>24</v>
      </c>
      <c r="H942">
        <v>11</v>
      </c>
      <c r="I942" s="1">
        <v>2212.9</v>
      </c>
      <c r="J942" s="1">
        <f t="shared" si="100"/>
        <v>21907.710000000003</v>
      </c>
      <c r="K942" s="1">
        <f t="shared" si="101"/>
        <v>2434.19</v>
      </c>
      <c r="L942" s="1">
        <v>24341.9</v>
      </c>
      <c r="M942" s="1">
        <f t="shared" si="102"/>
        <v>4381.5420000000004</v>
      </c>
      <c r="N942" s="1">
        <f t="shared" si="103"/>
        <v>28723.442000000003</v>
      </c>
      <c r="S942" t="str">
        <f t="shared" si="98"/>
        <v>Sindh</v>
      </c>
      <c r="W942" t="str">
        <f t="shared" si="99"/>
        <v>South</v>
      </c>
      <c r="AB942" t="str">
        <f t="shared" si="104"/>
        <v>PK-SD</v>
      </c>
    </row>
    <row r="943" spans="1:28" x14ac:dyDescent="0.25">
      <c r="A943" s="2">
        <v>45084</v>
      </c>
      <c r="B943" t="s">
        <v>38</v>
      </c>
      <c r="C943" t="s">
        <v>56</v>
      </c>
      <c r="D943" t="s">
        <v>12</v>
      </c>
      <c r="E943" t="s">
        <v>18</v>
      </c>
      <c r="F943" t="s">
        <v>19</v>
      </c>
      <c r="G943" t="s">
        <v>52</v>
      </c>
      <c r="H943">
        <v>18</v>
      </c>
      <c r="I943" s="1">
        <v>509.79</v>
      </c>
      <c r="J943" s="1">
        <f t="shared" si="100"/>
        <v>8258.598</v>
      </c>
      <c r="K943" s="1">
        <f t="shared" si="101"/>
        <v>917.62199999999996</v>
      </c>
      <c r="L943" s="1">
        <v>9176.2199999999993</v>
      </c>
      <c r="M943" s="1">
        <f t="shared" si="102"/>
        <v>1651.7195999999999</v>
      </c>
      <c r="N943" s="1">
        <f t="shared" si="103"/>
        <v>10827.9396</v>
      </c>
      <c r="S943" t="str">
        <f t="shared" si="98"/>
        <v>Sindh</v>
      </c>
      <c r="W943" t="str">
        <f t="shared" si="99"/>
        <v>South</v>
      </c>
      <c r="AB943" t="str">
        <f t="shared" si="104"/>
        <v>PK-SD</v>
      </c>
    </row>
    <row r="944" spans="1:28" x14ac:dyDescent="0.25">
      <c r="A944" s="2">
        <v>45082</v>
      </c>
      <c r="B944" t="s">
        <v>43</v>
      </c>
      <c r="C944" t="s">
        <v>54</v>
      </c>
      <c r="D944" t="s">
        <v>12</v>
      </c>
      <c r="E944" t="s">
        <v>18</v>
      </c>
      <c r="F944" t="s">
        <v>14</v>
      </c>
      <c r="G944" t="s">
        <v>45</v>
      </c>
      <c r="H944">
        <v>16</v>
      </c>
      <c r="I944" s="1">
        <v>2724.77</v>
      </c>
      <c r="J944" s="1">
        <f t="shared" si="100"/>
        <v>39236.688000000002</v>
      </c>
      <c r="K944" s="1">
        <f t="shared" si="101"/>
        <v>4359.6320000000005</v>
      </c>
      <c r="L944" s="1">
        <v>43596.32</v>
      </c>
      <c r="M944" s="1">
        <f t="shared" si="102"/>
        <v>7847.3375999999998</v>
      </c>
      <c r="N944" s="1">
        <f t="shared" si="103"/>
        <v>51443.657599999999</v>
      </c>
      <c r="S944" t="str">
        <f t="shared" si="98"/>
        <v>Sindh</v>
      </c>
      <c r="W944" t="str">
        <f t="shared" si="99"/>
        <v>South</v>
      </c>
      <c r="AB944" t="str">
        <f t="shared" si="104"/>
        <v>PK-SD</v>
      </c>
    </row>
    <row r="945" spans="1:28" x14ac:dyDescent="0.25">
      <c r="A945" s="2">
        <v>45094</v>
      </c>
      <c r="B945" t="s">
        <v>40</v>
      </c>
      <c r="C945" t="s">
        <v>11</v>
      </c>
      <c r="D945" t="s">
        <v>22</v>
      </c>
      <c r="E945" t="s">
        <v>13</v>
      </c>
      <c r="F945" t="s">
        <v>23</v>
      </c>
      <c r="G945" t="s">
        <v>37</v>
      </c>
      <c r="H945">
        <v>18</v>
      </c>
      <c r="I945" s="1">
        <v>4718.22</v>
      </c>
      <c r="J945" s="1">
        <f t="shared" si="100"/>
        <v>76435.164000000004</v>
      </c>
      <c r="K945" s="1">
        <f t="shared" si="101"/>
        <v>8492.7960000000003</v>
      </c>
      <c r="L945" s="1">
        <v>84927.96</v>
      </c>
      <c r="M945" s="1">
        <f t="shared" si="102"/>
        <v>15287.032800000001</v>
      </c>
      <c r="N945" s="1">
        <f t="shared" si="103"/>
        <v>100214.99280000001</v>
      </c>
      <c r="S945" t="str">
        <f t="shared" si="98"/>
        <v>Balochistan</v>
      </c>
      <c r="W945" t="str">
        <f t="shared" si="99"/>
        <v>West</v>
      </c>
      <c r="AB945" t="str">
        <f t="shared" si="104"/>
        <v>PK-BA</v>
      </c>
    </row>
    <row r="946" spans="1:28" x14ac:dyDescent="0.25">
      <c r="A946" s="2">
        <v>44971</v>
      </c>
      <c r="B946" t="s">
        <v>40</v>
      </c>
      <c r="C946" t="s">
        <v>55</v>
      </c>
      <c r="D946" t="s">
        <v>66</v>
      </c>
      <c r="E946" t="s">
        <v>41</v>
      </c>
      <c r="F946" t="s">
        <v>32</v>
      </c>
      <c r="G946" t="s">
        <v>50</v>
      </c>
      <c r="H946">
        <v>9</v>
      </c>
      <c r="I946" s="1">
        <v>4811.76</v>
      </c>
      <c r="J946" s="1">
        <f t="shared" si="100"/>
        <v>38975.256000000001</v>
      </c>
      <c r="K946" s="1">
        <f t="shared" si="101"/>
        <v>4330.5839999999998</v>
      </c>
      <c r="L946" s="1">
        <v>43305.84</v>
      </c>
      <c r="M946" s="1">
        <f t="shared" si="102"/>
        <v>7795.051199999999</v>
      </c>
      <c r="N946" s="1">
        <f t="shared" si="103"/>
        <v>51100.891199999998</v>
      </c>
      <c r="S946" t="str">
        <f t="shared" si="98"/>
        <v>Khyber Pakhtunkhwa</v>
      </c>
      <c r="W946" t="str">
        <f t="shared" si="99"/>
        <v>North</v>
      </c>
      <c r="AB946" t="str">
        <f t="shared" si="104"/>
        <v>Khyber Pakhtunkhwa</v>
      </c>
    </row>
    <row r="947" spans="1:28" x14ac:dyDescent="0.25">
      <c r="A947" s="2">
        <v>44933</v>
      </c>
      <c r="B947" t="s">
        <v>10</v>
      </c>
      <c r="C947" t="s">
        <v>56</v>
      </c>
      <c r="D947" t="s">
        <v>12</v>
      </c>
      <c r="E947" t="s">
        <v>18</v>
      </c>
      <c r="F947" t="s">
        <v>14</v>
      </c>
      <c r="G947" t="s">
        <v>53</v>
      </c>
      <c r="H947">
        <v>8</v>
      </c>
      <c r="I947" s="1">
        <v>4021.86</v>
      </c>
      <c r="J947" s="1">
        <f t="shared" si="100"/>
        <v>28957.392</v>
      </c>
      <c r="K947" s="1">
        <f t="shared" si="101"/>
        <v>3217.4880000000003</v>
      </c>
      <c r="L947" s="1">
        <v>32174.880000000001</v>
      </c>
      <c r="M947" s="1">
        <f t="shared" si="102"/>
        <v>5791.4784</v>
      </c>
      <c r="N947" s="1">
        <f t="shared" si="103"/>
        <v>37966.358399999997</v>
      </c>
      <c r="S947" t="str">
        <f t="shared" si="98"/>
        <v>Sindh</v>
      </c>
      <c r="W947" t="str">
        <f t="shared" si="99"/>
        <v>South</v>
      </c>
      <c r="AB947" t="str">
        <f t="shared" si="104"/>
        <v>PK-SD</v>
      </c>
    </row>
    <row r="948" spans="1:28" x14ac:dyDescent="0.25">
      <c r="A948" s="2">
        <v>44953</v>
      </c>
      <c r="B948" t="s">
        <v>43</v>
      </c>
      <c r="C948" t="s">
        <v>57</v>
      </c>
      <c r="D948" t="s">
        <v>22</v>
      </c>
      <c r="E948" t="s">
        <v>13</v>
      </c>
      <c r="F948" t="s">
        <v>14</v>
      </c>
      <c r="G948" t="s">
        <v>45</v>
      </c>
      <c r="H948">
        <v>16</v>
      </c>
      <c r="I948" s="1">
        <v>4008.72</v>
      </c>
      <c r="J948" s="1">
        <f t="shared" si="100"/>
        <v>57725.567999999999</v>
      </c>
      <c r="K948" s="1">
        <f t="shared" si="101"/>
        <v>6413.9520000000002</v>
      </c>
      <c r="L948" s="1">
        <v>64139.519999999997</v>
      </c>
      <c r="M948" s="1">
        <f t="shared" si="102"/>
        <v>11545.113599999999</v>
      </c>
      <c r="N948" s="1">
        <f t="shared" si="103"/>
        <v>75684.633600000001</v>
      </c>
      <c r="S948" t="str">
        <f t="shared" si="98"/>
        <v>Balochistan</v>
      </c>
      <c r="W948" t="str">
        <f t="shared" si="99"/>
        <v>West</v>
      </c>
      <c r="AB948" t="str">
        <f t="shared" si="104"/>
        <v>PK-BA</v>
      </c>
    </row>
    <row r="949" spans="1:28" x14ac:dyDescent="0.25">
      <c r="A949" s="2">
        <v>45157</v>
      </c>
      <c r="B949" t="s">
        <v>10</v>
      </c>
      <c r="C949" t="s">
        <v>60</v>
      </c>
      <c r="D949" t="s">
        <v>12</v>
      </c>
      <c r="E949" t="s">
        <v>18</v>
      </c>
      <c r="F949" t="s">
        <v>14</v>
      </c>
      <c r="G949" t="s">
        <v>53</v>
      </c>
      <c r="H949">
        <v>14</v>
      </c>
      <c r="I949" s="1">
        <v>4793.38</v>
      </c>
      <c r="J949" s="1">
        <f t="shared" si="100"/>
        <v>60396.588000000011</v>
      </c>
      <c r="K949" s="1">
        <f t="shared" si="101"/>
        <v>6710.7320000000009</v>
      </c>
      <c r="L949" s="1">
        <v>67107.320000000007</v>
      </c>
      <c r="M949" s="1">
        <f t="shared" si="102"/>
        <v>12079.3176</v>
      </c>
      <c r="N949" s="1">
        <f t="shared" si="103"/>
        <v>79186.637600000002</v>
      </c>
      <c r="S949" t="str">
        <f t="shared" si="98"/>
        <v>Sindh</v>
      </c>
      <c r="W949" t="str">
        <f t="shared" si="99"/>
        <v>South</v>
      </c>
      <c r="AB949" t="str">
        <f t="shared" si="104"/>
        <v>PK-SD</v>
      </c>
    </row>
    <row r="950" spans="1:28" x14ac:dyDescent="0.25">
      <c r="A950" s="2">
        <v>44954</v>
      </c>
      <c r="B950" t="s">
        <v>31</v>
      </c>
      <c r="C950" t="s">
        <v>61</v>
      </c>
      <c r="D950" t="s">
        <v>65</v>
      </c>
      <c r="E950" t="s">
        <v>64</v>
      </c>
      <c r="F950" t="s">
        <v>14</v>
      </c>
      <c r="G950" t="s">
        <v>51</v>
      </c>
      <c r="H950">
        <v>14</v>
      </c>
      <c r="I950" s="1">
        <v>4816.3900000000003</v>
      </c>
      <c r="J950" s="1">
        <f t="shared" si="100"/>
        <v>60686.51400000001</v>
      </c>
      <c r="K950" s="1">
        <f t="shared" si="101"/>
        <v>6742.9460000000008</v>
      </c>
      <c r="L950" s="1">
        <v>67429.460000000006</v>
      </c>
      <c r="M950" s="1">
        <f t="shared" si="102"/>
        <v>12137.302800000001</v>
      </c>
      <c r="N950" s="1">
        <f t="shared" si="103"/>
        <v>79566.762800000011</v>
      </c>
      <c r="S950" t="str">
        <f t="shared" si="98"/>
        <v>Punjab</v>
      </c>
      <c r="W950" t="str">
        <f t="shared" si="99"/>
        <v>East</v>
      </c>
      <c r="AB950" t="str">
        <f t="shared" si="104"/>
        <v>PK-PB</v>
      </c>
    </row>
    <row r="951" spans="1:28" x14ac:dyDescent="0.25">
      <c r="A951" s="2">
        <v>45063</v>
      </c>
      <c r="B951" t="s">
        <v>29</v>
      </c>
      <c r="C951" t="s">
        <v>63</v>
      </c>
      <c r="D951" t="s">
        <v>65</v>
      </c>
      <c r="E951" t="s">
        <v>64</v>
      </c>
      <c r="F951" t="s">
        <v>14</v>
      </c>
      <c r="G951" t="s">
        <v>15</v>
      </c>
      <c r="H951">
        <v>6</v>
      </c>
      <c r="I951" s="1">
        <v>4072.51</v>
      </c>
      <c r="J951" s="1">
        <f t="shared" si="100"/>
        <v>21991.554</v>
      </c>
      <c r="K951" s="1">
        <f t="shared" si="101"/>
        <v>2443.5060000000003</v>
      </c>
      <c r="L951" s="1">
        <v>24435.06</v>
      </c>
      <c r="M951" s="1">
        <f t="shared" si="102"/>
        <v>4398.3108000000002</v>
      </c>
      <c r="N951" s="1">
        <f t="shared" si="103"/>
        <v>28833.370800000001</v>
      </c>
      <c r="S951" t="str">
        <f t="shared" si="98"/>
        <v>Punjab</v>
      </c>
      <c r="W951" t="str">
        <f t="shared" si="99"/>
        <v>East</v>
      </c>
      <c r="AB951" t="str">
        <f t="shared" si="104"/>
        <v>PK-PB</v>
      </c>
    </row>
    <row r="952" spans="1:28" x14ac:dyDescent="0.25">
      <c r="A952" s="2">
        <v>44997</v>
      </c>
      <c r="B952" t="s">
        <v>34</v>
      </c>
      <c r="C952" t="s">
        <v>26</v>
      </c>
      <c r="D952" t="s">
        <v>12</v>
      </c>
      <c r="E952" t="s">
        <v>18</v>
      </c>
      <c r="F952" t="s">
        <v>27</v>
      </c>
      <c r="G952" t="s">
        <v>46</v>
      </c>
      <c r="H952">
        <v>2</v>
      </c>
      <c r="I952" s="1">
        <v>1269.81</v>
      </c>
      <c r="J952" s="1">
        <f t="shared" si="100"/>
        <v>2285.6579999999999</v>
      </c>
      <c r="K952" s="1">
        <f t="shared" si="101"/>
        <v>253.96199999999999</v>
      </c>
      <c r="L952" s="1">
        <v>2539.62</v>
      </c>
      <c r="M952" s="1">
        <f t="shared" si="102"/>
        <v>457.13159999999999</v>
      </c>
      <c r="N952" s="1">
        <f t="shared" si="103"/>
        <v>2996.7516000000001</v>
      </c>
      <c r="S952" t="str">
        <f t="shared" si="98"/>
        <v>Sindh</v>
      </c>
      <c r="W952" t="str">
        <f t="shared" si="99"/>
        <v>South</v>
      </c>
      <c r="AB952" t="str">
        <f t="shared" si="104"/>
        <v>PK-SD</v>
      </c>
    </row>
    <row r="953" spans="1:28" x14ac:dyDescent="0.25">
      <c r="A953" s="2">
        <v>44948</v>
      </c>
      <c r="B953" t="s">
        <v>38</v>
      </c>
      <c r="C953" t="s">
        <v>63</v>
      </c>
      <c r="D953" t="s">
        <v>65</v>
      </c>
      <c r="E953" t="s">
        <v>64</v>
      </c>
      <c r="F953" t="s">
        <v>27</v>
      </c>
      <c r="G953" t="s">
        <v>44</v>
      </c>
      <c r="H953">
        <v>13</v>
      </c>
      <c r="I953" s="1">
        <v>3071.93</v>
      </c>
      <c r="J953" s="1">
        <f t="shared" si="100"/>
        <v>35941.580999999998</v>
      </c>
      <c r="K953" s="1">
        <f t="shared" si="101"/>
        <v>3993.509</v>
      </c>
      <c r="L953" s="1">
        <v>39935.089999999997</v>
      </c>
      <c r="M953" s="1">
        <f t="shared" si="102"/>
        <v>7188.3161999999993</v>
      </c>
      <c r="N953" s="1">
        <f t="shared" si="103"/>
        <v>47123.406199999998</v>
      </c>
      <c r="S953" t="str">
        <f t="shared" si="98"/>
        <v>Punjab</v>
      </c>
      <c r="W953" t="str">
        <f t="shared" si="99"/>
        <v>East</v>
      </c>
      <c r="AB953" t="str">
        <f t="shared" si="104"/>
        <v>PK-PB</v>
      </c>
    </row>
    <row r="954" spans="1:28" x14ac:dyDescent="0.25">
      <c r="A954" s="2">
        <v>44999</v>
      </c>
      <c r="B954" t="s">
        <v>25</v>
      </c>
      <c r="C954" t="s">
        <v>35</v>
      </c>
      <c r="D954" t="s">
        <v>65</v>
      </c>
      <c r="E954" t="s">
        <v>64</v>
      </c>
      <c r="F954" t="s">
        <v>23</v>
      </c>
      <c r="G954" t="s">
        <v>24</v>
      </c>
      <c r="H954">
        <v>5</v>
      </c>
      <c r="I954" s="1">
        <v>4686.67</v>
      </c>
      <c r="J954" s="1">
        <f t="shared" si="100"/>
        <v>21090.014999999999</v>
      </c>
      <c r="K954" s="1">
        <f t="shared" si="101"/>
        <v>2343.335</v>
      </c>
      <c r="L954" s="1">
        <v>23433.35</v>
      </c>
      <c r="M954" s="1">
        <f t="shared" si="102"/>
        <v>4218.0029999999997</v>
      </c>
      <c r="N954" s="1">
        <f t="shared" si="103"/>
        <v>27651.352999999999</v>
      </c>
      <c r="S954" t="str">
        <f t="shared" si="98"/>
        <v>Punjab</v>
      </c>
      <c r="W954" t="str">
        <f t="shared" si="99"/>
        <v>East</v>
      </c>
      <c r="AB954" t="str">
        <f t="shared" si="104"/>
        <v>PK-PB</v>
      </c>
    </row>
    <row r="955" spans="1:28" x14ac:dyDescent="0.25">
      <c r="A955" s="2">
        <v>45228</v>
      </c>
      <c r="B955" t="s">
        <v>43</v>
      </c>
      <c r="C955" t="s">
        <v>11</v>
      </c>
      <c r="D955" t="s">
        <v>22</v>
      </c>
      <c r="E955" t="s">
        <v>13</v>
      </c>
      <c r="F955" t="s">
        <v>14</v>
      </c>
      <c r="G955" t="s">
        <v>51</v>
      </c>
      <c r="H955">
        <v>5</v>
      </c>
      <c r="I955" s="1">
        <v>4504.17</v>
      </c>
      <c r="J955" s="1">
        <f t="shared" si="100"/>
        <v>20268.764999999999</v>
      </c>
      <c r="K955" s="1">
        <f t="shared" si="101"/>
        <v>2252.085</v>
      </c>
      <c r="L955" s="1">
        <v>22520.85</v>
      </c>
      <c r="M955" s="1">
        <f t="shared" si="102"/>
        <v>4053.7529999999997</v>
      </c>
      <c r="N955" s="1">
        <f t="shared" si="103"/>
        <v>26574.602999999999</v>
      </c>
      <c r="S955" t="str">
        <f t="shared" si="98"/>
        <v>Balochistan</v>
      </c>
      <c r="W955" t="str">
        <f t="shared" si="99"/>
        <v>West</v>
      </c>
      <c r="AB955" t="str">
        <f t="shared" si="104"/>
        <v>PK-BA</v>
      </c>
    </row>
    <row r="956" spans="1:28" x14ac:dyDescent="0.25">
      <c r="A956" s="2">
        <v>45126</v>
      </c>
      <c r="B956" t="s">
        <v>10</v>
      </c>
      <c r="C956" t="s">
        <v>54</v>
      </c>
      <c r="D956" t="s">
        <v>12</v>
      </c>
      <c r="E956" t="s">
        <v>18</v>
      </c>
      <c r="F956" t="s">
        <v>14</v>
      </c>
      <c r="G956" t="s">
        <v>15</v>
      </c>
      <c r="H956">
        <v>3</v>
      </c>
      <c r="I956" s="1">
        <v>559.70000000000005</v>
      </c>
      <c r="J956" s="1">
        <f t="shared" si="100"/>
        <v>1511.19</v>
      </c>
      <c r="K956" s="1">
        <f t="shared" si="101"/>
        <v>167.91</v>
      </c>
      <c r="L956" s="1">
        <v>1679.1</v>
      </c>
      <c r="M956" s="1">
        <f t="shared" si="102"/>
        <v>302.238</v>
      </c>
      <c r="N956" s="1">
        <f t="shared" si="103"/>
        <v>1981.338</v>
      </c>
      <c r="S956" t="str">
        <f t="shared" si="98"/>
        <v>Sindh</v>
      </c>
      <c r="W956" t="str">
        <f t="shared" si="99"/>
        <v>South</v>
      </c>
      <c r="AB956" t="str">
        <f t="shared" si="104"/>
        <v>PK-SD</v>
      </c>
    </row>
    <row r="957" spans="1:28" x14ac:dyDescent="0.25">
      <c r="A957" s="2">
        <v>45212</v>
      </c>
      <c r="B957" t="s">
        <v>21</v>
      </c>
      <c r="C957" t="s">
        <v>57</v>
      </c>
      <c r="D957" t="s">
        <v>22</v>
      </c>
      <c r="E957" t="s">
        <v>13</v>
      </c>
      <c r="F957" t="s">
        <v>27</v>
      </c>
      <c r="G957" t="s">
        <v>42</v>
      </c>
      <c r="H957">
        <v>17</v>
      </c>
      <c r="I957" s="1">
        <v>1975.71</v>
      </c>
      <c r="J957" s="1">
        <f t="shared" si="100"/>
        <v>30228.363000000001</v>
      </c>
      <c r="K957" s="1">
        <f t="shared" si="101"/>
        <v>3358.7070000000003</v>
      </c>
      <c r="L957" s="1">
        <v>33587.07</v>
      </c>
      <c r="M957" s="1">
        <f t="shared" si="102"/>
        <v>6045.6725999999999</v>
      </c>
      <c r="N957" s="1">
        <f t="shared" si="103"/>
        <v>39632.742599999998</v>
      </c>
      <c r="S957" t="str">
        <f t="shared" si="98"/>
        <v>Balochistan</v>
      </c>
      <c r="W957" t="str">
        <f t="shared" si="99"/>
        <v>West</v>
      </c>
      <c r="AB957" t="str">
        <f t="shared" si="104"/>
        <v>PK-BA</v>
      </c>
    </row>
    <row r="958" spans="1:28" x14ac:dyDescent="0.25">
      <c r="A958" s="2">
        <v>45239</v>
      </c>
      <c r="B958" t="s">
        <v>25</v>
      </c>
      <c r="C958" t="s">
        <v>61</v>
      </c>
      <c r="D958" t="s">
        <v>65</v>
      </c>
      <c r="E958" t="s">
        <v>64</v>
      </c>
      <c r="F958" t="s">
        <v>14</v>
      </c>
      <c r="G958" t="s">
        <v>15</v>
      </c>
      <c r="H958">
        <v>8</v>
      </c>
      <c r="I958" s="1">
        <v>4175.5600000000004</v>
      </c>
      <c r="J958" s="1">
        <f t="shared" si="100"/>
        <v>30064.032000000003</v>
      </c>
      <c r="K958" s="1">
        <f t="shared" si="101"/>
        <v>3340.4480000000003</v>
      </c>
      <c r="L958" s="1">
        <v>33404.480000000003</v>
      </c>
      <c r="M958" s="1">
        <f t="shared" si="102"/>
        <v>6012.8064000000004</v>
      </c>
      <c r="N958" s="1">
        <f t="shared" si="103"/>
        <v>39417.286400000005</v>
      </c>
      <c r="S958" t="str">
        <f t="shared" si="98"/>
        <v>Punjab</v>
      </c>
      <c r="W958" t="str">
        <f t="shared" si="99"/>
        <v>East</v>
      </c>
      <c r="AB958" t="str">
        <f t="shared" si="104"/>
        <v>PK-PB</v>
      </c>
    </row>
    <row r="959" spans="1:28" x14ac:dyDescent="0.25">
      <c r="A959" s="2">
        <v>44956</v>
      </c>
      <c r="B959" t="s">
        <v>10</v>
      </c>
      <c r="C959" t="s">
        <v>57</v>
      </c>
      <c r="D959" t="s">
        <v>22</v>
      </c>
      <c r="E959" t="s">
        <v>13</v>
      </c>
      <c r="F959" t="s">
        <v>32</v>
      </c>
      <c r="G959" t="s">
        <v>49</v>
      </c>
      <c r="H959">
        <v>14</v>
      </c>
      <c r="I959" s="1">
        <v>2535.08</v>
      </c>
      <c r="J959" s="1">
        <f t="shared" si="100"/>
        <v>31942.008000000002</v>
      </c>
      <c r="K959" s="1">
        <f t="shared" si="101"/>
        <v>3549.1120000000005</v>
      </c>
      <c r="L959" s="1">
        <v>35491.120000000003</v>
      </c>
      <c r="M959" s="1">
        <f t="shared" si="102"/>
        <v>6388.4016000000001</v>
      </c>
      <c r="N959" s="1">
        <f t="shared" si="103"/>
        <v>41879.5216</v>
      </c>
      <c r="S959" t="str">
        <f t="shared" si="98"/>
        <v>Balochistan</v>
      </c>
      <c r="W959" t="str">
        <f t="shared" si="99"/>
        <v>West</v>
      </c>
      <c r="AB959" t="str">
        <f t="shared" si="104"/>
        <v>PK-BA</v>
      </c>
    </row>
    <row r="960" spans="1:28" x14ac:dyDescent="0.25">
      <c r="A960" s="2">
        <v>45111</v>
      </c>
      <c r="B960" t="s">
        <v>29</v>
      </c>
      <c r="C960" t="s">
        <v>56</v>
      </c>
      <c r="D960" t="s">
        <v>12</v>
      </c>
      <c r="E960" t="s">
        <v>18</v>
      </c>
      <c r="F960" t="s">
        <v>32</v>
      </c>
      <c r="G960" t="s">
        <v>33</v>
      </c>
      <c r="H960">
        <v>14</v>
      </c>
      <c r="I960" s="1">
        <v>2161.65</v>
      </c>
      <c r="J960" s="1">
        <f t="shared" si="100"/>
        <v>27236.79</v>
      </c>
      <c r="K960" s="1">
        <f t="shared" si="101"/>
        <v>3026.31</v>
      </c>
      <c r="L960" s="1">
        <v>30263.1</v>
      </c>
      <c r="M960" s="1">
        <f t="shared" si="102"/>
        <v>5447.3579999999993</v>
      </c>
      <c r="N960" s="1">
        <f t="shared" si="103"/>
        <v>35710.457999999999</v>
      </c>
      <c r="S960" t="str">
        <f t="shared" si="98"/>
        <v>Sindh</v>
      </c>
      <c r="W960" t="str">
        <f t="shared" si="99"/>
        <v>South</v>
      </c>
      <c r="AB960" t="str">
        <f t="shared" si="104"/>
        <v>PK-SD</v>
      </c>
    </row>
    <row r="961" spans="1:28" x14ac:dyDescent="0.25">
      <c r="A961" s="2">
        <v>45205</v>
      </c>
      <c r="B961" t="s">
        <v>29</v>
      </c>
      <c r="C961" t="s">
        <v>61</v>
      </c>
      <c r="D961" t="s">
        <v>65</v>
      </c>
      <c r="E961" t="s">
        <v>64</v>
      </c>
      <c r="F961" t="s">
        <v>32</v>
      </c>
      <c r="G961" t="s">
        <v>50</v>
      </c>
      <c r="H961">
        <v>11</v>
      </c>
      <c r="I961" s="1">
        <v>3424.45</v>
      </c>
      <c r="J961" s="1">
        <f t="shared" si="100"/>
        <v>33902.055</v>
      </c>
      <c r="K961" s="1">
        <f t="shared" si="101"/>
        <v>3766.895</v>
      </c>
      <c r="L961" s="1">
        <v>37668.949999999997</v>
      </c>
      <c r="M961" s="1">
        <f t="shared" si="102"/>
        <v>6780.4109999999991</v>
      </c>
      <c r="N961" s="1">
        <f t="shared" si="103"/>
        <v>44449.360999999997</v>
      </c>
      <c r="S961" t="str">
        <f t="shared" si="98"/>
        <v>Punjab</v>
      </c>
      <c r="W961" t="str">
        <f t="shared" si="99"/>
        <v>East</v>
      </c>
      <c r="AB961" t="str">
        <f t="shared" si="104"/>
        <v>PK-PB</v>
      </c>
    </row>
    <row r="962" spans="1:28" x14ac:dyDescent="0.25">
      <c r="A962" s="2">
        <v>45162</v>
      </c>
      <c r="B962" t="s">
        <v>34</v>
      </c>
      <c r="C962" t="s">
        <v>63</v>
      </c>
      <c r="D962" t="s">
        <v>65</v>
      </c>
      <c r="E962" t="s">
        <v>64</v>
      </c>
      <c r="F962" t="s">
        <v>27</v>
      </c>
      <c r="G962" t="s">
        <v>28</v>
      </c>
      <c r="H962">
        <v>10</v>
      </c>
      <c r="I962" s="1">
        <v>1167.21</v>
      </c>
      <c r="J962" s="1">
        <f t="shared" si="100"/>
        <v>10504.890000000001</v>
      </c>
      <c r="K962" s="1">
        <f t="shared" si="101"/>
        <v>1167.21</v>
      </c>
      <c r="L962" s="1">
        <v>11672.1</v>
      </c>
      <c r="M962" s="1">
        <f t="shared" si="102"/>
        <v>2100.9780000000001</v>
      </c>
      <c r="N962" s="1">
        <f t="shared" si="103"/>
        <v>13773.078000000001</v>
      </c>
      <c r="S962" t="str">
        <f t="shared" ref="S962:S1001" si="105">VLOOKUP(C962,$Q$2:$R$15,2,FALSE)</f>
        <v>Punjab</v>
      </c>
      <c r="W962" t="str">
        <f t="shared" ref="W962:W1001" si="106">VLOOKUP(D962,$U$2:$V$5,2,FALSE)</f>
        <v>East</v>
      </c>
      <c r="AB962" t="str">
        <f t="shared" si="104"/>
        <v>PK-PB</v>
      </c>
    </row>
    <row r="963" spans="1:28" x14ac:dyDescent="0.25">
      <c r="A963" s="2">
        <v>44983</v>
      </c>
      <c r="B963" t="s">
        <v>38</v>
      </c>
      <c r="C963" t="s">
        <v>63</v>
      </c>
      <c r="D963" t="s">
        <v>65</v>
      </c>
      <c r="E963" t="s">
        <v>64</v>
      </c>
      <c r="F963" t="s">
        <v>19</v>
      </c>
      <c r="G963" t="s">
        <v>20</v>
      </c>
      <c r="H963">
        <v>7</v>
      </c>
      <c r="I963" s="1">
        <v>500.63</v>
      </c>
      <c r="J963" s="1">
        <f t="shared" ref="J963:J1001" si="107">L963*90%</f>
        <v>3153.9690000000001</v>
      </c>
      <c r="K963" s="1">
        <f t="shared" ref="K963:K1001" si="108">L963*10%</f>
        <v>350.44100000000003</v>
      </c>
      <c r="L963" s="1">
        <v>3504.41</v>
      </c>
      <c r="M963" s="1">
        <f t="shared" ref="M963:M1001" si="109">L963*18%</f>
        <v>630.79379999999992</v>
      </c>
      <c r="N963" s="1">
        <f t="shared" ref="N963:N1001" si="110">L963+M963</f>
        <v>4135.2037999999993</v>
      </c>
      <c r="S963" t="str">
        <f t="shared" si="105"/>
        <v>Punjab</v>
      </c>
      <c r="W963" t="str">
        <f t="shared" si="106"/>
        <v>East</v>
      </c>
      <c r="AB963" t="str">
        <f t="shared" ref="AB963:AB1001" si="111">VLOOKUP(D963,$Z$2:$AA$5,2,FALSE)</f>
        <v>PK-PB</v>
      </c>
    </row>
    <row r="964" spans="1:28" x14ac:dyDescent="0.25">
      <c r="A964" s="2">
        <v>45234</v>
      </c>
      <c r="B964" t="s">
        <v>31</v>
      </c>
      <c r="C964" t="s">
        <v>58</v>
      </c>
      <c r="D964" t="s">
        <v>12</v>
      </c>
      <c r="E964" t="s">
        <v>18</v>
      </c>
      <c r="F964" t="s">
        <v>14</v>
      </c>
      <c r="G964" t="s">
        <v>53</v>
      </c>
      <c r="H964">
        <v>10</v>
      </c>
      <c r="I964" s="1">
        <v>1050.8399999999999</v>
      </c>
      <c r="J964" s="1">
        <f t="shared" si="107"/>
        <v>9457.56</v>
      </c>
      <c r="K964" s="1">
        <f t="shared" si="108"/>
        <v>1050.8399999999999</v>
      </c>
      <c r="L964" s="1">
        <v>10508.4</v>
      </c>
      <c r="M964" s="1">
        <f t="shared" si="109"/>
        <v>1891.5119999999999</v>
      </c>
      <c r="N964" s="1">
        <f t="shared" si="110"/>
        <v>12399.912</v>
      </c>
      <c r="S964" t="str">
        <f t="shared" si="105"/>
        <v>Sindh</v>
      </c>
      <c r="W964" t="str">
        <f t="shared" si="106"/>
        <v>South</v>
      </c>
      <c r="AB964" t="str">
        <f t="shared" si="111"/>
        <v>PK-SD</v>
      </c>
    </row>
    <row r="965" spans="1:28" x14ac:dyDescent="0.25">
      <c r="A965" s="2">
        <v>45168</v>
      </c>
      <c r="B965" t="s">
        <v>43</v>
      </c>
      <c r="C965" t="s">
        <v>62</v>
      </c>
      <c r="D965" t="s">
        <v>65</v>
      </c>
      <c r="E965" t="s">
        <v>64</v>
      </c>
      <c r="F965" t="s">
        <v>14</v>
      </c>
      <c r="G965" t="s">
        <v>51</v>
      </c>
      <c r="H965">
        <v>14</v>
      </c>
      <c r="I965" s="1">
        <v>3726.3</v>
      </c>
      <c r="J965" s="1">
        <f t="shared" si="107"/>
        <v>46951.38</v>
      </c>
      <c r="K965" s="1">
        <f t="shared" si="108"/>
        <v>5216.82</v>
      </c>
      <c r="L965" s="1">
        <v>52168.2</v>
      </c>
      <c r="M965" s="1">
        <f t="shared" si="109"/>
        <v>9390.2759999999998</v>
      </c>
      <c r="N965" s="1">
        <f t="shared" si="110"/>
        <v>61558.475999999995</v>
      </c>
      <c r="S965" t="str">
        <f t="shared" si="105"/>
        <v>Punjab</v>
      </c>
      <c r="W965" t="str">
        <f t="shared" si="106"/>
        <v>East</v>
      </c>
      <c r="AB965" t="str">
        <f t="shared" si="111"/>
        <v>PK-PB</v>
      </c>
    </row>
    <row r="966" spans="1:28" x14ac:dyDescent="0.25">
      <c r="A966" s="2">
        <v>45214</v>
      </c>
      <c r="B966" t="s">
        <v>25</v>
      </c>
      <c r="C966" t="s">
        <v>56</v>
      </c>
      <c r="D966" t="s">
        <v>12</v>
      </c>
      <c r="E966" t="s">
        <v>18</v>
      </c>
      <c r="F966" t="s">
        <v>23</v>
      </c>
      <c r="G966" t="s">
        <v>37</v>
      </c>
      <c r="H966">
        <v>10</v>
      </c>
      <c r="I966" s="1">
        <v>651.83000000000004</v>
      </c>
      <c r="J966" s="1">
        <f t="shared" si="107"/>
        <v>5866.47</v>
      </c>
      <c r="K966" s="1">
        <f t="shared" si="108"/>
        <v>651.83000000000004</v>
      </c>
      <c r="L966" s="1">
        <v>6518.3</v>
      </c>
      <c r="M966" s="1">
        <f t="shared" si="109"/>
        <v>1173.2940000000001</v>
      </c>
      <c r="N966" s="1">
        <f t="shared" si="110"/>
        <v>7691.5940000000001</v>
      </c>
      <c r="S966" t="str">
        <f t="shared" si="105"/>
        <v>Sindh</v>
      </c>
      <c r="W966" t="str">
        <f t="shared" si="106"/>
        <v>South</v>
      </c>
      <c r="AB966" t="str">
        <f t="shared" si="111"/>
        <v>PK-SD</v>
      </c>
    </row>
    <row r="967" spans="1:28" x14ac:dyDescent="0.25">
      <c r="A967" s="2">
        <v>45105</v>
      </c>
      <c r="B967" t="s">
        <v>34</v>
      </c>
      <c r="C967" t="s">
        <v>59</v>
      </c>
      <c r="D967" t="s">
        <v>66</v>
      </c>
      <c r="E967" t="s">
        <v>41</v>
      </c>
      <c r="F967" t="s">
        <v>14</v>
      </c>
      <c r="G967" t="s">
        <v>53</v>
      </c>
      <c r="H967">
        <v>4</v>
      </c>
      <c r="I967" s="1">
        <v>1077.23</v>
      </c>
      <c r="J967" s="1">
        <f t="shared" si="107"/>
        <v>3878.0280000000002</v>
      </c>
      <c r="K967" s="1">
        <f t="shared" si="108"/>
        <v>430.89200000000005</v>
      </c>
      <c r="L967" s="1">
        <v>4308.92</v>
      </c>
      <c r="M967" s="1">
        <f t="shared" si="109"/>
        <v>775.60559999999998</v>
      </c>
      <c r="N967" s="1">
        <f t="shared" si="110"/>
        <v>5084.5255999999999</v>
      </c>
      <c r="S967" t="str">
        <f t="shared" si="105"/>
        <v>Khyber Pakhtunkhwa</v>
      </c>
      <c r="W967" t="str">
        <f t="shared" si="106"/>
        <v>North</v>
      </c>
      <c r="AB967" t="str">
        <f t="shared" si="111"/>
        <v>Khyber Pakhtunkhwa</v>
      </c>
    </row>
    <row r="968" spans="1:28" x14ac:dyDescent="0.25">
      <c r="A968" s="2">
        <v>45090</v>
      </c>
      <c r="B968" t="s">
        <v>43</v>
      </c>
      <c r="C968" t="s">
        <v>58</v>
      </c>
      <c r="D968" t="s">
        <v>12</v>
      </c>
      <c r="E968" t="s">
        <v>18</v>
      </c>
      <c r="F968" t="s">
        <v>32</v>
      </c>
      <c r="G968" t="s">
        <v>36</v>
      </c>
      <c r="H968">
        <v>15</v>
      </c>
      <c r="I968" s="1">
        <v>4554.78</v>
      </c>
      <c r="J968" s="1">
        <f t="shared" si="107"/>
        <v>61489.53</v>
      </c>
      <c r="K968" s="1">
        <f t="shared" si="108"/>
        <v>6832.17</v>
      </c>
      <c r="L968" s="1">
        <v>68321.7</v>
      </c>
      <c r="M968" s="1">
        <f t="shared" si="109"/>
        <v>12297.905999999999</v>
      </c>
      <c r="N968" s="1">
        <f t="shared" si="110"/>
        <v>80619.606</v>
      </c>
      <c r="S968" t="str">
        <f t="shared" si="105"/>
        <v>Sindh</v>
      </c>
      <c r="W968" t="str">
        <f t="shared" si="106"/>
        <v>South</v>
      </c>
      <c r="AB968" t="str">
        <f t="shared" si="111"/>
        <v>PK-SD</v>
      </c>
    </row>
    <row r="969" spans="1:28" x14ac:dyDescent="0.25">
      <c r="A969" s="2">
        <v>45072</v>
      </c>
      <c r="B969" t="s">
        <v>29</v>
      </c>
      <c r="C969" t="s">
        <v>60</v>
      </c>
      <c r="D969" t="s">
        <v>12</v>
      </c>
      <c r="E969" t="s">
        <v>18</v>
      </c>
      <c r="F969" t="s">
        <v>19</v>
      </c>
      <c r="G969" t="s">
        <v>48</v>
      </c>
      <c r="H969">
        <v>19</v>
      </c>
      <c r="I969" s="1">
        <v>1003.13</v>
      </c>
      <c r="J969" s="1">
        <f t="shared" si="107"/>
        <v>17153.523000000001</v>
      </c>
      <c r="K969" s="1">
        <f t="shared" si="108"/>
        <v>1905.9470000000001</v>
      </c>
      <c r="L969" s="1">
        <v>19059.47</v>
      </c>
      <c r="M969" s="1">
        <f t="shared" si="109"/>
        <v>3430.7046</v>
      </c>
      <c r="N969" s="1">
        <f t="shared" si="110"/>
        <v>22490.174600000002</v>
      </c>
      <c r="S969" t="str">
        <f t="shared" si="105"/>
        <v>Sindh</v>
      </c>
      <c r="W969" t="str">
        <f t="shared" si="106"/>
        <v>South</v>
      </c>
      <c r="AB969" t="str">
        <f t="shared" si="111"/>
        <v>PK-SD</v>
      </c>
    </row>
    <row r="970" spans="1:28" x14ac:dyDescent="0.25">
      <c r="A970" s="2">
        <v>45133</v>
      </c>
      <c r="B970" t="s">
        <v>10</v>
      </c>
      <c r="C970" t="s">
        <v>62</v>
      </c>
      <c r="D970" t="s">
        <v>65</v>
      </c>
      <c r="E970" t="s">
        <v>64</v>
      </c>
      <c r="F970" t="s">
        <v>27</v>
      </c>
      <c r="G970" t="s">
        <v>42</v>
      </c>
      <c r="H970">
        <v>7</v>
      </c>
      <c r="I970" s="1">
        <v>3168.77</v>
      </c>
      <c r="J970" s="1">
        <f t="shared" si="107"/>
        <v>19963.251</v>
      </c>
      <c r="K970" s="1">
        <f t="shared" si="108"/>
        <v>2218.1390000000001</v>
      </c>
      <c r="L970" s="1">
        <v>22181.39</v>
      </c>
      <c r="M970" s="1">
        <f t="shared" si="109"/>
        <v>3992.6501999999996</v>
      </c>
      <c r="N970" s="1">
        <f t="shared" si="110"/>
        <v>26174.040199999999</v>
      </c>
      <c r="S970" t="str">
        <f t="shared" si="105"/>
        <v>Punjab</v>
      </c>
      <c r="W970" t="str">
        <f t="shared" si="106"/>
        <v>East</v>
      </c>
      <c r="AB970" t="str">
        <f t="shared" si="111"/>
        <v>PK-PB</v>
      </c>
    </row>
    <row r="971" spans="1:28" x14ac:dyDescent="0.25">
      <c r="A971" s="2">
        <v>44977</v>
      </c>
      <c r="B971" t="s">
        <v>29</v>
      </c>
      <c r="C971" t="s">
        <v>58</v>
      </c>
      <c r="D971" t="s">
        <v>12</v>
      </c>
      <c r="E971" t="s">
        <v>18</v>
      </c>
      <c r="F971" t="s">
        <v>19</v>
      </c>
      <c r="G971" t="s">
        <v>30</v>
      </c>
      <c r="H971">
        <v>19</v>
      </c>
      <c r="I971" s="1">
        <v>4528.95</v>
      </c>
      <c r="J971" s="1">
        <f t="shared" si="107"/>
        <v>77445.044999999998</v>
      </c>
      <c r="K971" s="1">
        <f t="shared" si="108"/>
        <v>8605.005000000001</v>
      </c>
      <c r="L971" s="1">
        <v>86050.05</v>
      </c>
      <c r="M971" s="1">
        <f t="shared" si="109"/>
        <v>15489.009</v>
      </c>
      <c r="N971" s="1">
        <f t="shared" si="110"/>
        <v>101539.05900000001</v>
      </c>
      <c r="S971" t="str">
        <f t="shared" si="105"/>
        <v>Sindh</v>
      </c>
      <c r="W971" t="str">
        <f t="shared" si="106"/>
        <v>South</v>
      </c>
      <c r="AB971" t="str">
        <f t="shared" si="111"/>
        <v>PK-SD</v>
      </c>
    </row>
    <row r="972" spans="1:28" x14ac:dyDescent="0.25">
      <c r="A972" s="2">
        <v>45164</v>
      </c>
      <c r="B972" t="s">
        <v>21</v>
      </c>
      <c r="C972" t="s">
        <v>62</v>
      </c>
      <c r="D972" t="s">
        <v>65</v>
      </c>
      <c r="E972" t="s">
        <v>64</v>
      </c>
      <c r="F972" t="s">
        <v>32</v>
      </c>
      <c r="G972" t="s">
        <v>36</v>
      </c>
      <c r="H972">
        <v>5</v>
      </c>
      <c r="I972" s="1">
        <v>2480.84</v>
      </c>
      <c r="J972" s="1">
        <f t="shared" si="107"/>
        <v>11163.78</v>
      </c>
      <c r="K972" s="1">
        <f t="shared" si="108"/>
        <v>1240.42</v>
      </c>
      <c r="L972" s="1">
        <v>12404.2</v>
      </c>
      <c r="M972" s="1">
        <f t="shared" si="109"/>
        <v>2232.7559999999999</v>
      </c>
      <c r="N972" s="1">
        <f t="shared" si="110"/>
        <v>14636.956</v>
      </c>
      <c r="S972" t="str">
        <f t="shared" si="105"/>
        <v>Punjab</v>
      </c>
      <c r="W972" t="str">
        <f t="shared" si="106"/>
        <v>East</v>
      </c>
      <c r="AB972" t="str">
        <f t="shared" si="111"/>
        <v>PK-PB</v>
      </c>
    </row>
    <row r="973" spans="1:28" x14ac:dyDescent="0.25">
      <c r="A973" s="2">
        <v>45051</v>
      </c>
      <c r="B973" t="s">
        <v>38</v>
      </c>
      <c r="C973" t="s">
        <v>26</v>
      </c>
      <c r="D973" t="s">
        <v>12</v>
      </c>
      <c r="E973" t="s">
        <v>18</v>
      </c>
      <c r="F973" t="s">
        <v>23</v>
      </c>
      <c r="G973" t="s">
        <v>47</v>
      </c>
      <c r="H973">
        <v>11</v>
      </c>
      <c r="I973" s="1">
        <v>4740.79</v>
      </c>
      <c r="J973" s="1">
        <f t="shared" si="107"/>
        <v>46933.821000000004</v>
      </c>
      <c r="K973" s="1">
        <f t="shared" si="108"/>
        <v>5214.8690000000006</v>
      </c>
      <c r="L973" s="1">
        <v>52148.69</v>
      </c>
      <c r="M973" s="1">
        <f t="shared" si="109"/>
        <v>9386.7641999999996</v>
      </c>
      <c r="N973" s="1">
        <f t="shared" si="110"/>
        <v>61535.4542</v>
      </c>
      <c r="S973" t="str">
        <f t="shared" si="105"/>
        <v>Sindh</v>
      </c>
      <c r="W973" t="str">
        <f t="shared" si="106"/>
        <v>South</v>
      </c>
      <c r="AB973" t="str">
        <f t="shared" si="111"/>
        <v>PK-SD</v>
      </c>
    </row>
    <row r="974" spans="1:28" x14ac:dyDescent="0.25">
      <c r="A974" s="2">
        <v>45184</v>
      </c>
      <c r="B974" t="s">
        <v>31</v>
      </c>
      <c r="C974" t="s">
        <v>26</v>
      </c>
      <c r="D974" t="s">
        <v>12</v>
      </c>
      <c r="E974" t="s">
        <v>18</v>
      </c>
      <c r="F974" t="s">
        <v>27</v>
      </c>
      <c r="G974" t="s">
        <v>28</v>
      </c>
      <c r="H974">
        <v>16</v>
      </c>
      <c r="I974" s="1">
        <v>2687.77</v>
      </c>
      <c r="J974" s="1">
        <f t="shared" si="107"/>
        <v>38703.887999999999</v>
      </c>
      <c r="K974" s="1">
        <f t="shared" si="108"/>
        <v>4300.4319999999998</v>
      </c>
      <c r="L974" s="1">
        <v>43004.32</v>
      </c>
      <c r="M974" s="1">
        <f t="shared" si="109"/>
        <v>7740.7775999999994</v>
      </c>
      <c r="N974" s="1">
        <f t="shared" si="110"/>
        <v>50745.097600000001</v>
      </c>
      <c r="S974" t="str">
        <f t="shared" si="105"/>
        <v>Sindh</v>
      </c>
      <c r="W974" t="str">
        <f t="shared" si="106"/>
        <v>South</v>
      </c>
      <c r="AB974" t="str">
        <f t="shared" si="111"/>
        <v>PK-SD</v>
      </c>
    </row>
    <row r="975" spans="1:28" x14ac:dyDescent="0.25">
      <c r="A975" s="2">
        <v>45142</v>
      </c>
      <c r="B975" t="s">
        <v>29</v>
      </c>
      <c r="C975" t="s">
        <v>55</v>
      </c>
      <c r="D975" t="s">
        <v>66</v>
      </c>
      <c r="E975" t="s">
        <v>41</v>
      </c>
      <c r="F975" t="s">
        <v>27</v>
      </c>
      <c r="G975" t="s">
        <v>42</v>
      </c>
      <c r="H975">
        <v>15</v>
      </c>
      <c r="I975" s="1">
        <v>2472.8000000000002</v>
      </c>
      <c r="J975" s="1">
        <f t="shared" si="107"/>
        <v>33382.800000000003</v>
      </c>
      <c r="K975" s="1">
        <f t="shared" si="108"/>
        <v>3709.2000000000003</v>
      </c>
      <c r="L975" s="1">
        <v>37092</v>
      </c>
      <c r="M975" s="1">
        <f t="shared" si="109"/>
        <v>6676.5599999999995</v>
      </c>
      <c r="N975" s="1">
        <f t="shared" si="110"/>
        <v>43768.56</v>
      </c>
      <c r="S975" t="str">
        <f t="shared" si="105"/>
        <v>Khyber Pakhtunkhwa</v>
      </c>
      <c r="W975" t="str">
        <f t="shared" si="106"/>
        <v>North</v>
      </c>
      <c r="AB975" t="str">
        <f t="shared" si="111"/>
        <v>Khyber Pakhtunkhwa</v>
      </c>
    </row>
    <row r="976" spans="1:28" x14ac:dyDescent="0.25">
      <c r="A976" s="2">
        <v>44972</v>
      </c>
      <c r="B976" t="s">
        <v>43</v>
      </c>
      <c r="C976" t="s">
        <v>26</v>
      </c>
      <c r="D976" t="s">
        <v>12</v>
      </c>
      <c r="E976" t="s">
        <v>18</v>
      </c>
      <c r="F976" t="s">
        <v>14</v>
      </c>
      <c r="G976" t="s">
        <v>15</v>
      </c>
      <c r="H976">
        <v>3</v>
      </c>
      <c r="I976" s="1">
        <v>3814.12</v>
      </c>
      <c r="J976" s="1">
        <f t="shared" si="107"/>
        <v>10298.124000000002</v>
      </c>
      <c r="K976" s="1">
        <f t="shared" si="108"/>
        <v>1144.2360000000001</v>
      </c>
      <c r="L976" s="1">
        <v>11442.36</v>
      </c>
      <c r="M976" s="1">
        <f t="shared" si="109"/>
        <v>2059.6248000000001</v>
      </c>
      <c r="N976" s="1">
        <f t="shared" si="110"/>
        <v>13501.9848</v>
      </c>
      <c r="S976" t="str">
        <f t="shared" si="105"/>
        <v>Sindh</v>
      </c>
      <c r="W976" t="str">
        <f t="shared" si="106"/>
        <v>South</v>
      </c>
      <c r="AB976" t="str">
        <f t="shared" si="111"/>
        <v>PK-SD</v>
      </c>
    </row>
    <row r="977" spans="1:28" x14ac:dyDescent="0.25">
      <c r="A977" s="2">
        <v>44978</v>
      </c>
      <c r="B977" t="s">
        <v>43</v>
      </c>
      <c r="C977" t="s">
        <v>35</v>
      </c>
      <c r="D977" t="s">
        <v>65</v>
      </c>
      <c r="E977" t="s">
        <v>64</v>
      </c>
      <c r="F977" t="s">
        <v>14</v>
      </c>
      <c r="G977" t="s">
        <v>45</v>
      </c>
      <c r="H977">
        <v>1</v>
      </c>
      <c r="I977" s="1">
        <v>2333.7800000000002</v>
      </c>
      <c r="J977" s="1">
        <f t="shared" si="107"/>
        <v>2100.402</v>
      </c>
      <c r="K977" s="1">
        <f t="shared" si="108"/>
        <v>233.37800000000004</v>
      </c>
      <c r="L977" s="1">
        <v>2333.7800000000002</v>
      </c>
      <c r="M977" s="1">
        <f t="shared" si="109"/>
        <v>420.0804</v>
      </c>
      <c r="N977" s="1">
        <f t="shared" si="110"/>
        <v>2753.8604</v>
      </c>
      <c r="S977" t="str">
        <f t="shared" si="105"/>
        <v>Punjab</v>
      </c>
      <c r="W977" t="str">
        <f t="shared" si="106"/>
        <v>East</v>
      </c>
      <c r="AB977" t="str">
        <f t="shared" si="111"/>
        <v>PK-PB</v>
      </c>
    </row>
    <row r="978" spans="1:28" x14ac:dyDescent="0.25">
      <c r="A978" s="2">
        <v>44953</v>
      </c>
      <c r="B978" t="s">
        <v>25</v>
      </c>
      <c r="C978" t="s">
        <v>11</v>
      </c>
      <c r="D978" t="s">
        <v>22</v>
      </c>
      <c r="E978" t="s">
        <v>13</v>
      </c>
      <c r="F978" t="s">
        <v>27</v>
      </c>
      <c r="G978" t="s">
        <v>28</v>
      </c>
      <c r="H978">
        <v>10</v>
      </c>
      <c r="I978" s="1">
        <v>2628.56</v>
      </c>
      <c r="J978" s="1">
        <f t="shared" si="107"/>
        <v>23657.040000000001</v>
      </c>
      <c r="K978" s="1">
        <f t="shared" si="108"/>
        <v>2628.56</v>
      </c>
      <c r="L978" s="1">
        <v>26285.599999999999</v>
      </c>
      <c r="M978" s="1">
        <f t="shared" si="109"/>
        <v>4731.4079999999994</v>
      </c>
      <c r="N978" s="1">
        <f t="shared" si="110"/>
        <v>31017.007999999998</v>
      </c>
      <c r="S978" t="str">
        <f t="shared" si="105"/>
        <v>Balochistan</v>
      </c>
      <c r="W978" t="str">
        <f t="shared" si="106"/>
        <v>West</v>
      </c>
      <c r="AB978" t="str">
        <f t="shared" si="111"/>
        <v>PK-BA</v>
      </c>
    </row>
    <row r="979" spans="1:28" x14ac:dyDescent="0.25">
      <c r="A979" s="2">
        <v>45199</v>
      </c>
      <c r="B979" t="s">
        <v>21</v>
      </c>
      <c r="C979" t="s">
        <v>55</v>
      </c>
      <c r="D979" t="s">
        <v>66</v>
      </c>
      <c r="E979" t="s">
        <v>41</v>
      </c>
      <c r="F979" t="s">
        <v>32</v>
      </c>
      <c r="G979" t="s">
        <v>33</v>
      </c>
      <c r="H979">
        <v>16</v>
      </c>
      <c r="I979" s="1">
        <v>284.02</v>
      </c>
      <c r="J979" s="1">
        <f t="shared" si="107"/>
        <v>4089.8879999999999</v>
      </c>
      <c r="K979" s="1">
        <f t="shared" si="108"/>
        <v>454.43200000000002</v>
      </c>
      <c r="L979" s="1">
        <v>4544.32</v>
      </c>
      <c r="M979" s="1">
        <f t="shared" si="109"/>
        <v>817.97759999999994</v>
      </c>
      <c r="N979" s="1">
        <f t="shared" si="110"/>
        <v>5362.2975999999999</v>
      </c>
      <c r="S979" t="str">
        <f t="shared" si="105"/>
        <v>Khyber Pakhtunkhwa</v>
      </c>
      <c r="W979" t="str">
        <f t="shared" si="106"/>
        <v>North</v>
      </c>
      <c r="AB979" t="str">
        <f t="shared" si="111"/>
        <v>Khyber Pakhtunkhwa</v>
      </c>
    </row>
    <row r="980" spans="1:28" x14ac:dyDescent="0.25">
      <c r="A980" s="2">
        <v>45167</v>
      </c>
      <c r="B980" t="s">
        <v>34</v>
      </c>
      <c r="C980" t="s">
        <v>54</v>
      </c>
      <c r="D980" t="s">
        <v>12</v>
      </c>
      <c r="E980" t="s">
        <v>18</v>
      </c>
      <c r="F980" t="s">
        <v>27</v>
      </c>
      <c r="G980" t="s">
        <v>42</v>
      </c>
      <c r="H980">
        <v>8</v>
      </c>
      <c r="I980" s="1">
        <v>1011.67</v>
      </c>
      <c r="J980" s="1">
        <f t="shared" si="107"/>
        <v>7284.0239999999994</v>
      </c>
      <c r="K980" s="1">
        <f t="shared" si="108"/>
        <v>809.33600000000001</v>
      </c>
      <c r="L980" s="1">
        <v>8093.36</v>
      </c>
      <c r="M980" s="1">
        <f t="shared" si="109"/>
        <v>1456.8047999999999</v>
      </c>
      <c r="N980" s="1">
        <f t="shared" si="110"/>
        <v>9550.1647999999986</v>
      </c>
      <c r="S980" t="str">
        <f t="shared" si="105"/>
        <v>Sindh</v>
      </c>
      <c r="W980" t="str">
        <f t="shared" si="106"/>
        <v>South</v>
      </c>
      <c r="AB980" t="str">
        <f t="shared" si="111"/>
        <v>PK-SD</v>
      </c>
    </row>
    <row r="981" spans="1:28" x14ac:dyDescent="0.25">
      <c r="A981" s="2">
        <v>44993</v>
      </c>
      <c r="B981" t="s">
        <v>38</v>
      </c>
      <c r="C981" t="s">
        <v>61</v>
      </c>
      <c r="D981" t="s">
        <v>65</v>
      </c>
      <c r="E981" t="s">
        <v>64</v>
      </c>
      <c r="F981" t="s">
        <v>27</v>
      </c>
      <c r="G981" t="s">
        <v>44</v>
      </c>
      <c r="H981">
        <v>6</v>
      </c>
      <c r="I981" s="1">
        <v>3918.07</v>
      </c>
      <c r="J981" s="1">
        <f t="shared" si="107"/>
        <v>21157.577999999998</v>
      </c>
      <c r="K981" s="1">
        <f t="shared" si="108"/>
        <v>2350.8420000000001</v>
      </c>
      <c r="L981" s="1">
        <v>23508.42</v>
      </c>
      <c r="M981" s="1">
        <f t="shared" si="109"/>
        <v>4231.5155999999997</v>
      </c>
      <c r="N981" s="1">
        <f t="shared" si="110"/>
        <v>27739.935599999997</v>
      </c>
      <c r="S981" t="str">
        <f t="shared" si="105"/>
        <v>Punjab</v>
      </c>
      <c r="W981" t="str">
        <f t="shared" si="106"/>
        <v>East</v>
      </c>
      <c r="AB981" t="str">
        <f t="shared" si="111"/>
        <v>PK-PB</v>
      </c>
    </row>
    <row r="982" spans="1:28" x14ac:dyDescent="0.25">
      <c r="A982" s="2">
        <v>45253</v>
      </c>
      <c r="B982" t="s">
        <v>34</v>
      </c>
      <c r="C982" t="s">
        <v>57</v>
      </c>
      <c r="D982" t="s">
        <v>22</v>
      </c>
      <c r="E982" t="s">
        <v>13</v>
      </c>
      <c r="F982" t="s">
        <v>23</v>
      </c>
      <c r="G982" t="s">
        <v>39</v>
      </c>
      <c r="H982">
        <v>2</v>
      </c>
      <c r="I982" s="1">
        <v>3313.63</v>
      </c>
      <c r="J982" s="1">
        <f t="shared" si="107"/>
        <v>5964.5340000000006</v>
      </c>
      <c r="K982" s="1">
        <f t="shared" si="108"/>
        <v>662.72600000000011</v>
      </c>
      <c r="L982" s="1">
        <v>6627.26</v>
      </c>
      <c r="M982" s="1">
        <f t="shared" si="109"/>
        <v>1192.9068</v>
      </c>
      <c r="N982" s="1">
        <f t="shared" si="110"/>
        <v>7820.1668</v>
      </c>
      <c r="S982" t="str">
        <f t="shared" si="105"/>
        <v>Balochistan</v>
      </c>
      <c r="W982" t="str">
        <f t="shared" si="106"/>
        <v>West</v>
      </c>
      <c r="AB982" t="str">
        <f t="shared" si="111"/>
        <v>PK-BA</v>
      </c>
    </row>
    <row r="983" spans="1:28" x14ac:dyDescent="0.25">
      <c r="A983" s="2">
        <v>44980</v>
      </c>
      <c r="B983" t="s">
        <v>40</v>
      </c>
      <c r="C983" t="s">
        <v>17</v>
      </c>
      <c r="D983" t="s">
        <v>65</v>
      </c>
      <c r="E983" t="s">
        <v>64</v>
      </c>
      <c r="F983" t="s">
        <v>23</v>
      </c>
      <c r="G983" t="s">
        <v>37</v>
      </c>
      <c r="H983">
        <v>18</v>
      </c>
      <c r="I983" s="1">
        <v>809.24</v>
      </c>
      <c r="J983" s="1">
        <f t="shared" si="107"/>
        <v>13109.688</v>
      </c>
      <c r="K983" s="1">
        <f t="shared" si="108"/>
        <v>1456.6320000000001</v>
      </c>
      <c r="L983" s="1">
        <v>14566.32</v>
      </c>
      <c r="M983" s="1">
        <f t="shared" si="109"/>
        <v>2621.9375999999997</v>
      </c>
      <c r="N983" s="1">
        <f t="shared" si="110"/>
        <v>17188.257600000001</v>
      </c>
      <c r="S983" t="str">
        <f t="shared" si="105"/>
        <v>Punjab</v>
      </c>
      <c r="W983" t="str">
        <f t="shared" si="106"/>
        <v>East</v>
      </c>
      <c r="AB983" t="str">
        <f t="shared" si="111"/>
        <v>PK-PB</v>
      </c>
    </row>
    <row r="984" spans="1:28" x14ac:dyDescent="0.25">
      <c r="A984" s="2">
        <v>45034</v>
      </c>
      <c r="B984" t="s">
        <v>21</v>
      </c>
      <c r="C984" t="s">
        <v>58</v>
      </c>
      <c r="D984" t="s">
        <v>12</v>
      </c>
      <c r="E984" t="s">
        <v>18</v>
      </c>
      <c r="F984" t="s">
        <v>27</v>
      </c>
      <c r="G984" t="s">
        <v>46</v>
      </c>
      <c r="H984">
        <v>2</v>
      </c>
      <c r="I984" s="1">
        <v>2338.61</v>
      </c>
      <c r="J984" s="1">
        <f t="shared" si="107"/>
        <v>4209.4980000000005</v>
      </c>
      <c r="K984" s="1">
        <f t="shared" si="108"/>
        <v>467.72200000000004</v>
      </c>
      <c r="L984" s="1">
        <v>4677.22</v>
      </c>
      <c r="M984" s="1">
        <f t="shared" si="109"/>
        <v>841.89959999999996</v>
      </c>
      <c r="N984" s="1">
        <f t="shared" si="110"/>
        <v>5519.1196</v>
      </c>
      <c r="S984" t="str">
        <f t="shared" si="105"/>
        <v>Sindh</v>
      </c>
      <c r="W984" t="str">
        <f t="shared" si="106"/>
        <v>South</v>
      </c>
      <c r="AB984" t="str">
        <f t="shared" si="111"/>
        <v>PK-SD</v>
      </c>
    </row>
    <row r="985" spans="1:28" x14ac:dyDescent="0.25">
      <c r="A985" s="2">
        <v>45010</v>
      </c>
      <c r="B985" t="s">
        <v>43</v>
      </c>
      <c r="C985" t="s">
        <v>62</v>
      </c>
      <c r="D985" t="s">
        <v>65</v>
      </c>
      <c r="E985" t="s">
        <v>64</v>
      </c>
      <c r="F985" t="s">
        <v>27</v>
      </c>
      <c r="G985" t="s">
        <v>46</v>
      </c>
      <c r="H985">
        <v>18</v>
      </c>
      <c r="I985" s="1">
        <v>2773.93</v>
      </c>
      <c r="J985" s="1">
        <f t="shared" si="107"/>
        <v>44937.665999999997</v>
      </c>
      <c r="K985" s="1">
        <f t="shared" si="108"/>
        <v>4993.0740000000005</v>
      </c>
      <c r="L985" s="1">
        <v>49930.74</v>
      </c>
      <c r="M985" s="1">
        <f t="shared" si="109"/>
        <v>8987.5331999999999</v>
      </c>
      <c r="N985" s="1">
        <f t="shared" si="110"/>
        <v>58918.273199999996</v>
      </c>
      <c r="S985" t="str">
        <f t="shared" si="105"/>
        <v>Punjab</v>
      </c>
      <c r="W985" t="str">
        <f t="shared" si="106"/>
        <v>East</v>
      </c>
      <c r="AB985" t="str">
        <f t="shared" si="111"/>
        <v>PK-PB</v>
      </c>
    </row>
    <row r="986" spans="1:28" x14ac:dyDescent="0.25">
      <c r="A986" s="2">
        <v>44994</v>
      </c>
      <c r="B986" t="s">
        <v>25</v>
      </c>
      <c r="C986" t="s">
        <v>59</v>
      </c>
      <c r="D986" t="s">
        <v>66</v>
      </c>
      <c r="E986" t="s">
        <v>41</v>
      </c>
      <c r="F986" t="s">
        <v>27</v>
      </c>
      <c r="G986" t="s">
        <v>44</v>
      </c>
      <c r="H986">
        <v>15</v>
      </c>
      <c r="I986" s="1">
        <v>2540.06</v>
      </c>
      <c r="J986" s="1">
        <f t="shared" si="107"/>
        <v>34290.810000000005</v>
      </c>
      <c r="K986" s="1">
        <f t="shared" si="108"/>
        <v>3810.09</v>
      </c>
      <c r="L986" s="1">
        <v>38100.9</v>
      </c>
      <c r="M986" s="1">
        <f t="shared" si="109"/>
        <v>6858.1620000000003</v>
      </c>
      <c r="N986" s="1">
        <f t="shared" si="110"/>
        <v>44959.062000000005</v>
      </c>
      <c r="S986" t="str">
        <f t="shared" si="105"/>
        <v>Khyber Pakhtunkhwa</v>
      </c>
      <c r="W986" t="str">
        <f t="shared" si="106"/>
        <v>North</v>
      </c>
      <c r="AB986" t="str">
        <f t="shared" si="111"/>
        <v>Khyber Pakhtunkhwa</v>
      </c>
    </row>
    <row r="987" spans="1:28" x14ac:dyDescent="0.25">
      <c r="A987" s="2">
        <v>45072</v>
      </c>
      <c r="B987" t="s">
        <v>10</v>
      </c>
      <c r="C987" t="s">
        <v>61</v>
      </c>
      <c r="D987" t="s">
        <v>65</v>
      </c>
      <c r="E987" t="s">
        <v>64</v>
      </c>
      <c r="F987" t="s">
        <v>23</v>
      </c>
      <c r="G987" t="s">
        <v>24</v>
      </c>
      <c r="H987">
        <v>4</v>
      </c>
      <c r="I987" s="1">
        <v>1178.71</v>
      </c>
      <c r="J987" s="1">
        <f t="shared" si="107"/>
        <v>4243.3560000000007</v>
      </c>
      <c r="K987" s="1">
        <f t="shared" si="108"/>
        <v>471.48400000000004</v>
      </c>
      <c r="L987" s="1">
        <v>4714.84</v>
      </c>
      <c r="M987" s="1">
        <f t="shared" si="109"/>
        <v>848.6712</v>
      </c>
      <c r="N987" s="1">
        <f t="shared" si="110"/>
        <v>5563.5111999999999</v>
      </c>
      <c r="S987" t="str">
        <f t="shared" si="105"/>
        <v>Punjab</v>
      </c>
      <c r="W987" t="str">
        <f t="shared" si="106"/>
        <v>East</v>
      </c>
      <c r="AB987" t="str">
        <f t="shared" si="111"/>
        <v>PK-PB</v>
      </c>
    </row>
    <row r="988" spans="1:28" x14ac:dyDescent="0.25">
      <c r="A988" s="2">
        <v>45282</v>
      </c>
      <c r="B988" t="s">
        <v>38</v>
      </c>
      <c r="C988" t="s">
        <v>17</v>
      </c>
      <c r="D988" t="s">
        <v>65</v>
      </c>
      <c r="E988" t="s">
        <v>64</v>
      </c>
      <c r="F988" t="s">
        <v>27</v>
      </c>
      <c r="G988" t="s">
        <v>28</v>
      </c>
      <c r="H988">
        <v>4</v>
      </c>
      <c r="I988" s="1">
        <v>4724.33</v>
      </c>
      <c r="J988" s="1">
        <f t="shared" si="107"/>
        <v>17007.588</v>
      </c>
      <c r="K988" s="1">
        <f t="shared" si="108"/>
        <v>1889.732</v>
      </c>
      <c r="L988" s="1">
        <v>18897.32</v>
      </c>
      <c r="M988" s="1">
        <f t="shared" si="109"/>
        <v>3401.5175999999997</v>
      </c>
      <c r="N988" s="1">
        <f t="shared" si="110"/>
        <v>22298.837599999999</v>
      </c>
      <c r="S988" t="str">
        <f t="shared" si="105"/>
        <v>Punjab</v>
      </c>
      <c r="W988" t="str">
        <f t="shared" si="106"/>
        <v>East</v>
      </c>
      <c r="AB988" t="str">
        <f t="shared" si="111"/>
        <v>PK-PB</v>
      </c>
    </row>
    <row r="989" spans="1:28" x14ac:dyDescent="0.25">
      <c r="A989" s="2">
        <v>45159</v>
      </c>
      <c r="B989" t="s">
        <v>38</v>
      </c>
      <c r="C989" t="s">
        <v>26</v>
      </c>
      <c r="D989" t="s">
        <v>12</v>
      </c>
      <c r="E989" t="s">
        <v>18</v>
      </c>
      <c r="F989" t="s">
        <v>32</v>
      </c>
      <c r="G989" t="s">
        <v>49</v>
      </c>
      <c r="H989">
        <v>7</v>
      </c>
      <c r="I989" s="1">
        <v>3481</v>
      </c>
      <c r="J989" s="1">
        <f t="shared" si="107"/>
        <v>21930.3</v>
      </c>
      <c r="K989" s="1">
        <f t="shared" si="108"/>
        <v>2436.7000000000003</v>
      </c>
      <c r="L989" s="1">
        <v>24367</v>
      </c>
      <c r="M989" s="1">
        <f t="shared" si="109"/>
        <v>4386.0599999999995</v>
      </c>
      <c r="N989" s="1">
        <f t="shared" si="110"/>
        <v>28753.059999999998</v>
      </c>
      <c r="S989" t="str">
        <f t="shared" si="105"/>
        <v>Sindh</v>
      </c>
      <c r="W989" t="str">
        <f t="shared" si="106"/>
        <v>South</v>
      </c>
      <c r="AB989" t="str">
        <f t="shared" si="111"/>
        <v>PK-SD</v>
      </c>
    </row>
    <row r="990" spans="1:28" x14ac:dyDescent="0.25">
      <c r="A990" s="2">
        <v>45215</v>
      </c>
      <c r="B990" t="s">
        <v>43</v>
      </c>
      <c r="C990" t="s">
        <v>35</v>
      </c>
      <c r="D990" t="s">
        <v>65</v>
      </c>
      <c r="E990" t="s">
        <v>64</v>
      </c>
      <c r="F990" t="s">
        <v>14</v>
      </c>
      <c r="G990" t="s">
        <v>15</v>
      </c>
      <c r="H990">
        <v>16</v>
      </c>
      <c r="I990" s="1">
        <v>4608.55</v>
      </c>
      <c r="J990" s="1">
        <f t="shared" si="107"/>
        <v>66363.12000000001</v>
      </c>
      <c r="K990" s="1">
        <f t="shared" si="108"/>
        <v>7373.68</v>
      </c>
      <c r="L990" s="1">
        <v>73736.800000000003</v>
      </c>
      <c r="M990" s="1">
        <f t="shared" si="109"/>
        <v>13272.624</v>
      </c>
      <c r="N990" s="1">
        <f t="shared" si="110"/>
        <v>87009.423999999999</v>
      </c>
      <c r="S990" t="str">
        <f t="shared" si="105"/>
        <v>Punjab</v>
      </c>
      <c r="W990" t="str">
        <f t="shared" si="106"/>
        <v>East</v>
      </c>
      <c r="AB990" t="str">
        <f t="shared" si="111"/>
        <v>PK-PB</v>
      </c>
    </row>
    <row r="991" spans="1:28" x14ac:dyDescent="0.25">
      <c r="A991" s="2">
        <v>45227</v>
      </c>
      <c r="B991" t="s">
        <v>40</v>
      </c>
      <c r="C991" t="s">
        <v>59</v>
      </c>
      <c r="D991" t="s">
        <v>66</v>
      </c>
      <c r="E991" t="s">
        <v>41</v>
      </c>
      <c r="F991" t="s">
        <v>32</v>
      </c>
      <c r="G991" t="s">
        <v>50</v>
      </c>
      <c r="H991">
        <v>10</v>
      </c>
      <c r="I991" s="1">
        <v>2336.88</v>
      </c>
      <c r="J991" s="1">
        <f t="shared" si="107"/>
        <v>21031.919999999998</v>
      </c>
      <c r="K991" s="1">
        <f t="shared" si="108"/>
        <v>2336.88</v>
      </c>
      <c r="L991" s="1">
        <v>23368.799999999999</v>
      </c>
      <c r="M991" s="1">
        <f t="shared" si="109"/>
        <v>4206.384</v>
      </c>
      <c r="N991" s="1">
        <f t="shared" si="110"/>
        <v>27575.184000000001</v>
      </c>
      <c r="S991" t="str">
        <f t="shared" si="105"/>
        <v>Khyber Pakhtunkhwa</v>
      </c>
      <c r="W991" t="str">
        <f t="shared" si="106"/>
        <v>North</v>
      </c>
      <c r="AB991" t="str">
        <f t="shared" si="111"/>
        <v>Khyber Pakhtunkhwa</v>
      </c>
    </row>
    <row r="992" spans="1:28" x14ac:dyDescent="0.25">
      <c r="A992" s="2">
        <v>45254</v>
      </c>
      <c r="B992" t="s">
        <v>10</v>
      </c>
      <c r="C992" t="s">
        <v>56</v>
      </c>
      <c r="D992" t="s">
        <v>12</v>
      </c>
      <c r="E992" t="s">
        <v>18</v>
      </c>
      <c r="F992" t="s">
        <v>19</v>
      </c>
      <c r="G992" t="s">
        <v>52</v>
      </c>
      <c r="H992">
        <v>1</v>
      </c>
      <c r="I992" s="1">
        <v>2993.55</v>
      </c>
      <c r="J992" s="1">
        <f t="shared" si="107"/>
        <v>2694.1950000000002</v>
      </c>
      <c r="K992" s="1">
        <f t="shared" si="108"/>
        <v>299.35500000000002</v>
      </c>
      <c r="L992" s="1">
        <v>2993.55</v>
      </c>
      <c r="M992" s="1">
        <f t="shared" si="109"/>
        <v>538.83900000000006</v>
      </c>
      <c r="N992" s="1">
        <f t="shared" si="110"/>
        <v>3532.3890000000001</v>
      </c>
      <c r="S992" t="str">
        <f t="shared" si="105"/>
        <v>Sindh</v>
      </c>
      <c r="W992" t="str">
        <f t="shared" si="106"/>
        <v>South</v>
      </c>
      <c r="AB992" t="str">
        <f t="shared" si="111"/>
        <v>PK-SD</v>
      </c>
    </row>
    <row r="993" spans="1:28" x14ac:dyDescent="0.25">
      <c r="A993" s="2">
        <v>45216</v>
      </c>
      <c r="B993" t="s">
        <v>34</v>
      </c>
      <c r="C993" t="s">
        <v>55</v>
      </c>
      <c r="D993" t="s">
        <v>66</v>
      </c>
      <c r="E993" t="s">
        <v>41</v>
      </c>
      <c r="F993" t="s">
        <v>23</v>
      </c>
      <c r="G993" t="s">
        <v>39</v>
      </c>
      <c r="H993">
        <v>19</v>
      </c>
      <c r="I993" s="1">
        <v>4080.77</v>
      </c>
      <c r="J993" s="1">
        <f t="shared" si="107"/>
        <v>69781.167000000001</v>
      </c>
      <c r="K993" s="1">
        <f t="shared" si="108"/>
        <v>7753.4630000000006</v>
      </c>
      <c r="L993" s="1">
        <v>77534.63</v>
      </c>
      <c r="M993" s="1">
        <f t="shared" si="109"/>
        <v>13956.233400000001</v>
      </c>
      <c r="N993" s="1">
        <f t="shared" si="110"/>
        <v>91490.863400000002</v>
      </c>
      <c r="S993" t="str">
        <f t="shared" si="105"/>
        <v>Khyber Pakhtunkhwa</v>
      </c>
      <c r="W993" t="str">
        <f t="shared" si="106"/>
        <v>North</v>
      </c>
      <c r="AB993" t="str">
        <f t="shared" si="111"/>
        <v>Khyber Pakhtunkhwa</v>
      </c>
    </row>
    <row r="994" spans="1:28" x14ac:dyDescent="0.25">
      <c r="A994" s="2">
        <v>45151</v>
      </c>
      <c r="B994" t="s">
        <v>16</v>
      </c>
      <c r="C994" t="s">
        <v>62</v>
      </c>
      <c r="D994" t="s">
        <v>65</v>
      </c>
      <c r="E994" t="s">
        <v>64</v>
      </c>
      <c r="F994" t="s">
        <v>23</v>
      </c>
      <c r="G994" t="s">
        <v>47</v>
      </c>
      <c r="H994">
        <v>4</v>
      </c>
      <c r="I994" s="1">
        <v>3659.61</v>
      </c>
      <c r="J994" s="1">
        <f t="shared" si="107"/>
        <v>13174.596000000001</v>
      </c>
      <c r="K994" s="1">
        <f t="shared" si="108"/>
        <v>1463.8440000000001</v>
      </c>
      <c r="L994" s="1">
        <v>14638.44</v>
      </c>
      <c r="M994" s="1">
        <f t="shared" si="109"/>
        <v>2634.9191999999998</v>
      </c>
      <c r="N994" s="1">
        <f t="shared" si="110"/>
        <v>17273.359199999999</v>
      </c>
      <c r="S994" t="str">
        <f t="shared" si="105"/>
        <v>Punjab</v>
      </c>
      <c r="W994" t="str">
        <f t="shared" si="106"/>
        <v>East</v>
      </c>
      <c r="AB994" t="str">
        <f t="shared" si="111"/>
        <v>PK-PB</v>
      </c>
    </row>
    <row r="995" spans="1:28" x14ac:dyDescent="0.25">
      <c r="A995" s="2">
        <v>44964</v>
      </c>
      <c r="B995" t="s">
        <v>29</v>
      </c>
      <c r="C995" t="s">
        <v>26</v>
      </c>
      <c r="D995" t="s">
        <v>12</v>
      </c>
      <c r="E995" t="s">
        <v>18</v>
      </c>
      <c r="F995" t="s">
        <v>23</v>
      </c>
      <c r="G995" t="s">
        <v>47</v>
      </c>
      <c r="H995">
        <v>12</v>
      </c>
      <c r="I995" s="1">
        <v>1819.46</v>
      </c>
      <c r="J995" s="1">
        <f t="shared" si="107"/>
        <v>19650.168000000001</v>
      </c>
      <c r="K995" s="1">
        <f t="shared" si="108"/>
        <v>2183.3520000000003</v>
      </c>
      <c r="L995" s="1">
        <v>21833.52</v>
      </c>
      <c r="M995" s="1">
        <f t="shared" si="109"/>
        <v>3930.0335999999998</v>
      </c>
      <c r="N995" s="1">
        <f t="shared" si="110"/>
        <v>25763.553599999999</v>
      </c>
      <c r="S995" t="str">
        <f t="shared" si="105"/>
        <v>Sindh</v>
      </c>
      <c r="W995" t="str">
        <f t="shared" si="106"/>
        <v>South</v>
      </c>
      <c r="AB995" t="str">
        <f t="shared" si="111"/>
        <v>PK-SD</v>
      </c>
    </row>
    <row r="996" spans="1:28" x14ac:dyDescent="0.25">
      <c r="A996" s="2">
        <v>45197</v>
      </c>
      <c r="B996" t="s">
        <v>25</v>
      </c>
      <c r="C996" t="s">
        <v>56</v>
      </c>
      <c r="D996" t="s">
        <v>12</v>
      </c>
      <c r="E996" t="s">
        <v>18</v>
      </c>
      <c r="F996" t="s">
        <v>32</v>
      </c>
      <c r="G996" t="s">
        <v>49</v>
      </c>
      <c r="H996">
        <v>13</v>
      </c>
      <c r="I996" s="1">
        <v>3520.87</v>
      </c>
      <c r="J996" s="1">
        <f t="shared" si="107"/>
        <v>41194.178999999996</v>
      </c>
      <c r="K996" s="1">
        <f t="shared" si="108"/>
        <v>4577.1310000000003</v>
      </c>
      <c r="L996" s="1">
        <v>45771.31</v>
      </c>
      <c r="M996" s="1">
        <f t="shared" si="109"/>
        <v>8238.8357999999989</v>
      </c>
      <c r="N996" s="1">
        <f t="shared" si="110"/>
        <v>54010.145799999998</v>
      </c>
      <c r="S996" t="str">
        <f t="shared" si="105"/>
        <v>Sindh</v>
      </c>
      <c r="W996" t="str">
        <f t="shared" si="106"/>
        <v>South</v>
      </c>
      <c r="AB996" t="str">
        <f t="shared" si="111"/>
        <v>PK-SD</v>
      </c>
    </row>
    <row r="997" spans="1:28" x14ac:dyDescent="0.25">
      <c r="A997" s="2">
        <v>44979</v>
      </c>
      <c r="B997" t="s">
        <v>34</v>
      </c>
      <c r="C997" t="s">
        <v>17</v>
      </c>
      <c r="D997" t="s">
        <v>65</v>
      </c>
      <c r="E997" t="s">
        <v>64</v>
      </c>
      <c r="F997" t="s">
        <v>27</v>
      </c>
      <c r="G997" t="s">
        <v>46</v>
      </c>
      <c r="H997">
        <v>14</v>
      </c>
      <c r="I997" s="1">
        <v>4532.88</v>
      </c>
      <c r="J997" s="1">
        <f t="shared" si="107"/>
        <v>57114.288</v>
      </c>
      <c r="K997" s="1">
        <f t="shared" si="108"/>
        <v>6346.0320000000002</v>
      </c>
      <c r="L997" s="1">
        <v>63460.32</v>
      </c>
      <c r="M997" s="1">
        <f t="shared" si="109"/>
        <v>11422.857599999999</v>
      </c>
      <c r="N997" s="1">
        <f t="shared" si="110"/>
        <v>74883.177599999995</v>
      </c>
      <c r="S997" t="str">
        <f t="shared" si="105"/>
        <v>Punjab</v>
      </c>
      <c r="W997" t="str">
        <f t="shared" si="106"/>
        <v>East</v>
      </c>
      <c r="AB997" t="str">
        <f t="shared" si="111"/>
        <v>PK-PB</v>
      </c>
    </row>
    <row r="998" spans="1:28" x14ac:dyDescent="0.25">
      <c r="A998" s="2">
        <v>44952</v>
      </c>
      <c r="B998" t="s">
        <v>29</v>
      </c>
      <c r="C998" t="s">
        <v>11</v>
      </c>
      <c r="D998" t="s">
        <v>22</v>
      </c>
      <c r="E998" t="s">
        <v>13</v>
      </c>
      <c r="F998" t="s">
        <v>14</v>
      </c>
      <c r="G998" t="s">
        <v>45</v>
      </c>
      <c r="H998">
        <v>6</v>
      </c>
      <c r="I998" s="1">
        <v>1709.52</v>
      </c>
      <c r="J998" s="1">
        <f t="shared" si="107"/>
        <v>9231.4080000000013</v>
      </c>
      <c r="K998" s="1">
        <f t="shared" si="108"/>
        <v>1025.7120000000002</v>
      </c>
      <c r="L998" s="1">
        <v>10257.120000000001</v>
      </c>
      <c r="M998" s="1">
        <f t="shared" si="109"/>
        <v>1846.2816</v>
      </c>
      <c r="N998" s="1">
        <f t="shared" si="110"/>
        <v>12103.401600000001</v>
      </c>
      <c r="S998" t="str">
        <f t="shared" si="105"/>
        <v>Balochistan</v>
      </c>
      <c r="W998" t="str">
        <f t="shared" si="106"/>
        <v>West</v>
      </c>
      <c r="AB998" t="str">
        <f t="shared" si="111"/>
        <v>PK-BA</v>
      </c>
    </row>
    <row r="999" spans="1:28" x14ac:dyDescent="0.25">
      <c r="A999" s="2">
        <v>45259</v>
      </c>
      <c r="B999" t="s">
        <v>43</v>
      </c>
      <c r="C999" t="s">
        <v>54</v>
      </c>
      <c r="D999" t="s">
        <v>12</v>
      </c>
      <c r="E999" t="s">
        <v>18</v>
      </c>
      <c r="F999" t="s">
        <v>23</v>
      </c>
      <c r="G999" t="s">
        <v>24</v>
      </c>
      <c r="H999">
        <v>10</v>
      </c>
      <c r="I999" s="1">
        <v>3803.22</v>
      </c>
      <c r="J999" s="1">
        <f t="shared" si="107"/>
        <v>34228.979999999996</v>
      </c>
      <c r="K999" s="1">
        <f t="shared" si="108"/>
        <v>3803.22</v>
      </c>
      <c r="L999" s="1">
        <v>38032.199999999997</v>
      </c>
      <c r="M999" s="1">
        <f t="shared" si="109"/>
        <v>6845.7959999999994</v>
      </c>
      <c r="N999" s="1">
        <f t="shared" si="110"/>
        <v>44877.995999999999</v>
      </c>
      <c r="S999" t="str">
        <f t="shared" si="105"/>
        <v>Sindh</v>
      </c>
      <c r="W999" t="str">
        <f t="shared" si="106"/>
        <v>South</v>
      </c>
      <c r="AB999" t="str">
        <f t="shared" si="111"/>
        <v>PK-SD</v>
      </c>
    </row>
    <row r="1000" spans="1:28" x14ac:dyDescent="0.25">
      <c r="A1000" s="2">
        <v>44928</v>
      </c>
      <c r="B1000" t="s">
        <v>40</v>
      </c>
      <c r="C1000" t="s">
        <v>54</v>
      </c>
      <c r="D1000" t="s">
        <v>12</v>
      </c>
      <c r="E1000" t="s">
        <v>18</v>
      </c>
      <c r="F1000" t="s">
        <v>19</v>
      </c>
      <c r="G1000" t="s">
        <v>52</v>
      </c>
      <c r="H1000">
        <v>15</v>
      </c>
      <c r="I1000" s="1">
        <v>1853</v>
      </c>
      <c r="J1000" s="1">
        <f t="shared" si="107"/>
        <v>25015.5</v>
      </c>
      <c r="K1000" s="1">
        <f t="shared" si="108"/>
        <v>2779.5</v>
      </c>
      <c r="L1000" s="1">
        <v>27795</v>
      </c>
      <c r="M1000" s="1">
        <f t="shared" si="109"/>
        <v>5003.0999999999995</v>
      </c>
      <c r="N1000" s="1">
        <f t="shared" si="110"/>
        <v>32798.1</v>
      </c>
      <c r="S1000" t="str">
        <f t="shared" si="105"/>
        <v>Sindh</v>
      </c>
      <c r="W1000" t="str">
        <f t="shared" si="106"/>
        <v>South</v>
      </c>
      <c r="AB1000" t="str">
        <f t="shared" si="111"/>
        <v>PK-SD</v>
      </c>
    </row>
    <row r="1001" spans="1:28" x14ac:dyDescent="0.25">
      <c r="A1001" s="2">
        <v>44961</v>
      </c>
      <c r="B1001" t="s">
        <v>43</v>
      </c>
      <c r="C1001" t="s">
        <v>26</v>
      </c>
      <c r="D1001" t="s">
        <v>12</v>
      </c>
      <c r="E1001" t="s">
        <v>18</v>
      </c>
      <c r="F1001" t="s">
        <v>23</v>
      </c>
      <c r="G1001" t="s">
        <v>37</v>
      </c>
      <c r="H1001">
        <v>2</v>
      </c>
      <c r="I1001" s="1">
        <v>2623.43</v>
      </c>
      <c r="J1001" s="1">
        <f t="shared" si="107"/>
        <v>4722.174</v>
      </c>
      <c r="K1001" s="1">
        <f t="shared" si="108"/>
        <v>524.68600000000004</v>
      </c>
      <c r="L1001" s="1">
        <v>5246.86</v>
      </c>
      <c r="M1001" s="1">
        <f t="shared" si="109"/>
        <v>944.43479999999988</v>
      </c>
      <c r="N1001" s="1">
        <f t="shared" si="110"/>
        <v>6191.2947999999997</v>
      </c>
      <c r="S1001" t="str">
        <f t="shared" si="105"/>
        <v>Sindh</v>
      </c>
      <c r="W1001" t="str">
        <f t="shared" si="106"/>
        <v>South</v>
      </c>
      <c r="AB1001" t="str">
        <f t="shared" si="111"/>
        <v>PK-SD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46C4F-EBE3-48BE-972F-FE17ED1FAB81}">
  <dimension ref="A1:U1001"/>
  <sheetViews>
    <sheetView zoomScaleNormal="100" workbookViewId="0"/>
  </sheetViews>
  <sheetFormatPr defaultRowHeight="15" x14ac:dyDescent="0.25"/>
  <cols>
    <col min="1" max="1" width="11.85546875" style="2" bestFit="1" customWidth="1"/>
    <col min="2" max="2" width="18.140625" bestFit="1" customWidth="1"/>
    <col min="3" max="3" width="11.5703125" bestFit="1" customWidth="1"/>
    <col min="4" max="4" width="20" bestFit="1" customWidth="1"/>
    <col min="5" max="5" width="9.5703125" bestFit="1" customWidth="1"/>
    <col min="6" max="6" width="19" bestFit="1" customWidth="1"/>
    <col min="7" max="7" width="16.140625" bestFit="1" customWidth="1"/>
    <col min="8" max="8" width="11" bestFit="1" customWidth="1"/>
    <col min="9" max="9" width="15.5703125" bestFit="1" customWidth="1"/>
    <col min="10" max="10" width="16.28515625" bestFit="1" customWidth="1"/>
    <col min="11" max="11" width="14" bestFit="1" customWidth="1"/>
    <col min="12" max="12" width="15.7109375" bestFit="1" customWidth="1"/>
    <col min="13" max="13" width="11.28515625" bestFit="1" customWidth="1"/>
    <col min="14" max="14" width="24.7109375" bestFit="1" customWidth="1"/>
    <col min="16" max="16" width="28.7109375" bestFit="1" customWidth="1"/>
    <col min="19" max="19" width="20" bestFit="1" customWidth="1"/>
    <col min="20" max="20" width="28.7109375" bestFit="1" customWidth="1"/>
  </cols>
  <sheetData>
    <row r="1" spans="1:21" x14ac:dyDescent="0.25">
      <c r="A1" s="2" t="s">
        <v>0</v>
      </c>
      <c r="B1" t="s">
        <v>1</v>
      </c>
      <c r="C1" t="s">
        <v>2</v>
      </c>
      <c r="D1" t="s">
        <v>3</v>
      </c>
      <c r="E1" t="s">
        <v>4</v>
      </c>
      <c r="F1" t="s">
        <v>5</v>
      </c>
      <c r="G1" t="s">
        <v>6</v>
      </c>
      <c r="H1" t="s">
        <v>7</v>
      </c>
      <c r="I1" t="s">
        <v>8</v>
      </c>
      <c r="J1" t="s">
        <v>67</v>
      </c>
      <c r="K1" t="s">
        <v>68</v>
      </c>
      <c r="L1" t="s">
        <v>9</v>
      </c>
      <c r="M1" t="s">
        <v>69</v>
      </c>
      <c r="N1" t="s">
        <v>70</v>
      </c>
      <c r="O1" t="s">
        <v>88</v>
      </c>
      <c r="P1" t="s">
        <v>103</v>
      </c>
      <c r="S1" t="s">
        <v>3</v>
      </c>
      <c r="T1" t="s">
        <v>94</v>
      </c>
    </row>
    <row r="2" spans="1:21" x14ac:dyDescent="0.25">
      <c r="A2" s="2">
        <v>45102</v>
      </c>
      <c r="B2" t="s">
        <v>10</v>
      </c>
      <c r="C2" t="s">
        <v>11</v>
      </c>
      <c r="D2" t="s">
        <v>22</v>
      </c>
      <c r="E2" t="s">
        <v>13</v>
      </c>
      <c r="F2" t="s">
        <v>14</v>
      </c>
      <c r="G2" t="s">
        <v>15</v>
      </c>
      <c r="H2">
        <v>6</v>
      </c>
      <c r="I2">
        <v>4016.25</v>
      </c>
      <c r="J2">
        <v>21687.75</v>
      </c>
      <c r="K2">
        <v>2409.75</v>
      </c>
      <c r="L2">
        <v>24097.5</v>
      </c>
      <c r="M2">
        <v>4337.55</v>
      </c>
      <c r="N2">
        <v>28435.05</v>
      </c>
      <c r="O2" t="s">
        <v>87</v>
      </c>
      <c r="P2" t="s">
        <v>99</v>
      </c>
      <c r="S2" t="s">
        <v>22</v>
      </c>
      <c r="T2" t="s">
        <v>95</v>
      </c>
      <c r="U2" t="str">
        <f>VLOOKUP(Table2[[#This Row],[State]],S2:T5,2,FALSE)</f>
        <v>Balochistan, Pakistan</v>
      </c>
    </row>
    <row r="3" spans="1:21" x14ac:dyDescent="0.25">
      <c r="A3" s="2">
        <v>45231</v>
      </c>
      <c r="B3" t="s">
        <v>16</v>
      </c>
      <c r="C3" t="s">
        <v>17</v>
      </c>
      <c r="D3" t="s">
        <v>65</v>
      </c>
      <c r="E3" t="s">
        <v>64</v>
      </c>
      <c r="F3" t="s">
        <v>19</v>
      </c>
      <c r="G3" t="s">
        <v>20</v>
      </c>
      <c r="H3">
        <v>9</v>
      </c>
      <c r="I3">
        <v>3801.85</v>
      </c>
      <c r="J3">
        <v>30794.985000000001</v>
      </c>
      <c r="K3">
        <v>3421.6650000000004</v>
      </c>
      <c r="L3">
        <v>34216.65</v>
      </c>
      <c r="M3">
        <v>6158.9970000000003</v>
      </c>
      <c r="N3">
        <v>40375.647000000004</v>
      </c>
      <c r="O3" t="s">
        <v>87</v>
      </c>
      <c r="P3" t="s">
        <v>101</v>
      </c>
      <c r="S3" t="s">
        <v>65</v>
      </c>
      <c r="T3" t="s">
        <v>96</v>
      </c>
    </row>
    <row r="4" spans="1:21" x14ac:dyDescent="0.25">
      <c r="A4" s="2">
        <v>45022</v>
      </c>
      <c r="B4" t="s">
        <v>21</v>
      </c>
      <c r="C4" t="s">
        <v>54</v>
      </c>
      <c r="D4" t="s">
        <v>12</v>
      </c>
      <c r="E4" t="s">
        <v>18</v>
      </c>
      <c r="F4" t="s">
        <v>19</v>
      </c>
      <c r="G4" t="s">
        <v>20</v>
      </c>
      <c r="H4">
        <v>11</v>
      </c>
      <c r="I4">
        <v>3594.07</v>
      </c>
      <c r="J4">
        <v>35581.292999999998</v>
      </c>
      <c r="K4">
        <v>3953.4769999999999</v>
      </c>
      <c r="L4">
        <v>39534.769999999997</v>
      </c>
      <c r="M4">
        <v>7116.2585999999992</v>
      </c>
      <c r="N4">
        <v>46651.028599999998</v>
      </c>
      <c r="O4" t="s">
        <v>87</v>
      </c>
      <c r="P4" t="s">
        <v>100</v>
      </c>
      <c r="S4" t="s">
        <v>12</v>
      </c>
      <c r="T4" t="s">
        <v>97</v>
      </c>
    </row>
    <row r="5" spans="1:21" x14ac:dyDescent="0.25">
      <c r="A5" s="2">
        <v>45214</v>
      </c>
      <c r="B5" t="s">
        <v>16</v>
      </c>
      <c r="C5" t="s">
        <v>55</v>
      </c>
      <c r="D5" t="s">
        <v>66</v>
      </c>
      <c r="E5" t="s">
        <v>41</v>
      </c>
      <c r="F5" t="s">
        <v>23</v>
      </c>
      <c r="G5" t="s">
        <v>24</v>
      </c>
      <c r="H5">
        <v>9</v>
      </c>
      <c r="I5">
        <v>4487</v>
      </c>
      <c r="J5">
        <v>36344.700000000004</v>
      </c>
      <c r="K5">
        <v>4038.3</v>
      </c>
      <c r="L5">
        <v>40383</v>
      </c>
      <c r="M5">
        <v>7268.94</v>
      </c>
      <c r="N5">
        <v>47651.94</v>
      </c>
      <c r="O5" t="s">
        <v>87</v>
      </c>
      <c r="P5" t="s">
        <v>66</v>
      </c>
      <c r="S5" t="s">
        <v>66</v>
      </c>
      <c r="T5" t="s">
        <v>98</v>
      </c>
    </row>
    <row r="6" spans="1:21" x14ac:dyDescent="0.25">
      <c r="A6" s="2">
        <v>45145</v>
      </c>
      <c r="B6" t="s">
        <v>25</v>
      </c>
      <c r="C6" t="s">
        <v>26</v>
      </c>
      <c r="D6" t="s">
        <v>12</v>
      </c>
      <c r="E6" t="s">
        <v>18</v>
      </c>
      <c r="F6" t="s">
        <v>27</v>
      </c>
      <c r="G6" t="s">
        <v>28</v>
      </c>
      <c r="H6">
        <v>17</v>
      </c>
      <c r="I6">
        <v>1240.77</v>
      </c>
      <c r="J6">
        <v>18983.780999999999</v>
      </c>
      <c r="K6">
        <v>2109.3090000000002</v>
      </c>
      <c r="L6">
        <v>21093.09</v>
      </c>
      <c r="M6">
        <v>3796.7561999999998</v>
      </c>
      <c r="N6">
        <v>24889.8462</v>
      </c>
      <c r="O6" t="s">
        <v>87</v>
      </c>
      <c r="P6" t="s">
        <v>100</v>
      </c>
    </row>
    <row r="7" spans="1:21" x14ac:dyDescent="0.25">
      <c r="A7" s="2">
        <v>45283</v>
      </c>
      <c r="B7" t="s">
        <v>29</v>
      </c>
      <c r="C7" t="s">
        <v>56</v>
      </c>
      <c r="D7" t="s">
        <v>12</v>
      </c>
      <c r="E7" t="s">
        <v>18</v>
      </c>
      <c r="F7" t="s">
        <v>19</v>
      </c>
      <c r="G7" t="s">
        <v>30</v>
      </c>
      <c r="H7">
        <v>7</v>
      </c>
      <c r="I7">
        <v>4772.29</v>
      </c>
      <c r="J7">
        <v>30065.427</v>
      </c>
      <c r="K7">
        <v>3340.6030000000001</v>
      </c>
      <c r="L7">
        <v>33406.03</v>
      </c>
      <c r="M7">
        <v>6013.0853999999999</v>
      </c>
      <c r="N7">
        <v>39419.115399999995</v>
      </c>
      <c r="O7" t="s">
        <v>87</v>
      </c>
      <c r="P7" t="s">
        <v>100</v>
      </c>
    </row>
    <row r="8" spans="1:21" x14ac:dyDescent="0.25">
      <c r="A8" s="2">
        <v>45047</v>
      </c>
      <c r="B8" t="s">
        <v>31</v>
      </c>
      <c r="C8" t="s">
        <v>57</v>
      </c>
      <c r="D8" t="s">
        <v>22</v>
      </c>
      <c r="E8" t="s">
        <v>13</v>
      </c>
      <c r="F8" t="s">
        <v>32</v>
      </c>
      <c r="G8" t="s">
        <v>33</v>
      </c>
      <c r="H8">
        <v>5</v>
      </c>
      <c r="I8">
        <v>2196.9899999999998</v>
      </c>
      <c r="J8">
        <v>9886.4550000000017</v>
      </c>
      <c r="K8">
        <v>1098.4950000000001</v>
      </c>
      <c r="L8">
        <v>10984.95</v>
      </c>
      <c r="M8">
        <v>1977.2910000000002</v>
      </c>
      <c r="N8">
        <v>12962.241000000002</v>
      </c>
      <c r="O8" t="s">
        <v>87</v>
      </c>
      <c r="P8" t="s">
        <v>99</v>
      </c>
    </row>
    <row r="9" spans="1:21" x14ac:dyDescent="0.25">
      <c r="A9" s="2">
        <v>45283</v>
      </c>
      <c r="B9" t="s">
        <v>34</v>
      </c>
      <c r="C9" t="s">
        <v>35</v>
      </c>
      <c r="D9" t="s">
        <v>65</v>
      </c>
      <c r="E9" t="s">
        <v>64</v>
      </c>
      <c r="F9" t="s">
        <v>23</v>
      </c>
      <c r="G9" t="s">
        <v>24</v>
      </c>
      <c r="H9">
        <v>5</v>
      </c>
      <c r="I9">
        <v>967.6</v>
      </c>
      <c r="J9">
        <v>4354.2</v>
      </c>
      <c r="K9">
        <v>483.8</v>
      </c>
      <c r="L9">
        <v>4838</v>
      </c>
      <c r="M9">
        <v>870.83999999999992</v>
      </c>
      <c r="N9">
        <v>5708.84</v>
      </c>
      <c r="O9" t="s">
        <v>87</v>
      </c>
      <c r="P9" t="s">
        <v>101</v>
      </c>
    </row>
    <row r="10" spans="1:21" x14ac:dyDescent="0.25">
      <c r="A10" s="2">
        <v>45222</v>
      </c>
      <c r="B10" t="s">
        <v>16</v>
      </c>
      <c r="C10" t="s">
        <v>55</v>
      </c>
      <c r="D10" t="s">
        <v>66</v>
      </c>
      <c r="E10" t="s">
        <v>41</v>
      </c>
      <c r="F10" t="s">
        <v>19</v>
      </c>
      <c r="G10" t="s">
        <v>20</v>
      </c>
      <c r="H10">
        <v>18</v>
      </c>
      <c r="I10">
        <v>3128.59</v>
      </c>
      <c r="J10">
        <v>50683.158000000003</v>
      </c>
      <c r="K10">
        <v>5631.4620000000004</v>
      </c>
      <c r="L10">
        <v>56314.62</v>
      </c>
      <c r="M10">
        <v>10136.631600000001</v>
      </c>
      <c r="N10">
        <v>66451.251600000003</v>
      </c>
      <c r="O10" t="s">
        <v>87</v>
      </c>
      <c r="P10" t="s">
        <v>66</v>
      </c>
    </row>
    <row r="11" spans="1:21" x14ac:dyDescent="0.25">
      <c r="A11" s="2">
        <v>45247</v>
      </c>
      <c r="B11" t="s">
        <v>21</v>
      </c>
      <c r="C11" t="s">
        <v>56</v>
      </c>
      <c r="D11" t="s">
        <v>12</v>
      </c>
      <c r="E11" t="s">
        <v>18</v>
      </c>
      <c r="F11" t="s">
        <v>14</v>
      </c>
      <c r="G11" t="s">
        <v>15</v>
      </c>
      <c r="H11">
        <v>10</v>
      </c>
      <c r="I11">
        <v>2754.3</v>
      </c>
      <c r="J11">
        <v>24788.7</v>
      </c>
      <c r="K11">
        <v>2754.3</v>
      </c>
      <c r="L11">
        <v>27543</v>
      </c>
      <c r="M11">
        <v>4957.74</v>
      </c>
      <c r="N11">
        <v>32500.739999999998</v>
      </c>
      <c r="O11" t="s">
        <v>87</v>
      </c>
      <c r="P11" t="s">
        <v>100</v>
      </c>
    </row>
    <row r="12" spans="1:21" x14ac:dyDescent="0.25">
      <c r="A12" s="2">
        <v>44972</v>
      </c>
      <c r="B12" t="s">
        <v>16</v>
      </c>
      <c r="C12" t="s">
        <v>35</v>
      </c>
      <c r="D12" t="s">
        <v>65</v>
      </c>
      <c r="E12" t="s">
        <v>64</v>
      </c>
      <c r="F12" t="s">
        <v>32</v>
      </c>
      <c r="G12" t="s">
        <v>36</v>
      </c>
      <c r="H12">
        <v>19</v>
      </c>
      <c r="I12">
        <v>4896.3100000000004</v>
      </c>
      <c r="J12">
        <v>83726.900999999998</v>
      </c>
      <c r="K12">
        <v>9302.9889999999996</v>
      </c>
      <c r="L12">
        <v>93029.89</v>
      </c>
      <c r="M12">
        <v>16745.3802</v>
      </c>
      <c r="N12">
        <v>109775.2702</v>
      </c>
      <c r="O12" t="s">
        <v>87</v>
      </c>
      <c r="P12" t="s">
        <v>101</v>
      </c>
    </row>
    <row r="13" spans="1:21" x14ac:dyDescent="0.25">
      <c r="A13" s="2">
        <v>45037</v>
      </c>
      <c r="B13" t="s">
        <v>31</v>
      </c>
      <c r="C13" t="s">
        <v>57</v>
      </c>
      <c r="D13" t="s">
        <v>22</v>
      </c>
      <c r="E13" t="s">
        <v>13</v>
      </c>
      <c r="F13" t="s">
        <v>23</v>
      </c>
      <c r="G13" t="s">
        <v>37</v>
      </c>
      <c r="H13">
        <v>19</v>
      </c>
      <c r="I13">
        <v>4562.0200000000004</v>
      </c>
      <c r="J13">
        <v>78010.542000000001</v>
      </c>
      <c r="K13">
        <v>8667.8380000000016</v>
      </c>
      <c r="L13">
        <v>86678.38</v>
      </c>
      <c r="M13">
        <v>15602.108400000001</v>
      </c>
      <c r="N13">
        <v>102280.4884</v>
      </c>
      <c r="O13" t="s">
        <v>87</v>
      </c>
      <c r="P13" t="s">
        <v>99</v>
      </c>
    </row>
    <row r="14" spans="1:21" x14ac:dyDescent="0.25">
      <c r="A14" s="2">
        <v>44938</v>
      </c>
      <c r="B14" t="s">
        <v>29</v>
      </c>
      <c r="C14" t="s">
        <v>26</v>
      </c>
      <c r="D14" t="s">
        <v>12</v>
      </c>
      <c r="E14" t="s">
        <v>18</v>
      </c>
      <c r="F14" t="s">
        <v>19</v>
      </c>
      <c r="G14" t="s">
        <v>30</v>
      </c>
      <c r="H14">
        <v>6</v>
      </c>
      <c r="I14">
        <v>4231.7700000000004</v>
      </c>
      <c r="J14">
        <v>22851.558000000001</v>
      </c>
      <c r="K14">
        <v>2539.0619999999999</v>
      </c>
      <c r="L14">
        <v>25390.62</v>
      </c>
      <c r="M14">
        <v>4570.3116</v>
      </c>
      <c r="N14">
        <v>29960.9316</v>
      </c>
      <c r="O14" t="s">
        <v>87</v>
      </c>
      <c r="P14" t="s">
        <v>100</v>
      </c>
    </row>
    <row r="15" spans="1:21" x14ac:dyDescent="0.25">
      <c r="A15" s="2">
        <v>44952</v>
      </c>
      <c r="B15" t="s">
        <v>38</v>
      </c>
      <c r="C15" t="s">
        <v>35</v>
      </c>
      <c r="D15" t="s">
        <v>65</v>
      </c>
      <c r="E15" t="s">
        <v>64</v>
      </c>
      <c r="F15" t="s">
        <v>23</v>
      </c>
      <c r="G15" t="s">
        <v>39</v>
      </c>
      <c r="H15">
        <v>20</v>
      </c>
      <c r="I15">
        <v>1027.53</v>
      </c>
      <c r="J15">
        <v>18495.54</v>
      </c>
      <c r="K15">
        <v>2055.06</v>
      </c>
      <c r="L15">
        <v>20550.599999999999</v>
      </c>
      <c r="M15">
        <v>3699.1079999999997</v>
      </c>
      <c r="N15">
        <v>24249.707999999999</v>
      </c>
      <c r="O15" t="s">
        <v>87</v>
      </c>
      <c r="P15" t="s">
        <v>101</v>
      </c>
    </row>
    <row r="16" spans="1:21" x14ac:dyDescent="0.25">
      <c r="A16" s="2">
        <v>45073</v>
      </c>
      <c r="B16" t="s">
        <v>40</v>
      </c>
      <c r="C16" t="s">
        <v>11</v>
      </c>
      <c r="D16" t="s">
        <v>22</v>
      </c>
      <c r="E16" t="s">
        <v>13</v>
      </c>
      <c r="F16" t="s">
        <v>23</v>
      </c>
      <c r="G16" t="s">
        <v>37</v>
      </c>
      <c r="H16">
        <v>7</v>
      </c>
      <c r="I16">
        <v>1257.3399999999999</v>
      </c>
      <c r="J16">
        <v>7921.2419999999993</v>
      </c>
      <c r="K16">
        <v>880.13799999999992</v>
      </c>
      <c r="L16">
        <v>8801.3799999999992</v>
      </c>
      <c r="M16">
        <v>1584.2483999999997</v>
      </c>
      <c r="N16">
        <v>10385.6284</v>
      </c>
      <c r="O16" t="s">
        <v>87</v>
      </c>
      <c r="P16" t="s">
        <v>99</v>
      </c>
    </row>
    <row r="17" spans="1:16" x14ac:dyDescent="0.25">
      <c r="A17" s="2">
        <v>45258</v>
      </c>
      <c r="B17" t="s">
        <v>31</v>
      </c>
      <c r="C17" t="s">
        <v>58</v>
      </c>
      <c r="D17" t="s">
        <v>12</v>
      </c>
      <c r="E17" t="s">
        <v>18</v>
      </c>
      <c r="F17" t="s">
        <v>23</v>
      </c>
      <c r="G17" t="s">
        <v>39</v>
      </c>
      <c r="H17">
        <v>9</v>
      </c>
      <c r="I17">
        <v>2634.14</v>
      </c>
      <c r="J17">
        <v>21336.534</v>
      </c>
      <c r="K17">
        <v>2370.7260000000001</v>
      </c>
      <c r="L17">
        <v>23707.26</v>
      </c>
      <c r="M17">
        <v>4267.3067999999994</v>
      </c>
      <c r="N17">
        <v>27974.566799999997</v>
      </c>
      <c r="O17" t="s">
        <v>87</v>
      </c>
      <c r="P17" t="s">
        <v>100</v>
      </c>
    </row>
    <row r="18" spans="1:16" x14ac:dyDescent="0.25">
      <c r="A18" s="2">
        <v>45079</v>
      </c>
      <c r="B18" t="s">
        <v>25</v>
      </c>
      <c r="C18" t="s">
        <v>59</v>
      </c>
      <c r="D18" t="s">
        <v>66</v>
      </c>
      <c r="E18" t="s">
        <v>41</v>
      </c>
      <c r="F18" t="s">
        <v>14</v>
      </c>
      <c r="G18" t="s">
        <v>15</v>
      </c>
      <c r="H18">
        <v>11</v>
      </c>
      <c r="I18">
        <v>4509.49</v>
      </c>
      <c r="J18">
        <v>44643.951000000001</v>
      </c>
      <c r="K18">
        <v>4960.4390000000003</v>
      </c>
      <c r="L18">
        <v>49604.39</v>
      </c>
      <c r="M18">
        <v>8928.7901999999995</v>
      </c>
      <c r="N18">
        <v>58533.180200000003</v>
      </c>
      <c r="O18" t="s">
        <v>87</v>
      </c>
      <c r="P18" t="s">
        <v>66</v>
      </c>
    </row>
    <row r="19" spans="1:16" x14ac:dyDescent="0.25">
      <c r="A19" s="2">
        <v>44981</v>
      </c>
      <c r="B19" t="s">
        <v>29</v>
      </c>
      <c r="C19" t="s">
        <v>60</v>
      </c>
      <c r="D19" t="s">
        <v>12</v>
      </c>
      <c r="E19" t="s">
        <v>18</v>
      </c>
      <c r="F19" t="s">
        <v>27</v>
      </c>
      <c r="G19" t="s">
        <v>42</v>
      </c>
      <c r="H19">
        <v>3</v>
      </c>
      <c r="I19">
        <v>2738.83</v>
      </c>
      <c r="J19">
        <v>7394.8410000000003</v>
      </c>
      <c r="K19">
        <v>821.649</v>
      </c>
      <c r="L19">
        <v>8216.49</v>
      </c>
      <c r="M19">
        <v>1478.9681999999998</v>
      </c>
      <c r="N19">
        <v>9695.4581999999991</v>
      </c>
      <c r="O19" t="s">
        <v>87</v>
      </c>
      <c r="P19" t="s">
        <v>100</v>
      </c>
    </row>
    <row r="20" spans="1:16" x14ac:dyDescent="0.25">
      <c r="A20" s="2">
        <v>44974</v>
      </c>
      <c r="B20" t="s">
        <v>29</v>
      </c>
      <c r="C20" t="s">
        <v>11</v>
      </c>
      <c r="D20" t="s">
        <v>22</v>
      </c>
      <c r="E20" t="s">
        <v>13</v>
      </c>
      <c r="F20" t="s">
        <v>23</v>
      </c>
      <c r="G20" t="s">
        <v>24</v>
      </c>
      <c r="H20">
        <v>10</v>
      </c>
      <c r="I20">
        <v>4247.74</v>
      </c>
      <c r="J20">
        <v>38229.660000000003</v>
      </c>
      <c r="K20">
        <v>4247.7400000000007</v>
      </c>
      <c r="L20">
        <v>42477.4</v>
      </c>
      <c r="M20">
        <v>7645.9319999999998</v>
      </c>
      <c r="N20">
        <v>50123.332000000002</v>
      </c>
      <c r="O20" t="s">
        <v>87</v>
      </c>
      <c r="P20" t="s">
        <v>99</v>
      </c>
    </row>
    <row r="21" spans="1:16" x14ac:dyDescent="0.25">
      <c r="A21" s="2">
        <v>44972</v>
      </c>
      <c r="B21" t="s">
        <v>21</v>
      </c>
      <c r="C21" t="s">
        <v>57</v>
      </c>
      <c r="D21" t="s">
        <v>22</v>
      </c>
      <c r="E21" t="s">
        <v>13</v>
      </c>
      <c r="F21" t="s">
        <v>19</v>
      </c>
      <c r="G21" t="s">
        <v>30</v>
      </c>
      <c r="H21">
        <v>3</v>
      </c>
      <c r="I21">
        <v>1133.19</v>
      </c>
      <c r="J21">
        <v>3059.6130000000003</v>
      </c>
      <c r="K21">
        <v>339.95700000000005</v>
      </c>
      <c r="L21">
        <v>3399.57</v>
      </c>
      <c r="M21">
        <v>611.92259999999999</v>
      </c>
      <c r="N21">
        <v>4011.4926</v>
      </c>
      <c r="O21" t="s">
        <v>87</v>
      </c>
      <c r="P21" t="s">
        <v>99</v>
      </c>
    </row>
    <row r="22" spans="1:16" x14ac:dyDescent="0.25">
      <c r="A22" s="2">
        <v>44976</v>
      </c>
      <c r="B22" t="s">
        <v>43</v>
      </c>
      <c r="C22" t="s">
        <v>61</v>
      </c>
      <c r="D22" t="s">
        <v>65</v>
      </c>
      <c r="E22" t="s">
        <v>64</v>
      </c>
      <c r="F22" t="s">
        <v>32</v>
      </c>
      <c r="G22" t="s">
        <v>36</v>
      </c>
      <c r="H22">
        <v>6</v>
      </c>
      <c r="I22">
        <v>623.22</v>
      </c>
      <c r="J22">
        <v>3365.3880000000004</v>
      </c>
      <c r="K22">
        <v>373.93200000000002</v>
      </c>
      <c r="L22">
        <v>3739.32</v>
      </c>
      <c r="M22">
        <v>673.07759999999996</v>
      </c>
      <c r="N22">
        <v>4412.3976000000002</v>
      </c>
      <c r="O22" t="s">
        <v>87</v>
      </c>
      <c r="P22" t="s">
        <v>101</v>
      </c>
    </row>
    <row r="23" spans="1:16" x14ac:dyDescent="0.25">
      <c r="A23" s="2">
        <v>45044</v>
      </c>
      <c r="B23" t="s">
        <v>25</v>
      </c>
      <c r="C23" t="s">
        <v>17</v>
      </c>
      <c r="D23" t="s">
        <v>65</v>
      </c>
      <c r="E23" t="s">
        <v>64</v>
      </c>
      <c r="F23" t="s">
        <v>19</v>
      </c>
      <c r="G23" t="s">
        <v>20</v>
      </c>
      <c r="H23">
        <v>18</v>
      </c>
      <c r="I23">
        <v>698.42</v>
      </c>
      <c r="J23">
        <v>11314.404</v>
      </c>
      <c r="K23">
        <v>1257.1559999999999</v>
      </c>
      <c r="L23">
        <v>12571.56</v>
      </c>
      <c r="M23">
        <v>2262.8807999999999</v>
      </c>
      <c r="N23">
        <v>14834.4408</v>
      </c>
      <c r="O23" t="s">
        <v>87</v>
      </c>
      <c r="P23" t="s">
        <v>101</v>
      </c>
    </row>
    <row r="24" spans="1:16" x14ac:dyDescent="0.25">
      <c r="A24" s="2">
        <v>45266</v>
      </c>
      <c r="B24" t="s">
        <v>34</v>
      </c>
      <c r="C24" t="s">
        <v>62</v>
      </c>
      <c r="D24" t="s">
        <v>65</v>
      </c>
      <c r="E24" t="s">
        <v>64</v>
      </c>
      <c r="F24" t="s">
        <v>27</v>
      </c>
      <c r="G24" t="s">
        <v>44</v>
      </c>
      <c r="H24">
        <v>19</v>
      </c>
      <c r="I24">
        <v>2494.11</v>
      </c>
      <c r="J24">
        <v>42649.280999999995</v>
      </c>
      <c r="K24">
        <v>4738.8090000000002</v>
      </c>
      <c r="L24">
        <v>47388.09</v>
      </c>
      <c r="M24">
        <v>8529.8561999999984</v>
      </c>
      <c r="N24">
        <v>55917.946199999991</v>
      </c>
      <c r="O24" t="s">
        <v>87</v>
      </c>
      <c r="P24" t="s">
        <v>101</v>
      </c>
    </row>
    <row r="25" spans="1:16" x14ac:dyDescent="0.25">
      <c r="A25" s="2">
        <v>45101</v>
      </c>
      <c r="B25" t="s">
        <v>31</v>
      </c>
      <c r="C25" t="s">
        <v>56</v>
      </c>
      <c r="D25" t="s">
        <v>12</v>
      </c>
      <c r="E25" t="s">
        <v>18</v>
      </c>
      <c r="F25" t="s">
        <v>27</v>
      </c>
      <c r="G25" t="s">
        <v>44</v>
      </c>
      <c r="H25">
        <v>15</v>
      </c>
      <c r="I25">
        <v>3368.77</v>
      </c>
      <c r="J25">
        <v>45478.395000000004</v>
      </c>
      <c r="K25">
        <v>5053.1550000000007</v>
      </c>
      <c r="L25">
        <v>50531.55</v>
      </c>
      <c r="M25">
        <v>9095.6790000000001</v>
      </c>
      <c r="N25">
        <v>59627.229000000007</v>
      </c>
      <c r="O25" t="s">
        <v>87</v>
      </c>
      <c r="P25" t="s">
        <v>100</v>
      </c>
    </row>
    <row r="26" spans="1:16" x14ac:dyDescent="0.25">
      <c r="A26" s="2">
        <v>45012</v>
      </c>
      <c r="B26" t="s">
        <v>21</v>
      </c>
      <c r="C26" t="s">
        <v>57</v>
      </c>
      <c r="D26" t="s">
        <v>22</v>
      </c>
      <c r="E26" t="s">
        <v>13</v>
      </c>
      <c r="F26" t="s">
        <v>14</v>
      </c>
      <c r="G26" t="s">
        <v>45</v>
      </c>
      <c r="H26">
        <v>2</v>
      </c>
      <c r="I26">
        <v>962.28</v>
      </c>
      <c r="J26">
        <v>1732.104</v>
      </c>
      <c r="K26">
        <v>192.45600000000002</v>
      </c>
      <c r="L26">
        <v>1924.56</v>
      </c>
      <c r="M26">
        <v>346.42079999999999</v>
      </c>
      <c r="N26">
        <v>2270.9807999999998</v>
      </c>
      <c r="O26" t="s">
        <v>87</v>
      </c>
      <c r="P26" t="s">
        <v>99</v>
      </c>
    </row>
    <row r="27" spans="1:16" x14ac:dyDescent="0.25">
      <c r="A27" s="2">
        <v>45017</v>
      </c>
      <c r="B27" t="s">
        <v>43</v>
      </c>
      <c r="C27" t="s">
        <v>59</v>
      </c>
      <c r="D27" t="s">
        <v>66</v>
      </c>
      <c r="E27" t="s">
        <v>41</v>
      </c>
      <c r="F27" t="s">
        <v>23</v>
      </c>
      <c r="G27" t="s">
        <v>39</v>
      </c>
      <c r="H27">
        <v>19</v>
      </c>
      <c r="I27">
        <v>1065.27</v>
      </c>
      <c r="J27">
        <v>18216.117000000002</v>
      </c>
      <c r="K27">
        <v>2024.0130000000001</v>
      </c>
      <c r="L27">
        <v>20240.13</v>
      </c>
      <c r="M27">
        <v>3643.2233999999999</v>
      </c>
      <c r="N27">
        <v>23883.3534</v>
      </c>
      <c r="O27" t="s">
        <v>87</v>
      </c>
      <c r="P27" t="s">
        <v>66</v>
      </c>
    </row>
    <row r="28" spans="1:16" x14ac:dyDescent="0.25">
      <c r="A28" s="2">
        <v>45277</v>
      </c>
      <c r="B28" t="s">
        <v>43</v>
      </c>
      <c r="C28" t="s">
        <v>35</v>
      </c>
      <c r="D28" t="s">
        <v>65</v>
      </c>
      <c r="E28" t="s">
        <v>64</v>
      </c>
      <c r="F28" t="s">
        <v>27</v>
      </c>
      <c r="G28" t="s">
        <v>42</v>
      </c>
      <c r="H28">
        <v>10</v>
      </c>
      <c r="I28">
        <v>4507.62</v>
      </c>
      <c r="J28">
        <v>40568.58</v>
      </c>
      <c r="K28">
        <v>4507.62</v>
      </c>
      <c r="L28">
        <v>45076.2</v>
      </c>
      <c r="M28">
        <v>8113.7159999999994</v>
      </c>
      <c r="N28">
        <v>53189.915999999997</v>
      </c>
      <c r="O28" t="s">
        <v>87</v>
      </c>
      <c r="P28" t="s">
        <v>101</v>
      </c>
    </row>
    <row r="29" spans="1:16" x14ac:dyDescent="0.25">
      <c r="A29" s="2">
        <v>45128</v>
      </c>
      <c r="B29" t="s">
        <v>25</v>
      </c>
      <c r="C29" t="s">
        <v>61</v>
      </c>
      <c r="D29" t="s">
        <v>65</v>
      </c>
      <c r="E29" t="s">
        <v>64</v>
      </c>
      <c r="F29" t="s">
        <v>23</v>
      </c>
      <c r="G29" t="s">
        <v>37</v>
      </c>
      <c r="H29">
        <v>4</v>
      </c>
      <c r="I29">
        <v>4373.75</v>
      </c>
      <c r="J29">
        <v>15745.5</v>
      </c>
      <c r="K29">
        <v>1749.5</v>
      </c>
      <c r="L29">
        <v>17495</v>
      </c>
      <c r="M29">
        <v>3149.1</v>
      </c>
      <c r="N29">
        <v>20644.099999999999</v>
      </c>
      <c r="O29" t="s">
        <v>87</v>
      </c>
      <c r="P29" t="s">
        <v>101</v>
      </c>
    </row>
    <row r="30" spans="1:16" x14ac:dyDescent="0.25">
      <c r="A30" s="2">
        <v>45167</v>
      </c>
      <c r="B30" t="s">
        <v>38</v>
      </c>
      <c r="C30" t="s">
        <v>17</v>
      </c>
      <c r="D30" t="s">
        <v>65</v>
      </c>
      <c r="E30" t="s">
        <v>64</v>
      </c>
      <c r="F30" t="s">
        <v>23</v>
      </c>
      <c r="G30" t="s">
        <v>37</v>
      </c>
      <c r="H30">
        <v>4</v>
      </c>
      <c r="I30">
        <v>791.28</v>
      </c>
      <c r="J30">
        <v>2848.6080000000002</v>
      </c>
      <c r="K30">
        <v>316.512</v>
      </c>
      <c r="L30">
        <v>3165.12</v>
      </c>
      <c r="M30">
        <v>569.72159999999997</v>
      </c>
      <c r="N30">
        <v>3734.8415999999997</v>
      </c>
      <c r="O30" t="s">
        <v>87</v>
      </c>
      <c r="P30" t="s">
        <v>101</v>
      </c>
    </row>
    <row r="31" spans="1:16" x14ac:dyDescent="0.25">
      <c r="A31" s="2">
        <v>45052</v>
      </c>
      <c r="B31" t="s">
        <v>34</v>
      </c>
      <c r="C31" t="s">
        <v>57</v>
      </c>
      <c r="D31" t="s">
        <v>22</v>
      </c>
      <c r="E31" t="s">
        <v>13</v>
      </c>
      <c r="F31" t="s">
        <v>27</v>
      </c>
      <c r="G31" t="s">
        <v>28</v>
      </c>
      <c r="H31">
        <v>14</v>
      </c>
      <c r="I31">
        <v>4868.33</v>
      </c>
      <c r="J31">
        <v>61340.957999999999</v>
      </c>
      <c r="K31">
        <v>6815.6620000000003</v>
      </c>
      <c r="L31">
        <v>68156.62</v>
      </c>
      <c r="M31">
        <v>12268.191599999998</v>
      </c>
      <c r="N31">
        <v>80424.811599999986</v>
      </c>
      <c r="O31" t="s">
        <v>87</v>
      </c>
      <c r="P31" t="s">
        <v>99</v>
      </c>
    </row>
    <row r="32" spans="1:16" x14ac:dyDescent="0.25">
      <c r="A32" s="2">
        <v>45258</v>
      </c>
      <c r="B32" t="s">
        <v>31</v>
      </c>
      <c r="C32" t="s">
        <v>58</v>
      </c>
      <c r="D32" t="s">
        <v>12</v>
      </c>
      <c r="E32" t="s">
        <v>18</v>
      </c>
      <c r="F32" t="s">
        <v>23</v>
      </c>
      <c r="G32" t="s">
        <v>39</v>
      </c>
      <c r="H32">
        <v>12</v>
      </c>
      <c r="I32">
        <v>1958.77</v>
      </c>
      <c r="J32">
        <v>21154.716</v>
      </c>
      <c r="K32">
        <v>2350.5240000000003</v>
      </c>
      <c r="L32">
        <v>23505.24</v>
      </c>
      <c r="M32">
        <v>4230.9431999999997</v>
      </c>
      <c r="N32">
        <v>27736.183199999999</v>
      </c>
      <c r="O32" t="s">
        <v>87</v>
      </c>
      <c r="P32" t="s">
        <v>100</v>
      </c>
    </row>
    <row r="33" spans="1:16" x14ac:dyDescent="0.25">
      <c r="A33" s="2">
        <v>44939</v>
      </c>
      <c r="B33" t="s">
        <v>21</v>
      </c>
      <c r="C33" t="s">
        <v>59</v>
      </c>
      <c r="D33" t="s">
        <v>66</v>
      </c>
      <c r="E33" t="s">
        <v>41</v>
      </c>
      <c r="F33" t="s">
        <v>19</v>
      </c>
      <c r="G33" t="s">
        <v>30</v>
      </c>
      <c r="H33">
        <v>10</v>
      </c>
      <c r="I33">
        <v>3690.75</v>
      </c>
      <c r="J33">
        <v>33216.75</v>
      </c>
      <c r="K33">
        <v>3690.75</v>
      </c>
      <c r="L33">
        <v>36907.5</v>
      </c>
      <c r="M33">
        <v>6643.3499999999995</v>
      </c>
      <c r="N33">
        <v>43550.85</v>
      </c>
      <c r="O33" t="s">
        <v>87</v>
      </c>
      <c r="P33" t="s">
        <v>66</v>
      </c>
    </row>
    <row r="34" spans="1:16" x14ac:dyDescent="0.25">
      <c r="A34" s="2">
        <v>45097</v>
      </c>
      <c r="B34" t="s">
        <v>21</v>
      </c>
      <c r="C34" t="s">
        <v>35</v>
      </c>
      <c r="D34" t="s">
        <v>65</v>
      </c>
      <c r="E34" t="s">
        <v>64</v>
      </c>
      <c r="F34" t="s">
        <v>19</v>
      </c>
      <c r="G34" t="s">
        <v>30</v>
      </c>
      <c r="H34">
        <v>17</v>
      </c>
      <c r="I34">
        <v>1037.05</v>
      </c>
      <c r="J34">
        <v>15866.865</v>
      </c>
      <c r="K34">
        <v>1762.9849999999999</v>
      </c>
      <c r="L34">
        <v>17629.849999999999</v>
      </c>
      <c r="M34">
        <v>3173.3729999999996</v>
      </c>
      <c r="N34">
        <v>20803.222999999998</v>
      </c>
      <c r="O34" t="s">
        <v>87</v>
      </c>
      <c r="P34" t="s">
        <v>101</v>
      </c>
    </row>
    <row r="35" spans="1:16" x14ac:dyDescent="0.25">
      <c r="A35" s="2">
        <v>44937</v>
      </c>
      <c r="B35" t="s">
        <v>40</v>
      </c>
      <c r="C35" t="s">
        <v>62</v>
      </c>
      <c r="D35" t="s">
        <v>65</v>
      </c>
      <c r="E35" t="s">
        <v>64</v>
      </c>
      <c r="F35" t="s">
        <v>27</v>
      </c>
      <c r="G35" t="s">
        <v>46</v>
      </c>
      <c r="H35">
        <v>17</v>
      </c>
      <c r="I35">
        <v>2215.5500000000002</v>
      </c>
      <c r="J35">
        <v>33897.915000000001</v>
      </c>
      <c r="K35">
        <v>3766.4349999999999</v>
      </c>
      <c r="L35">
        <v>37664.35</v>
      </c>
      <c r="M35">
        <v>6779.5829999999996</v>
      </c>
      <c r="N35">
        <v>44443.932999999997</v>
      </c>
      <c r="O35" t="s">
        <v>87</v>
      </c>
      <c r="P35" t="s">
        <v>101</v>
      </c>
    </row>
    <row r="36" spans="1:16" x14ac:dyDescent="0.25">
      <c r="A36" s="2">
        <v>45260</v>
      </c>
      <c r="B36" t="s">
        <v>40</v>
      </c>
      <c r="C36" t="s">
        <v>55</v>
      </c>
      <c r="D36" t="s">
        <v>66</v>
      </c>
      <c r="E36" t="s">
        <v>41</v>
      </c>
      <c r="F36" t="s">
        <v>23</v>
      </c>
      <c r="G36" t="s">
        <v>47</v>
      </c>
      <c r="H36">
        <v>19</v>
      </c>
      <c r="I36">
        <v>1343.6</v>
      </c>
      <c r="J36">
        <v>22975.56</v>
      </c>
      <c r="K36">
        <v>2552.84</v>
      </c>
      <c r="L36">
        <v>25528.400000000001</v>
      </c>
      <c r="M36">
        <v>4595.1120000000001</v>
      </c>
      <c r="N36">
        <v>30123.512000000002</v>
      </c>
      <c r="O36" t="s">
        <v>87</v>
      </c>
      <c r="P36" t="s">
        <v>66</v>
      </c>
    </row>
    <row r="37" spans="1:16" x14ac:dyDescent="0.25">
      <c r="A37" s="2">
        <v>45056</v>
      </c>
      <c r="B37" t="s">
        <v>40</v>
      </c>
      <c r="C37" t="s">
        <v>11</v>
      </c>
      <c r="D37" t="s">
        <v>22</v>
      </c>
      <c r="E37" t="s">
        <v>13</v>
      </c>
      <c r="F37" t="s">
        <v>27</v>
      </c>
      <c r="G37" t="s">
        <v>28</v>
      </c>
      <c r="H37">
        <v>8</v>
      </c>
      <c r="I37">
        <v>4455.43</v>
      </c>
      <c r="J37">
        <v>32079.096000000001</v>
      </c>
      <c r="K37">
        <v>3564.3440000000005</v>
      </c>
      <c r="L37">
        <v>35643.440000000002</v>
      </c>
      <c r="M37">
        <v>6415.8191999999999</v>
      </c>
      <c r="N37">
        <v>42059.2592</v>
      </c>
      <c r="O37" t="s">
        <v>87</v>
      </c>
      <c r="P37" t="s">
        <v>99</v>
      </c>
    </row>
    <row r="38" spans="1:16" x14ac:dyDescent="0.25">
      <c r="A38" s="2">
        <v>44950</v>
      </c>
      <c r="B38" t="s">
        <v>34</v>
      </c>
      <c r="C38" t="s">
        <v>56</v>
      </c>
      <c r="D38" t="s">
        <v>12</v>
      </c>
      <c r="E38" t="s">
        <v>18</v>
      </c>
      <c r="F38" t="s">
        <v>19</v>
      </c>
      <c r="G38" t="s">
        <v>48</v>
      </c>
      <c r="H38">
        <v>9</v>
      </c>
      <c r="I38">
        <v>3892.79</v>
      </c>
      <c r="J38">
        <v>31531.599000000002</v>
      </c>
      <c r="K38">
        <v>3503.5110000000004</v>
      </c>
      <c r="L38">
        <v>35035.11</v>
      </c>
      <c r="M38">
        <v>6306.3198000000002</v>
      </c>
      <c r="N38">
        <v>41341.429799999998</v>
      </c>
      <c r="O38" t="s">
        <v>87</v>
      </c>
      <c r="P38" t="s">
        <v>100</v>
      </c>
    </row>
    <row r="39" spans="1:16" x14ac:dyDescent="0.25">
      <c r="A39" s="2">
        <v>45266</v>
      </c>
      <c r="B39" t="s">
        <v>34</v>
      </c>
      <c r="C39" t="s">
        <v>61</v>
      </c>
      <c r="D39" t="s">
        <v>65</v>
      </c>
      <c r="E39" t="s">
        <v>64</v>
      </c>
      <c r="F39" t="s">
        <v>32</v>
      </c>
      <c r="G39" t="s">
        <v>36</v>
      </c>
      <c r="H39">
        <v>9</v>
      </c>
      <c r="I39">
        <v>4618.59</v>
      </c>
      <c r="J39">
        <v>37410.578999999998</v>
      </c>
      <c r="K39">
        <v>4156.7309999999998</v>
      </c>
      <c r="L39">
        <v>41567.31</v>
      </c>
      <c r="M39">
        <v>7482.1157999999996</v>
      </c>
      <c r="N39">
        <v>49049.425799999997</v>
      </c>
      <c r="O39" t="s">
        <v>87</v>
      </c>
      <c r="P39" t="s">
        <v>101</v>
      </c>
    </row>
    <row r="40" spans="1:16" x14ac:dyDescent="0.25">
      <c r="A40" s="2">
        <v>45161</v>
      </c>
      <c r="B40" t="s">
        <v>38</v>
      </c>
      <c r="C40" t="s">
        <v>62</v>
      </c>
      <c r="D40" t="s">
        <v>65</v>
      </c>
      <c r="E40" t="s">
        <v>64</v>
      </c>
      <c r="F40" t="s">
        <v>23</v>
      </c>
      <c r="G40" t="s">
        <v>47</v>
      </c>
      <c r="H40">
        <v>11</v>
      </c>
      <c r="I40">
        <v>3385.93</v>
      </c>
      <c r="J40">
        <v>33520.707000000002</v>
      </c>
      <c r="K40">
        <v>3724.5230000000006</v>
      </c>
      <c r="L40">
        <v>37245.230000000003</v>
      </c>
      <c r="M40">
        <v>6704.1414000000004</v>
      </c>
      <c r="N40">
        <v>43949.371400000004</v>
      </c>
      <c r="O40" t="s">
        <v>87</v>
      </c>
      <c r="P40" t="s">
        <v>101</v>
      </c>
    </row>
    <row r="41" spans="1:16" x14ac:dyDescent="0.25">
      <c r="A41" s="2">
        <v>44975</v>
      </c>
      <c r="B41" t="s">
        <v>34</v>
      </c>
      <c r="C41" t="s">
        <v>35</v>
      </c>
      <c r="D41" t="s">
        <v>65</v>
      </c>
      <c r="E41" t="s">
        <v>64</v>
      </c>
      <c r="F41" t="s">
        <v>19</v>
      </c>
      <c r="G41" t="s">
        <v>30</v>
      </c>
      <c r="H41">
        <v>14</v>
      </c>
      <c r="I41">
        <v>2452.98</v>
      </c>
      <c r="J41">
        <v>30907.548000000003</v>
      </c>
      <c r="K41">
        <v>3434.1720000000005</v>
      </c>
      <c r="L41">
        <v>34341.72</v>
      </c>
      <c r="M41">
        <v>6181.5096000000003</v>
      </c>
      <c r="N41">
        <v>40523.229599999999</v>
      </c>
      <c r="O41" t="s">
        <v>87</v>
      </c>
      <c r="P41" t="s">
        <v>101</v>
      </c>
    </row>
    <row r="42" spans="1:16" x14ac:dyDescent="0.25">
      <c r="A42" s="2">
        <v>45142</v>
      </c>
      <c r="B42" t="s">
        <v>10</v>
      </c>
      <c r="C42" t="s">
        <v>54</v>
      </c>
      <c r="D42" t="s">
        <v>12</v>
      </c>
      <c r="E42" t="s">
        <v>18</v>
      </c>
      <c r="F42" t="s">
        <v>32</v>
      </c>
      <c r="G42" t="s">
        <v>33</v>
      </c>
      <c r="H42">
        <v>16</v>
      </c>
      <c r="I42">
        <v>695.96</v>
      </c>
      <c r="J42">
        <v>10021.824000000001</v>
      </c>
      <c r="K42">
        <v>1113.5360000000001</v>
      </c>
      <c r="L42">
        <v>11135.36</v>
      </c>
      <c r="M42">
        <v>2004.3648000000001</v>
      </c>
      <c r="N42">
        <v>13139.7248</v>
      </c>
      <c r="O42" t="s">
        <v>87</v>
      </c>
      <c r="P42" t="s">
        <v>100</v>
      </c>
    </row>
    <row r="43" spans="1:16" x14ac:dyDescent="0.25">
      <c r="A43" s="2">
        <v>44986</v>
      </c>
      <c r="B43" t="s">
        <v>25</v>
      </c>
      <c r="C43" t="s">
        <v>35</v>
      </c>
      <c r="D43" t="s">
        <v>65</v>
      </c>
      <c r="E43" t="s">
        <v>64</v>
      </c>
      <c r="F43" t="s">
        <v>32</v>
      </c>
      <c r="G43" t="s">
        <v>49</v>
      </c>
      <c r="H43">
        <v>1</v>
      </c>
      <c r="I43">
        <v>1979.54</v>
      </c>
      <c r="J43">
        <v>1781.586</v>
      </c>
      <c r="K43">
        <v>197.95400000000001</v>
      </c>
      <c r="L43">
        <v>1979.54</v>
      </c>
      <c r="M43">
        <v>356.31719999999996</v>
      </c>
      <c r="N43">
        <v>2335.8571999999999</v>
      </c>
      <c r="O43" t="s">
        <v>87</v>
      </c>
      <c r="P43" t="s">
        <v>101</v>
      </c>
    </row>
    <row r="44" spans="1:16" x14ac:dyDescent="0.25">
      <c r="A44" s="2">
        <v>45016</v>
      </c>
      <c r="B44" t="s">
        <v>31</v>
      </c>
      <c r="C44" t="s">
        <v>61</v>
      </c>
      <c r="D44" t="s">
        <v>65</v>
      </c>
      <c r="E44" t="s">
        <v>64</v>
      </c>
      <c r="F44" t="s">
        <v>19</v>
      </c>
      <c r="G44" t="s">
        <v>20</v>
      </c>
      <c r="H44">
        <v>9</v>
      </c>
      <c r="I44">
        <v>3727.82</v>
      </c>
      <c r="J44">
        <v>30195.341999999997</v>
      </c>
      <c r="K44">
        <v>3355.038</v>
      </c>
      <c r="L44">
        <v>33550.379999999997</v>
      </c>
      <c r="M44">
        <v>6039.0683999999992</v>
      </c>
      <c r="N44">
        <v>39589.448399999994</v>
      </c>
      <c r="O44" t="s">
        <v>87</v>
      </c>
      <c r="P44" t="s">
        <v>101</v>
      </c>
    </row>
    <row r="45" spans="1:16" x14ac:dyDescent="0.25">
      <c r="A45" s="2">
        <v>45031</v>
      </c>
      <c r="B45" t="s">
        <v>10</v>
      </c>
      <c r="C45" t="s">
        <v>60</v>
      </c>
      <c r="D45" t="s">
        <v>12</v>
      </c>
      <c r="E45" t="s">
        <v>18</v>
      </c>
      <c r="F45" t="s">
        <v>27</v>
      </c>
      <c r="G45" t="s">
        <v>46</v>
      </c>
      <c r="H45">
        <v>1</v>
      </c>
      <c r="I45">
        <v>1495.61</v>
      </c>
      <c r="J45">
        <v>1346.049</v>
      </c>
      <c r="K45">
        <v>149.56100000000001</v>
      </c>
      <c r="L45">
        <v>1495.61</v>
      </c>
      <c r="M45">
        <v>269.20979999999997</v>
      </c>
      <c r="N45">
        <v>1764.8197999999998</v>
      </c>
      <c r="O45" t="s">
        <v>87</v>
      </c>
      <c r="P45" t="s">
        <v>100</v>
      </c>
    </row>
    <row r="46" spans="1:16" x14ac:dyDescent="0.25">
      <c r="A46" s="2">
        <v>45288</v>
      </c>
      <c r="B46" t="s">
        <v>38</v>
      </c>
      <c r="C46" t="s">
        <v>26</v>
      </c>
      <c r="D46" t="s">
        <v>12</v>
      </c>
      <c r="E46" t="s">
        <v>18</v>
      </c>
      <c r="F46" t="s">
        <v>23</v>
      </c>
      <c r="G46" t="s">
        <v>37</v>
      </c>
      <c r="H46">
        <v>18</v>
      </c>
      <c r="I46">
        <v>1928.15</v>
      </c>
      <c r="J46">
        <v>31236.03</v>
      </c>
      <c r="K46">
        <v>3470.67</v>
      </c>
      <c r="L46">
        <v>34706.699999999997</v>
      </c>
      <c r="M46">
        <v>6247.2059999999992</v>
      </c>
      <c r="N46">
        <v>40953.905999999995</v>
      </c>
      <c r="O46" t="s">
        <v>87</v>
      </c>
      <c r="P46" t="s">
        <v>100</v>
      </c>
    </row>
    <row r="47" spans="1:16" x14ac:dyDescent="0.25">
      <c r="A47" s="2">
        <v>44989</v>
      </c>
      <c r="B47" t="s">
        <v>29</v>
      </c>
      <c r="C47" t="s">
        <v>26</v>
      </c>
      <c r="D47" t="s">
        <v>12</v>
      </c>
      <c r="E47" t="s">
        <v>18</v>
      </c>
      <c r="F47" t="s">
        <v>19</v>
      </c>
      <c r="G47" t="s">
        <v>30</v>
      </c>
      <c r="H47">
        <v>1</v>
      </c>
      <c r="I47">
        <v>4192.3900000000003</v>
      </c>
      <c r="J47">
        <v>3773.1510000000003</v>
      </c>
      <c r="K47">
        <v>419.23900000000003</v>
      </c>
      <c r="L47">
        <v>4192.3900000000003</v>
      </c>
      <c r="M47">
        <v>754.63020000000006</v>
      </c>
      <c r="N47">
        <v>4947.0202000000008</v>
      </c>
      <c r="O47" t="s">
        <v>87</v>
      </c>
      <c r="P47" t="s">
        <v>100</v>
      </c>
    </row>
    <row r="48" spans="1:16" x14ac:dyDescent="0.25">
      <c r="A48" s="2">
        <v>44961</v>
      </c>
      <c r="B48" t="s">
        <v>38</v>
      </c>
      <c r="C48" t="s">
        <v>56</v>
      </c>
      <c r="D48" t="s">
        <v>12</v>
      </c>
      <c r="E48" t="s">
        <v>18</v>
      </c>
      <c r="F48" t="s">
        <v>32</v>
      </c>
      <c r="G48" t="s">
        <v>50</v>
      </c>
      <c r="H48">
        <v>7</v>
      </c>
      <c r="I48">
        <v>4988.71</v>
      </c>
      <c r="J48">
        <v>31428.873000000003</v>
      </c>
      <c r="K48">
        <v>3492.0970000000002</v>
      </c>
      <c r="L48">
        <v>34920.97</v>
      </c>
      <c r="M48">
        <v>6285.7745999999997</v>
      </c>
      <c r="N48">
        <v>41206.744599999998</v>
      </c>
      <c r="O48" t="s">
        <v>87</v>
      </c>
      <c r="P48" t="s">
        <v>100</v>
      </c>
    </row>
    <row r="49" spans="1:16" x14ac:dyDescent="0.25">
      <c r="A49" s="2">
        <v>45035</v>
      </c>
      <c r="B49" t="s">
        <v>34</v>
      </c>
      <c r="C49" t="s">
        <v>62</v>
      </c>
      <c r="D49" t="s">
        <v>65</v>
      </c>
      <c r="E49" t="s">
        <v>64</v>
      </c>
      <c r="F49" t="s">
        <v>23</v>
      </c>
      <c r="G49" t="s">
        <v>37</v>
      </c>
      <c r="H49">
        <v>9</v>
      </c>
      <c r="I49">
        <v>1328.13</v>
      </c>
      <c r="J49">
        <v>10757.853000000001</v>
      </c>
      <c r="K49">
        <v>1195.317</v>
      </c>
      <c r="L49">
        <v>11953.17</v>
      </c>
      <c r="M49">
        <v>2151.5706</v>
      </c>
      <c r="N49">
        <v>14104.740600000001</v>
      </c>
      <c r="O49" t="s">
        <v>87</v>
      </c>
      <c r="P49" t="s">
        <v>101</v>
      </c>
    </row>
    <row r="50" spans="1:16" x14ac:dyDescent="0.25">
      <c r="A50" s="2">
        <v>45190</v>
      </c>
      <c r="B50" t="s">
        <v>38</v>
      </c>
      <c r="C50" t="s">
        <v>59</v>
      </c>
      <c r="D50" t="s">
        <v>66</v>
      </c>
      <c r="E50" t="s">
        <v>41</v>
      </c>
      <c r="F50" t="s">
        <v>14</v>
      </c>
      <c r="G50" t="s">
        <v>51</v>
      </c>
      <c r="H50">
        <v>9</v>
      </c>
      <c r="I50">
        <v>722.44</v>
      </c>
      <c r="J50">
        <v>5851.7640000000001</v>
      </c>
      <c r="K50">
        <v>650.19600000000003</v>
      </c>
      <c r="L50">
        <v>6501.96</v>
      </c>
      <c r="M50">
        <v>1170.3527999999999</v>
      </c>
      <c r="N50">
        <v>7672.3127999999997</v>
      </c>
      <c r="O50" t="s">
        <v>87</v>
      </c>
      <c r="P50" t="s">
        <v>66</v>
      </c>
    </row>
    <row r="51" spans="1:16" x14ac:dyDescent="0.25">
      <c r="A51" s="2">
        <v>45220</v>
      </c>
      <c r="B51" t="s">
        <v>21</v>
      </c>
      <c r="C51" t="s">
        <v>11</v>
      </c>
      <c r="D51" t="s">
        <v>22</v>
      </c>
      <c r="E51" t="s">
        <v>13</v>
      </c>
      <c r="F51" t="s">
        <v>23</v>
      </c>
      <c r="G51" t="s">
        <v>37</v>
      </c>
      <c r="H51">
        <v>2</v>
      </c>
      <c r="I51">
        <v>4726.0600000000004</v>
      </c>
      <c r="J51">
        <v>8506.9080000000013</v>
      </c>
      <c r="K51">
        <v>945.2120000000001</v>
      </c>
      <c r="L51">
        <v>9452.1200000000008</v>
      </c>
      <c r="M51">
        <v>1701.3816000000002</v>
      </c>
      <c r="N51">
        <v>11153.501600000001</v>
      </c>
      <c r="O51" t="s">
        <v>87</v>
      </c>
      <c r="P51" t="s">
        <v>99</v>
      </c>
    </row>
    <row r="52" spans="1:16" x14ac:dyDescent="0.25">
      <c r="A52" s="2">
        <v>44963</v>
      </c>
      <c r="B52" t="s">
        <v>34</v>
      </c>
      <c r="C52" t="s">
        <v>54</v>
      </c>
      <c r="D52" t="s">
        <v>12</v>
      </c>
      <c r="E52" t="s">
        <v>18</v>
      </c>
      <c r="F52" t="s">
        <v>23</v>
      </c>
      <c r="G52" t="s">
        <v>39</v>
      </c>
      <c r="H52">
        <v>3</v>
      </c>
      <c r="I52">
        <v>2263.4699999999998</v>
      </c>
      <c r="J52">
        <v>6111.3689999999997</v>
      </c>
      <c r="K52">
        <v>679.04100000000005</v>
      </c>
      <c r="L52">
        <v>6790.41</v>
      </c>
      <c r="M52">
        <v>1222.2737999999999</v>
      </c>
      <c r="N52">
        <v>8012.6837999999998</v>
      </c>
      <c r="O52" t="s">
        <v>87</v>
      </c>
      <c r="P52" t="s">
        <v>100</v>
      </c>
    </row>
    <row r="53" spans="1:16" x14ac:dyDescent="0.25">
      <c r="A53" s="2">
        <v>45042</v>
      </c>
      <c r="B53" t="s">
        <v>21</v>
      </c>
      <c r="C53" t="s">
        <v>57</v>
      </c>
      <c r="D53" t="s">
        <v>22</v>
      </c>
      <c r="E53" t="s">
        <v>13</v>
      </c>
      <c r="F53" t="s">
        <v>14</v>
      </c>
      <c r="G53" t="s">
        <v>45</v>
      </c>
      <c r="H53">
        <v>20</v>
      </c>
      <c r="I53">
        <v>4365.58</v>
      </c>
      <c r="J53">
        <v>78580.44</v>
      </c>
      <c r="K53">
        <v>8731.1600000000017</v>
      </c>
      <c r="L53">
        <v>87311.6</v>
      </c>
      <c r="M53">
        <v>15716.088</v>
      </c>
      <c r="N53">
        <v>103027.68800000001</v>
      </c>
      <c r="O53" t="s">
        <v>87</v>
      </c>
      <c r="P53" t="s">
        <v>99</v>
      </c>
    </row>
    <row r="54" spans="1:16" x14ac:dyDescent="0.25">
      <c r="A54" s="2">
        <v>44942</v>
      </c>
      <c r="B54" t="s">
        <v>40</v>
      </c>
      <c r="C54" t="s">
        <v>26</v>
      </c>
      <c r="D54" t="s">
        <v>12</v>
      </c>
      <c r="E54" t="s">
        <v>18</v>
      </c>
      <c r="F54" t="s">
        <v>32</v>
      </c>
      <c r="G54" t="s">
        <v>33</v>
      </c>
      <c r="H54">
        <v>20</v>
      </c>
      <c r="I54">
        <v>3925.65</v>
      </c>
      <c r="J54">
        <v>70661.7</v>
      </c>
      <c r="K54">
        <v>7851.3</v>
      </c>
      <c r="L54">
        <v>78513</v>
      </c>
      <c r="M54">
        <v>14132.34</v>
      </c>
      <c r="N54">
        <v>92645.34</v>
      </c>
      <c r="O54" t="s">
        <v>87</v>
      </c>
      <c r="P54" t="s">
        <v>100</v>
      </c>
    </row>
    <row r="55" spans="1:16" x14ac:dyDescent="0.25">
      <c r="A55" s="2">
        <v>45202</v>
      </c>
      <c r="B55" t="s">
        <v>16</v>
      </c>
      <c r="C55" t="s">
        <v>56</v>
      </c>
      <c r="D55" t="s">
        <v>12</v>
      </c>
      <c r="E55" t="s">
        <v>18</v>
      </c>
      <c r="F55" t="s">
        <v>14</v>
      </c>
      <c r="G55" t="s">
        <v>51</v>
      </c>
      <c r="H55">
        <v>3</v>
      </c>
      <c r="I55">
        <v>3613.98</v>
      </c>
      <c r="J55">
        <v>9757.746000000001</v>
      </c>
      <c r="K55">
        <v>1084.1940000000002</v>
      </c>
      <c r="L55">
        <v>10841.94</v>
      </c>
      <c r="M55">
        <v>1951.5491999999999</v>
      </c>
      <c r="N55">
        <v>12793.4892</v>
      </c>
      <c r="O55" t="s">
        <v>87</v>
      </c>
      <c r="P55" t="s">
        <v>100</v>
      </c>
    </row>
    <row r="56" spans="1:16" x14ac:dyDescent="0.25">
      <c r="A56" s="2">
        <v>45088</v>
      </c>
      <c r="B56" t="s">
        <v>38</v>
      </c>
      <c r="C56" t="s">
        <v>26</v>
      </c>
      <c r="D56" t="s">
        <v>12</v>
      </c>
      <c r="E56" t="s">
        <v>18</v>
      </c>
      <c r="F56" t="s">
        <v>19</v>
      </c>
      <c r="G56" t="s">
        <v>48</v>
      </c>
      <c r="H56">
        <v>7</v>
      </c>
      <c r="I56">
        <v>2483.54</v>
      </c>
      <c r="J56">
        <v>15646.302</v>
      </c>
      <c r="K56">
        <v>1738.4780000000001</v>
      </c>
      <c r="L56">
        <v>17384.78</v>
      </c>
      <c r="M56">
        <v>3129.2603999999997</v>
      </c>
      <c r="N56">
        <v>20514.040399999998</v>
      </c>
      <c r="O56" t="s">
        <v>87</v>
      </c>
      <c r="P56" t="s">
        <v>100</v>
      </c>
    </row>
    <row r="57" spans="1:16" x14ac:dyDescent="0.25">
      <c r="A57" s="2">
        <v>45201</v>
      </c>
      <c r="B57" t="s">
        <v>29</v>
      </c>
      <c r="C57" t="s">
        <v>58</v>
      </c>
      <c r="D57" t="s">
        <v>12</v>
      </c>
      <c r="E57" t="s">
        <v>18</v>
      </c>
      <c r="F57" t="s">
        <v>14</v>
      </c>
      <c r="G57" t="s">
        <v>51</v>
      </c>
      <c r="H57">
        <v>14</v>
      </c>
      <c r="I57">
        <v>2145.21</v>
      </c>
      <c r="J57">
        <v>27029.646000000001</v>
      </c>
      <c r="K57">
        <v>3003.2939999999999</v>
      </c>
      <c r="L57">
        <v>30032.94</v>
      </c>
      <c r="M57">
        <v>5405.9291999999996</v>
      </c>
      <c r="N57">
        <v>35438.869200000001</v>
      </c>
      <c r="O57" t="s">
        <v>87</v>
      </c>
      <c r="P57" t="s">
        <v>100</v>
      </c>
    </row>
    <row r="58" spans="1:16" x14ac:dyDescent="0.25">
      <c r="A58" s="2">
        <v>45254</v>
      </c>
      <c r="B58" t="s">
        <v>38</v>
      </c>
      <c r="C58" t="s">
        <v>62</v>
      </c>
      <c r="D58" t="s">
        <v>65</v>
      </c>
      <c r="E58" t="s">
        <v>64</v>
      </c>
      <c r="F58" t="s">
        <v>32</v>
      </c>
      <c r="G58" t="s">
        <v>49</v>
      </c>
      <c r="H58">
        <v>8</v>
      </c>
      <c r="I58">
        <v>4997.45</v>
      </c>
      <c r="J58">
        <v>35981.64</v>
      </c>
      <c r="K58">
        <v>3997.96</v>
      </c>
      <c r="L58">
        <v>39979.599999999999</v>
      </c>
      <c r="M58">
        <v>7196.3279999999995</v>
      </c>
      <c r="N58">
        <v>47175.928</v>
      </c>
      <c r="O58" t="s">
        <v>87</v>
      </c>
      <c r="P58" t="s">
        <v>101</v>
      </c>
    </row>
    <row r="59" spans="1:16" x14ac:dyDescent="0.25">
      <c r="A59" s="2">
        <v>45116</v>
      </c>
      <c r="B59" t="s">
        <v>40</v>
      </c>
      <c r="C59" t="s">
        <v>35</v>
      </c>
      <c r="D59" t="s">
        <v>65</v>
      </c>
      <c r="E59" t="s">
        <v>64</v>
      </c>
      <c r="F59" t="s">
        <v>32</v>
      </c>
      <c r="G59" t="s">
        <v>36</v>
      </c>
      <c r="H59">
        <v>3</v>
      </c>
      <c r="I59">
        <v>1753.98</v>
      </c>
      <c r="J59">
        <v>4735.7460000000001</v>
      </c>
      <c r="K59">
        <v>526.19399999999996</v>
      </c>
      <c r="L59">
        <v>5261.94</v>
      </c>
      <c r="M59">
        <v>947.14919999999984</v>
      </c>
      <c r="N59">
        <v>6209.0891999999994</v>
      </c>
      <c r="O59" t="s">
        <v>87</v>
      </c>
      <c r="P59" t="s">
        <v>101</v>
      </c>
    </row>
    <row r="60" spans="1:16" x14ac:dyDescent="0.25">
      <c r="A60" s="2">
        <v>45036</v>
      </c>
      <c r="B60" t="s">
        <v>31</v>
      </c>
      <c r="C60" t="s">
        <v>57</v>
      </c>
      <c r="D60" t="s">
        <v>22</v>
      </c>
      <c r="E60" t="s">
        <v>13</v>
      </c>
      <c r="F60" t="s">
        <v>32</v>
      </c>
      <c r="G60" t="s">
        <v>49</v>
      </c>
      <c r="H60">
        <v>2</v>
      </c>
      <c r="I60">
        <v>1207.92</v>
      </c>
      <c r="J60">
        <v>2174.2560000000003</v>
      </c>
      <c r="K60">
        <v>241.58400000000003</v>
      </c>
      <c r="L60">
        <v>2415.84</v>
      </c>
      <c r="M60">
        <v>434.85120000000001</v>
      </c>
      <c r="N60">
        <v>2850.6912000000002</v>
      </c>
      <c r="O60" t="s">
        <v>87</v>
      </c>
      <c r="P60" t="s">
        <v>99</v>
      </c>
    </row>
    <row r="61" spans="1:16" x14ac:dyDescent="0.25">
      <c r="A61" s="2">
        <v>44995</v>
      </c>
      <c r="B61" t="s">
        <v>25</v>
      </c>
      <c r="C61" t="s">
        <v>59</v>
      </c>
      <c r="D61" t="s">
        <v>66</v>
      </c>
      <c r="E61" t="s">
        <v>41</v>
      </c>
      <c r="F61" t="s">
        <v>32</v>
      </c>
      <c r="G61" t="s">
        <v>50</v>
      </c>
      <c r="H61">
        <v>13</v>
      </c>
      <c r="I61">
        <v>4196.33</v>
      </c>
      <c r="J61">
        <v>49097.061000000002</v>
      </c>
      <c r="K61">
        <v>5455.2290000000003</v>
      </c>
      <c r="L61">
        <v>54552.29</v>
      </c>
      <c r="M61">
        <v>9819.4122000000007</v>
      </c>
      <c r="N61">
        <v>64371.7022</v>
      </c>
      <c r="O61" t="s">
        <v>87</v>
      </c>
      <c r="P61" t="s">
        <v>66</v>
      </c>
    </row>
    <row r="62" spans="1:16" x14ac:dyDescent="0.25">
      <c r="A62" s="2">
        <v>45049</v>
      </c>
      <c r="B62" t="s">
        <v>43</v>
      </c>
      <c r="C62" t="s">
        <v>63</v>
      </c>
      <c r="D62" t="s">
        <v>65</v>
      </c>
      <c r="E62" t="s">
        <v>64</v>
      </c>
      <c r="F62" t="s">
        <v>19</v>
      </c>
      <c r="G62" t="s">
        <v>20</v>
      </c>
      <c r="H62">
        <v>18</v>
      </c>
      <c r="I62">
        <v>1310.78</v>
      </c>
      <c r="J62">
        <v>21234.636000000002</v>
      </c>
      <c r="K62">
        <v>2359.404</v>
      </c>
      <c r="L62">
        <v>23594.04</v>
      </c>
      <c r="M62">
        <v>4246.9272000000001</v>
      </c>
      <c r="N62">
        <v>27840.967199999999</v>
      </c>
      <c r="O62" t="s">
        <v>87</v>
      </c>
      <c r="P62" t="s">
        <v>101</v>
      </c>
    </row>
    <row r="63" spans="1:16" x14ac:dyDescent="0.25">
      <c r="A63" s="2">
        <v>45228</v>
      </c>
      <c r="B63" t="s">
        <v>40</v>
      </c>
      <c r="C63" t="s">
        <v>59</v>
      </c>
      <c r="D63" t="s">
        <v>66</v>
      </c>
      <c r="E63" t="s">
        <v>41</v>
      </c>
      <c r="F63" t="s">
        <v>14</v>
      </c>
      <c r="G63" t="s">
        <v>51</v>
      </c>
      <c r="H63">
        <v>20</v>
      </c>
      <c r="I63">
        <v>2142.9</v>
      </c>
      <c r="J63">
        <v>38572.200000000004</v>
      </c>
      <c r="K63">
        <v>4285.8</v>
      </c>
      <c r="L63">
        <v>42858</v>
      </c>
      <c r="M63">
        <v>7714.44</v>
      </c>
      <c r="N63">
        <v>50572.44</v>
      </c>
      <c r="O63" t="s">
        <v>87</v>
      </c>
      <c r="P63" t="s">
        <v>66</v>
      </c>
    </row>
    <row r="64" spans="1:16" x14ac:dyDescent="0.25">
      <c r="A64" s="2">
        <v>45263</v>
      </c>
      <c r="B64" t="s">
        <v>43</v>
      </c>
      <c r="C64" t="s">
        <v>26</v>
      </c>
      <c r="D64" t="s">
        <v>12</v>
      </c>
      <c r="E64" t="s">
        <v>18</v>
      </c>
      <c r="F64" t="s">
        <v>32</v>
      </c>
      <c r="G64" t="s">
        <v>50</v>
      </c>
      <c r="H64">
        <v>19</v>
      </c>
      <c r="I64">
        <v>1359.7</v>
      </c>
      <c r="J64">
        <v>23250.87</v>
      </c>
      <c r="K64">
        <v>2583.4300000000003</v>
      </c>
      <c r="L64">
        <v>25834.3</v>
      </c>
      <c r="M64">
        <v>4650.174</v>
      </c>
      <c r="N64">
        <v>30484.473999999998</v>
      </c>
      <c r="O64" t="s">
        <v>87</v>
      </c>
      <c r="P64" t="s">
        <v>100</v>
      </c>
    </row>
    <row r="65" spans="1:16" x14ac:dyDescent="0.25">
      <c r="A65" s="2">
        <v>45072</v>
      </c>
      <c r="B65" t="s">
        <v>10</v>
      </c>
      <c r="C65" t="s">
        <v>62</v>
      </c>
      <c r="D65" t="s">
        <v>65</v>
      </c>
      <c r="E65" t="s">
        <v>64</v>
      </c>
      <c r="F65" t="s">
        <v>14</v>
      </c>
      <c r="G65" t="s">
        <v>51</v>
      </c>
      <c r="H65">
        <v>16</v>
      </c>
      <c r="I65">
        <v>4896.07</v>
      </c>
      <c r="J65">
        <v>70503.407999999996</v>
      </c>
      <c r="K65">
        <v>7833.7119999999995</v>
      </c>
      <c r="L65">
        <v>78337.119999999995</v>
      </c>
      <c r="M65">
        <v>14100.681599999998</v>
      </c>
      <c r="N65">
        <v>92437.801599999992</v>
      </c>
      <c r="O65" t="s">
        <v>87</v>
      </c>
      <c r="P65" t="s">
        <v>101</v>
      </c>
    </row>
    <row r="66" spans="1:16" x14ac:dyDescent="0.25">
      <c r="A66" s="2">
        <v>45286</v>
      </c>
      <c r="B66" t="s">
        <v>29</v>
      </c>
      <c r="C66" t="s">
        <v>54</v>
      </c>
      <c r="D66" t="s">
        <v>12</v>
      </c>
      <c r="E66" t="s">
        <v>18</v>
      </c>
      <c r="F66" t="s">
        <v>19</v>
      </c>
      <c r="G66" t="s">
        <v>48</v>
      </c>
      <c r="H66">
        <v>8</v>
      </c>
      <c r="I66">
        <v>4216.03</v>
      </c>
      <c r="J66">
        <v>30355.415999999997</v>
      </c>
      <c r="K66">
        <v>3372.8240000000001</v>
      </c>
      <c r="L66">
        <v>33728.239999999998</v>
      </c>
      <c r="M66">
        <v>6071.0831999999991</v>
      </c>
      <c r="N66">
        <v>39799.323199999999</v>
      </c>
      <c r="O66" t="s">
        <v>87</v>
      </c>
      <c r="P66" t="s">
        <v>100</v>
      </c>
    </row>
    <row r="67" spans="1:16" x14ac:dyDescent="0.25">
      <c r="A67" s="2">
        <v>45143</v>
      </c>
      <c r="B67" t="s">
        <v>25</v>
      </c>
      <c r="C67" t="s">
        <v>59</v>
      </c>
      <c r="D67" t="s">
        <v>66</v>
      </c>
      <c r="E67" t="s">
        <v>41</v>
      </c>
      <c r="F67" t="s">
        <v>27</v>
      </c>
      <c r="G67" t="s">
        <v>42</v>
      </c>
      <c r="H67">
        <v>14</v>
      </c>
      <c r="I67">
        <v>2134.06</v>
      </c>
      <c r="J67">
        <v>26889.155999999999</v>
      </c>
      <c r="K67">
        <v>2987.6840000000002</v>
      </c>
      <c r="L67">
        <v>29876.84</v>
      </c>
      <c r="M67">
        <v>5377.8311999999996</v>
      </c>
      <c r="N67">
        <v>35254.671199999997</v>
      </c>
      <c r="O67" t="s">
        <v>87</v>
      </c>
      <c r="P67" t="s">
        <v>66</v>
      </c>
    </row>
    <row r="68" spans="1:16" x14ac:dyDescent="0.25">
      <c r="A68" s="2">
        <v>45041</v>
      </c>
      <c r="B68" t="s">
        <v>43</v>
      </c>
      <c r="C68" t="s">
        <v>58</v>
      </c>
      <c r="D68" t="s">
        <v>12</v>
      </c>
      <c r="E68" t="s">
        <v>18</v>
      </c>
      <c r="F68" t="s">
        <v>14</v>
      </c>
      <c r="G68" t="s">
        <v>45</v>
      </c>
      <c r="H68">
        <v>6</v>
      </c>
      <c r="I68">
        <v>1523.33</v>
      </c>
      <c r="J68">
        <v>8225.982</v>
      </c>
      <c r="K68">
        <v>913.99800000000005</v>
      </c>
      <c r="L68">
        <v>9139.98</v>
      </c>
      <c r="M68">
        <v>1645.1963999999998</v>
      </c>
      <c r="N68">
        <v>10785.1764</v>
      </c>
      <c r="O68" t="s">
        <v>87</v>
      </c>
      <c r="P68" t="s">
        <v>100</v>
      </c>
    </row>
    <row r="69" spans="1:16" x14ac:dyDescent="0.25">
      <c r="A69" s="2">
        <v>45043</v>
      </c>
      <c r="B69" t="s">
        <v>21</v>
      </c>
      <c r="C69" t="s">
        <v>55</v>
      </c>
      <c r="D69" t="s">
        <v>66</v>
      </c>
      <c r="E69" t="s">
        <v>41</v>
      </c>
      <c r="F69" t="s">
        <v>27</v>
      </c>
      <c r="G69" t="s">
        <v>28</v>
      </c>
      <c r="H69">
        <v>13</v>
      </c>
      <c r="I69">
        <v>646.63</v>
      </c>
      <c r="J69">
        <v>7565.5710000000008</v>
      </c>
      <c r="K69">
        <v>840.61900000000014</v>
      </c>
      <c r="L69">
        <v>8406.19</v>
      </c>
      <c r="M69">
        <v>1513.1142</v>
      </c>
      <c r="N69">
        <v>9919.3042000000005</v>
      </c>
      <c r="O69" t="s">
        <v>87</v>
      </c>
      <c r="P69" t="s">
        <v>66</v>
      </c>
    </row>
    <row r="70" spans="1:16" x14ac:dyDescent="0.25">
      <c r="A70" s="2">
        <v>45016</v>
      </c>
      <c r="B70" t="s">
        <v>31</v>
      </c>
      <c r="C70" t="s">
        <v>62</v>
      </c>
      <c r="D70" t="s">
        <v>65</v>
      </c>
      <c r="E70" t="s">
        <v>64</v>
      </c>
      <c r="F70" t="s">
        <v>19</v>
      </c>
      <c r="G70" t="s">
        <v>52</v>
      </c>
      <c r="H70">
        <v>4</v>
      </c>
      <c r="I70">
        <v>4965.34</v>
      </c>
      <c r="J70">
        <v>17875.224000000002</v>
      </c>
      <c r="K70">
        <v>1986.1360000000002</v>
      </c>
      <c r="L70">
        <v>19861.36</v>
      </c>
      <c r="M70">
        <v>3575.0448000000001</v>
      </c>
      <c r="N70">
        <v>23436.4048</v>
      </c>
      <c r="O70" t="s">
        <v>87</v>
      </c>
      <c r="P70" t="s">
        <v>101</v>
      </c>
    </row>
    <row r="71" spans="1:16" x14ac:dyDescent="0.25">
      <c r="A71" s="2">
        <v>45103</v>
      </c>
      <c r="B71" t="s">
        <v>38</v>
      </c>
      <c r="C71" t="s">
        <v>59</v>
      </c>
      <c r="D71" t="s">
        <v>66</v>
      </c>
      <c r="E71" t="s">
        <v>41</v>
      </c>
      <c r="F71" t="s">
        <v>19</v>
      </c>
      <c r="G71" t="s">
        <v>30</v>
      </c>
      <c r="H71">
        <v>14</v>
      </c>
      <c r="I71">
        <v>2883.11</v>
      </c>
      <c r="J71">
        <v>36327.186000000002</v>
      </c>
      <c r="K71">
        <v>4036.3540000000003</v>
      </c>
      <c r="L71">
        <v>40363.54</v>
      </c>
      <c r="M71">
        <v>7265.4372000000003</v>
      </c>
      <c r="N71">
        <v>47628.977200000001</v>
      </c>
      <c r="O71" t="s">
        <v>87</v>
      </c>
      <c r="P71" t="s">
        <v>66</v>
      </c>
    </row>
    <row r="72" spans="1:16" x14ac:dyDescent="0.25">
      <c r="A72" s="2">
        <v>45095</v>
      </c>
      <c r="B72" t="s">
        <v>29</v>
      </c>
      <c r="C72" t="s">
        <v>61</v>
      </c>
      <c r="D72" t="s">
        <v>65</v>
      </c>
      <c r="E72" t="s">
        <v>64</v>
      </c>
      <c r="F72" t="s">
        <v>27</v>
      </c>
      <c r="G72" t="s">
        <v>42</v>
      </c>
      <c r="H72">
        <v>9</v>
      </c>
      <c r="I72">
        <v>2819.87</v>
      </c>
      <c r="J72">
        <v>22840.947000000004</v>
      </c>
      <c r="K72">
        <v>2537.8830000000003</v>
      </c>
      <c r="L72">
        <v>25378.83</v>
      </c>
      <c r="M72">
        <v>4568.1894000000002</v>
      </c>
      <c r="N72">
        <v>29947.019400000001</v>
      </c>
      <c r="O72" t="s">
        <v>87</v>
      </c>
      <c r="P72" t="s">
        <v>101</v>
      </c>
    </row>
    <row r="73" spans="1:16" x14ac:dyDescent="0.25">
      <c r="A73" s="2">
        <v>45247</v>
      </c>
      <c r="B73" t="s">
        <v>25</v>
      </c>
      <c r="C73" t="s">
        <v>26</v>
      </c>
      <c r="D73" t="s">
        <v>12</v>
      </c>
      <c r="E73" t="s">
        <v>18</v>
      </c>
      <c r="F73" t="s">
        <v>23</v>
      </c>
      <c r="G73" t="s">
        <v>24</v>
      </c>
      <c r="H73">
        <v>12</v>
      </c>
      <c r="I73">
        <v>3961.23</v>
      </c>
      <c r="J73">
        <v>42781.284</v>
      </c>
      <c r="K73">
        <v>4753.4760000000006</v>
      </c>
      <c r="L73">
        <v>47534.76</v>
      </c>
      <c r="M73">
        <v>8556.2567999999992</v>
      </c>
      <c r="N73">
        <v>56091.016799999998</v>
      </c>
      <c r="O73" t="s">
        <v>87</v>
      </c>
      <c r="P73" t="s">
        <v>100</v>
      </c>
    </row>
    <row r="74" spans="1:16" x14ac:dyDescent="0.25">
      <c r="A74" s="2">
        <v>44987</v>
      </c>
      <c r="B74" t="s">
        <v>31</v>
      </c>
      <c r="C74" t="s">
        <v>55</v>
      </c>
      <c r="D74" t="s">
        <v>66</v>
      </c>
      <c r="E74" t="s">
        <v>41</v>
      </c>
      <c r="F74" t="s">
        <v>23</v>
      </c>
      <c r="G74" t="s">
        <v>24</v>
      </c>
      <c r="H74">
        <v>15</v>
      </c>
      <c r="I74">
        <v>2194.7199999999998</v>
      </c>
      <c r="J74">
        <v>29628.720000000005</v>
      </c>
      <c r="K74">
        <v>3292.0800000000004</v>
      </c>
      <c r="L74">
        <v>32920.800000000003</v>
      </c>
      <c r="M74">
        <v>5925.7440000000006</v>
      </c>
      <c r="N74">
        <v>38846.544000000002</v>
      </c>
      <c r="O74" t="s">
        <v>87</v>
      </c>
      <c r="P74" t="s">
        <v>66</v>
      </c>
    </row>
    <row r="75" spans="1:16" x14ac:dyDescent="0.25">
      <c r="A75" s="2">
        <v>45003</v>
      </c>
      <c r="B75" t="s">
        <v>29</v>
      </c>
      <c r="C75" t="s">
        <v>57</v>
      </c>
      <c r="D75" t="s">
        <v>22</v>
      </c>
      <c r="E75" t="s">
        <v>13</v>
      </c>
      <c r="F75" t="s">
        <v>32</v>
      </c>
      <c r="G75" t="s">
        <v>49</v>
      </c>
      <c r="H75">
        <v>5</v>
      </c>
      <c r="I75">
        <v>3058.74</v>
      </c>
      <c r="J75">
        <v>13764.330000000002</v>
      </c>
      <c r="K75">
        <v>1529.3700000000001</v>
      </c>
      <c r="L75">
        <v>15293.7</v>
      </c>
      <c r="M75">
        <v>2752.866</v>
      </c>
      <c r="N75">
        <v>18046.565999999999</v>
      </c>
      <c r="O75" t="s">
        <v>87</v>
      </c>
      <c r="P75" t="s">
        <v>99</v>
      </c>
    </row>
    <row r="76" spans="1:16" x14ac:dyDescent="0.25">
      <c r="A76" s="2">
        <v>45270</v>
      </c>
      <c r="B76" t="s">
        <v>34</v>
      </c>
      <c r="C76" t="s">
        <v>26</v>
      </c>
      <c r="D76" t="s">
        <v>12</v>
      </c>
      <c r="E76" t="s">
        <v>18</v>
      </c>
      <c r="F76" t="s">
        <v>23</v>
      </c>
      <c r="G76" t="s">
        <v>24</v>
      </c>
      <c r="H76">
        <v>11</v>
      </c>
      <c r="I76">
        <v>827.59</v>
      </c>
      <c r="J76">
        <v>8193.1409999999996</v>
      </c>
      <c r="K76">
        <v>910.34900000000005</v>
      </c>
      <c r="L76">
        <v>9103.49</v>
      </c>
      <c r="M76">
        <v>1638.6281999999999</v>
      </c>
      <c r="N76">
        <v>10742.118199999999</v>
      </c>
      <c r="O76" t="s">
        <v>87</v>
      </c>
      <c r="P76" t="s">
        <v>100</v>
      </c>
    </row>
    <row r="77" spans="1:16" x14ac:dyDescent="0.25">
      <c r="A77" s="2">
        <v>45229</v>
      </c>
      <c r="B77" t="s">
        <v>38</v>
      </c>
      <c r="C77" t="s">
        <v>55</v>
      </c>
      <c r="D77" t="s">
        <v>66</v>
      </c>
      <c r="E77" t="s">
        <v>41</v>
      </c>
      <c r="F77" t="s">
        <v>32</v>
      </c>
      <c r="G77" t="s">
        <v>50</v>
      </c>
      <c r="H77">
        <v>10</v>
      </c>
      <c r="I77">
        <v>2008.29</v>
      </c>
      <c r="J77">
        <v>18074.61</v>
      </c>
      <c r="K77">
        <v>2008.2900000000002</v>
      </c>
      <c r="L77">
        <v>20082.900000000001</v>
      </c>
      <c r="M77">
        <v>3614.922</v>
      </c>
      <c r="N77">
        <v>23697.822</v>
      </c>
      <c r="O77" t="s">
        <v>87</v>
      </c>
      <c r="P77" t="s">
        <v>66</v>
      </c>
    </row>
    <row r="78" spans="1:16" x14ac:dyDescent="0.25">
      <c r="A78" s="2">
        <v>44981</v>
      </c>
      <c r="B78" t="s">
        <v>34</v>
      </c>
      <c r="C78" t="s">
        <v>60</v>
      </c>
      <c r="D78" t="s">
        <v>12</v>
      </c>
      <c r="E78" t="s">
        <v>18</v>
      </c>
      <c r="F78" t="s">
        <v>23</v>
      </c>
      <c r="G78" t="s">
        <v>37</v>
      </c>
      <c r="H78">
        <v>3</v>
      </c>
      <c r="I78">
        <v>4157.17</v>
      </c>
      <c r="J78">
        <v>11224.359</v>
      </c>
      <c r="K78">
        <v>1247.1510000000001</v>
      </c>
      <c r="L78">
        <v>12471.51</v>
      </c>
      <c r="M78">
        <v>2244.8717999999999</v>
      </c>
      <c r="N78">
        <v>14716.381799999999</v>
      </c>
      <c r="O78" t="s">
        <v>87</v>
      </c>
      <c r="P78" t="s">
        <v>100</v>
      </c>
    </row>
    <row r="79" spans="1:16" x14ac:dyDescent="0.25">
      <c r="A79" s="2">
        <v>44964</v>
      </c>
      <c r="B79" t="s">
        <v>25</v>
      </c>
      <c r="C79" t="s">
        <v>62</v>
      </c>
      <c r="D79" t="s">
        <v>65</v>
      </c>
      <c r="E79" t="s">
        <v>64</v>
      </c>
      <c r="F79" t="s">
        <v>14</v>
      </c>
      <c r="G79" t="s">
        <v>53</v>
      </c>
      <c r="H79">
        <v>19</v>
      </c>
      <c r="I79">
        <v>2880.28</v>
      </c>
      <c r="J79">
        <v>49252.788</v>
      </c>
      <c r="K79">
        <v>5472.5320000000002</v>
      </c>
      <c r="L79">
        <v>54725.32</v>
      </c>
      <c r="M79">
        <v>9850.5576000000001</v>
      </c>
      <c r="N79">
        <v>64575.8776</v>
      </c>
      <c r="O79" t="s">
        <v>87</v>
      </c>
      <c r="P79" t="s">
        <v>101</v>
      </c>
    </row>
    <row r="80" spans="1:16" x14ac:dyDescent="0.25">
      <c r="A80" s="2">
        <v>45163</v>
      </c>
      <c r="B80" t="s">
        <v>43</v>
      </c>
      <c r="C80" t="s">
        <v>35</v>
      </c>
      <c r="D80" t="s">
        <v>65</v>
      </c>
      <c r="E80" t="s">
        <v>64</v>
      </c>
      <c r="F80" t="s">
        <v>32</v>
      </c>
      <c r="G80" t="s">
        <v>36</v>
      </c>
      <c r="H80">
        <v>6</v>
      </c>
      <c r="I80">
        <v>1212.76</v>
      </c>
      <c r="J80">
        <v>6548.9040000000005</v>
      </c>
      <c r="K80">
        <v>727.65600000000006</v>
      </c>
      <c r="L80">
        <v>7276.56</v>
      </c>
      <c r="M80">
        <v>1309.7808</v>
      </c>
      <c r="N80">
        <v>8586.3407999999999</v>
      </c>
      <c r="O80" t="s">
        <v>87</v>
      </c>
      <c r="P80" t="s">
        <v>101</v>
      </c>
    </row>
    <row r="81" spans="1:16" x14ac:dyDescent="0.25">
      <c r="A81" s="2">
        <v>45184</v>
      </c>
      <c r="B81" t="s">
        <v>29</v>
      </c>
      <c r="C81" t="s">
        <v>63</v>
      </c>
      <c r="D81" t="s">
        <v>65</v>
      </c>
      <c r="E81" t="s">
        <v>64</v>
      </c>
      <c r="F81" t="s">
        <v>32</v>
      </c>
      <c r="G81" t="s">
        <v>49</v>
      </c>
      <c r="H81">
        <v>11</v>
      </c>
      <c r="I81">
        <v>4463.4799999999996</v>
      </c>
      <c r="J81">
        <v>44188.451999999997</v>
      </c>
      <c r="K81">
        <v>4909.8280000000004</v>
      </c>
      <c r="L81">
        <v>49098.28</v>
      </c>
      <c r="M81">
        <v>8837.6903999999995</v>
      </c>
      <c r="N81">
        <v>57935.970399999998</v>
      </c>
      <c r="O81" t="s">
        <v>87</v>
      </c>
      <c r="P81" t="s">
        <v>101</v>
      </c>
    </row>
    <row r="82" spans="1:16" x14ac:dyDescent="0.25">
      <c r="A82" s="2">
        <v>45088</v>
      </c>
      <c r="B82" t="s">
        <v>38</v>
      </c>
      <c r="C82" t="s">
        <v>57</v>
      </c>
      <c r="D82" t="s">
        <v>22</v>
      </c>
      <c r="E82" t="s">
        <v>13</v>
      </c>
      <c r="F82" t="s">
        <v>19</v>
      </c>
      <c r="G82" t="s">
        <v>30</v>
      </c>
      <c r="H82">
        <v>17</v>
      </c>
      <c r="I82">
        <v>3975.74</v>
      </c>
      <c r="J82">
        <v>60828.822</v>
      </c>
      <c r="K82">
        <v>6758.7580000000007</v>
      </c>
      <c r="L82">
        <v>67587.58</v>
      </c>
      <c r="M82">
        <v>12165.7644</v>
      </c>
      <c r="N82">
        <v>79753.344400000002</v>
      </c>
      <c r="O82" t="s">
        <v>87</v>
      </c>
      <c r="P82" t="s">
        <v>99</v>
      </c>
    </row>
    <row r="83" spans="1:16" x14ac:dyDescent="0.25">
      <c r="A83" s="2">
        <v>45126</v>
      </c>
      <c r="B83" t="s">
        <v>10</v>
      </c>
      <c r="C83" t="s">
        <v>17</v>
      </c>
      <c r="D83" t="s">
        <v>65</v>
      </c>
      <c r="E83" t="s">
        <v>64</v>
      </c>
      <c r="F83" t="s">
        <v>23</v>
      </c>
      <c r="G83" t="s">
        <v>39</v>
      </c>
      <c r="H83">
        <v>15</v>
      </c>
      <c r="I83">
        <v>2158.2199999999998</v>
      </c>
      <c r="J83">
        <v>29135.97</v>
      </c>
      <c r="K83">
        <v>3237.33</v>
      </c>
      <c r="L83">
        <v>32373.3</v>
      </c>
      <c r="M83">
        <v>5827.1939999999995</v>
      </c>
      <c r="N83">
        <v>38200.493999999999</v>
      </c>
      <c r="O83" t="s">
        <v>87</v>
      </c>
      <c r="P83" t="s">
        <v>101</v>
      </c>
    </row>
    <row r="84" spans="1:16" x14ac:dyDescent="0.25">
      <c r="A84" s="2">
        <v>45063</v>
      </c>
      <c r="B84" t="s">
        <v>21</v>
      </c>
      <c r="C84" t="s">
        <v>60</v>
      </c>
      <c r="D84" t="s">
        <v>12</v>
      </c>
      <c r="E84" t="s">
        <v>18</v>
      </c>
      <c r="F84" t="s">
        <v>23</v>
      </c>
      <c r="G84" t="s">
        <v>37</v>
      </c>
      <c r="H84">
        <v>17</v>
      </c>
      <c r="I84">
        <v>1720.9</v>
      </c>
      <c r="J84">
        <v>26329.77</v>
      </c>
      <c r="K84">
        <v>2925.53</v>
      </c>
      <c r="L84">
        <v>29255.3</v>
      </c>
      <c r="M84">
        <v>5265.9539999999997</v>
      </c>
      <c r="N84">
        <v>34521.254000000001</v>
      </c>
      <c r="O84" t="s">
        <v>87</v>
      </c>
      <c r="P84" t="s">
        <v>100</v>
      </c>
    </row>
    <row r="85" spans="1:16" x14ac:dyDescent="0.25">
      <c r="A85" s="2">
        <v>45107</v>
      </c>
      <c r="B85" t="s">
        <v>34</v>
      </c>
      <c r="C85" t="s">
        <v>26</v>
      </c>
      <c r="D85" t="s">
        <v>12</v>
      </c>
      <c r="E85" t="s">
        <v>18</v>
      </c>
      <c r="F85" t="s">
        <v>23</v>
      </c>
      <c r="G85" t="s">
        <v>24</v>
      </c>
      <c r="H85">
        <v>11</v>
      </c>
      <c r="I85">
        <v>3562.92</v>
      </c>
      <c r="J85">
        <v>35272.908000000003</v>
      </c>
      <c r="K85">
        <v>3919.2120000000004</v>
      </c>
      <c r="L85">
        <v>39192.120000000003</v>
      </c>
      <c r="M85">
        <v>7054.5816000000004</v>
      </c>
      <c r="N85">
        <v>46246.7016</v>
      </c>
      <c r="O85" t="s">
        <v>87</v>
      </c>
      <c r="P85" t="s">
        <v>100</v>
      </c>
    </row>
    <row r="86" spans="1:16" x14ac:dyDescent="0.25">
      <c r="A86" s="2">
        <v>45259</v>
      </c>
      <c r="B86" t="s">
        <v>29</v>
      </c>
      <c r="C86" t="s">
        <v>26</v>
      </c>
      <c r="D86" t="s">
        <v>12</v>
      </c>
      <c r="E86" t="s">
        <v>18</v>
      </c>
      <c r="F86" t="s">
        <v>19</v>
      </c>
      <c r="G86" t="s">
        <v>30</v>
      </c>
      <c r="H86">
        <v>17</v>
      </c>
      <c r="I86">
        <v>608.79</v>
      </c>
      <c r="J86">
        <v>9314.487000000001</v>
      </c>
      <c r="K86">
        <v>1034.943</v>
      </c>
      <c r="L86">
        <v>10349.43</v>
      </c>
      <c r="M86">
        <v>1862.8974000000001</v>
      </c>
      <c r="N86">
        <v>12212.3274</v>
      </c>
      <c r="O86" t="s">
        <v>87</v>
      </c>
      <c r="P86" t="s">
        <v>100</v>
      </c>
    </row>
    <row r="87" spans="1:16" x14ac:dyDescent="0.25">
      <c r="A87" s="2">
        <v>45035</v>
      </c>
      <c r="B87" t="s">
        <v>31</v>
      </c>
      <c r="C87" t="s">
        <v>35</v>
      </c>
      <c r="D87" t="s">
        <v>65</v>
      </c>
      <c r="E87" t="s">
        <v>64</v>
      </c>
      <c r="F87" t="s">
        <v>27</v>
      </c>
      <c r="G87" t="s">
        <v>28</v>
      </c>
      <c r="H87">
        <v>20</v>
      </c>
      <c r="I87">
        <v>4856.17</v>
      </c>
      <c r="J87">
        <v>87411.06</v>
      </c>
      <c r="K87">
        <v>9712.34</v>
      </c>
      <c r="L87">
        <v>97123.4</v>
      </c>
      <c r="M87">
        <v>17482.212</v>
      </c>
      <c r="N87">
        <v>114605.61199999999</v>
      </c>
      <c r="O87" t="s">
        <v>87</v>
      </c>
      <c r="P87" t="s">
        <v>101</v>
      </c>
    </row>
    <row r="88" spans="1:16" x14ac:dyDescent="0.25">
      <c r="A88" s="2">
        <v>45043</v>
      </c>
      <c r="B88" t="s">
        <v>43</v>
      </c>
      <c r="C88" t="s">
        <v>58</v>
      </c>
      <c r="D88" t="s">
        <v>12</v>
      </c>
      <c r="E88" t="s">
        <v>18</v>
      </c>
      <c r="F88" t="s">
        <v>19</v>
      </c>
      <c r="G88" t="s">
        <v>20</v>
      </c>
      <c r="H88">
        <v>12</v>
      </c>
      <c r="I88">
        <v>4298</v>
      </c>
      <c r="J88">
        <v>46418.400000000001</v>
      </c>
      <c r="K88">
        <v>5157.6000000000004</v>
      </c>
      <c r="L88">
        <v>51576</v>
      </c>
      <c r="M88">
        <v>9283.68</v>
      </c>
      <c r="N88">
        <v>60859.68</v>
      </c>
      <c r="O88" t="s">
        <v>87</v>
      </c>
      <c r="P88" t="s">
        <v>100</v>
      </c>
    </row>
    <row r="89" spans="1:16" x14ac:dyDescent="0.25">
      <c r="A89" s="2">
        <v>45020</v>
      </c>
      <c r="B89" t="s">
        <v>29</v>
      </c>
      <c r="C89" t="s">
        <v>61</v>
      </c>
      <c r="D89" t="s">
        <v>65</v>
      </c>
      <c r="E89" t="s">
        <v>64</v>
      </c>
      <c r="F89" t="s">
        <v>32</v>
      </c>
      <c r="G89" t="s">
        <v>49</v>
      </c>
      <c r="H89">
        <v>7</v>
      </c>
      <c r="I89">
        <v>1160.3499999999999</v>
      </c>
      <c r="J89">
        <v>7310.2049999999999</v>
      </c>
      <c r="K89">
        <v>812.245</v>
      </c>
      <c r="L89">
        <v>8122.45</v>
      </c>
      <c r="M89">
        <v>1462.0409999999999</v>
      </c>
      <c r="N89">
        <v>9584.491</v>
      </c>
      <c r="O89" t="s">
        <v>87</v>
      </c>
      <c r="P89" t="s">
        <v>101</v>
      </c>
    </row>
    <row r="90" spans="1:16" x14ac:dyDescent="0.25">
      <c r="A90" s="2">
        <v>45145</v>
      </c>
      <c r="B90" t="s">
        <v>34</v>
      </c>
      <c r="C90" t="s">
        <v>58</v>
      </c>
      <c r="D90" t="s">
        <v>12</v>
      </c>
      <c r="E90" t="s">
        <v>18</v>
      </c>
      <c r="F90" t="s">
        <v>23</v>
      </c>
      <c r="G90" t="s">
        <v>37</v>
      </c>
      <c r="H90">
        <v>3</v>
      </c>
      <c r="I90">
        <v>2488.34</v>
      </c>
      <c r="J90">
        <v>6718.5180000000009</v>
      </c>
      <c r="K90">
        <v>746.50200000000007</v>
      </c>
      <c r="L90">
        <v>7465.02</v>
      </c>
      <c r="M90">
        <v>1343.7036000000001</v>
      </c>
      <c r="N90">
        <v>8808.7236000000012</v>
      </c>
      <c r="O90" t="s">
        <v>87</v>
      </c>
      <c r="P90" t="s">
        <v>100</v>
      </c>
    </row>
    <row r="91" spans="1:16" x14ac:dyDescent="0.25">
      <c r="A91" s="2">
        <v>45126</v>
      </c>
      <c r="B91" t="s">
        <v>21</v>
      </c>
      <c r="C91" t="s">
        <v>17</v>
      </c>
      <c r="D91" t="s">
        <v>65</v>
      </c>
      <c r="E91" t="s">
        <v>64</v>
      </c>
      <c r="F91" t="s">
        <v>14</v>
      </c>
      <c r="G91" t="s">
        <v>51</v>
      </c>
      <c r="H91">
        <v>8</v>
      </c>
      <c r="I91">
        <v>1990</v>
      </c>
      <c r="J91">
        <v>14328</v>
      </c>
      <c r="K91">
        <v>1592</v>
      </c>
      <c r="L91">
        <v>15920</v>
      </c>
      <c r="M91">
        <v>2865.6</v>
      </c>
      <c r="N91">
        <v>18785.599999999999</v>
      </c>
      <c r="O91" t="s">
        <v>87</v>
      </c>
      <c r="P91" t="s">
        <v>101</v>
      </c>
    </row>
    <row r="92" spans="1:16" x14ac:dyDescent="0.25">
      <c r="A92" s="2">
        <v>44998</v>
      </c>
      <c r="B92" t="s">
        <v>31</v>
      </c>
      <c r="C92" t="s">
        <v>63</v>
      </c>
      <c r="D92" t="s">
        <v>65</v>
      </c>
      <c r="E92" t="s">
        <v>64</v>
      </c>
      <c r="F92" t="s">
        <v>32</v>
      </c>
      <c r="G92" t="s">
        <v>49</v>
      </c>
      <c r="H92">
        <v>20</v>
      </c>
      <c r="I92">
        <v>2446.21</v>
      </c>
      <c r="J92">
        <v>44031.78</v>
      </c>
      <c r="K92">
        <v>4892.42</v>
      </c>
      <c r="L92">
        <v>48924.2</v>
      </c>
      <c r="M92">
        <v>8806.3559999999998</v>
      </c>
      <c r="N92">
        <v>57730.555999999997</v>
      </c>
      <c r="O92" t="s">
        <v>87</v>
      </c>
      <c r="P92" t="s">
        <v>101</v>
      </c>
    </row>
    <row r="93" spans="1:16" x14ac:dyDescent="0.25">
      <c r="A93" s="2">
        <v>45221</v>
      </c>
      <c r="B93" t="s">
        <v>25</v>
      </c>
      <c r="C93" t="s">
        <v>62</v>
      </c>
      <c r="D93" t="s">
        <v>65</v>
      </c>
      <c r="E93" t="s">
        <v>64</v>
      </c>
      <c r="F93" t="s">
        <v>19</v>
      </c>
      <c r="G93" t="s">
        <v>52</v>
      </c>
      <c r="H93">
        <v>11</v>
      </c>
      <c r="I93">
        <v>1841.84</v>
      </c>
      <c r="J93">
        <v>18234.216</v>
      </c>
      <c r="K93">
        <v>2026.0240000000003</v>
      </c>
      <c r="L93">
        <v>20260.240000000002</v>
      </c>
      <c r="M93">
        <v>3646.8432000000003</v>
      </c>
      <c r="N93">
        <v>23907.083200000001</v>
      </c>
      <c r="O93" t="s">
        <v>87</v>
      </c>
      <c r="P93" t="s">
        <v>101</v>
      </c>
    </row>
    <row r="94" spans="1:16" x14ac:dyDescent="0.25">
      <c r="A94" s="2">
        <v>45261</v>
      </c>
      <c r="B94" t="s">
        <v>31</v>
      </c>
      <c r="C94" t="s">
        <v>26</v>
      </c>
      <c r="D94" t="s">
        <v>12</v>
      </c>
      <c r="E94" t="s">
        <v>18</v>
      </c>
      <c r="F94" t="s">
        <v>32</v>
      </c>
      <c r="G94" t="s">
        <v>33</v>
      </c>
      <c r="H94">
        <v>5</v>
      </c>
      <c r="I94">
        <v>3289.83</v>
      </c>
      <c r="J94">
        <v>14804.235000000002</v>
      </c>
      <c r="K94">
        <v>1644.9150000000002</v>
      </c>
      <c r="L94">
        <v>16449.150000000001</v>
      </c>
      <c r="M94">
        <v>2960.8470000000002</v>
      </c>
      <c r="N94">
        <v>19409.997000000003</v>
      </c>
      <c r="O94" t="s">
        <v>87</v>
      </c>
      <c r="P94" t="s">
        <v>100</v>
      </c>
    </row>
    <row r="95" spans="1:16" x14ac:dyDescent="0.25">
      <c r="A95" s="2">
        <v>45014</v>
      </c>
      <c r="B95" t="s">
        <v>34</v>
      </c>
      <c r="C95" t="s">
        <v>26</v>
      </c>
      <c r="D95" t="s">
        <v>12</v>
      </c>
      <c r="E95" t="s">
        <v>18</v>
      </c>
      <c r="F95" t="s">
        <v>27</v>
      </c>
      <c r="G95" t="s">
        <v>44</v>
      </c>
      <c r="H95">
        <v>6</v>
      </c>
      <c r="I95">
        <v>549.79999999999995</v>
      </c>
      <c r="J95">
        <v>2968.92</v>
      </c>
      <c r="K95">
        <v>329.88000000000005</v>
      </c>
      <c r="L95">
        <v>3298.8</v>
      </c>
      <c r="M95">
        <v>593.78399999999999</v>
      </c>
      <c r="N95">
        <v>3892.5840000000003</v>
      </c>
      <c r="O95" t="s">
        <v>87</v>
      </c>
      <c r="P95" t="s">
        <v>100</v>
      </c>
    </row>
    <row r="96" spans="1:16" x14ac:dyDescent="0.25">
      <c r="A96" s="2">
        <v>44960</v>
      </c>
      <c r="B96" t="s">
        <v>38</v>
      </c>
      <c r="C96" t="s">
        <v>55</v>
      </c>
      <c r="D96" t="s">
        <v>66</v>
      </c>
      <c r="E96" t="s">
        <v>41</v>
      </c>
      <c r="F96" t="s">
        <v>32</v>
      </c>
      <c r="G96" t="s">
        <v>33</v>
      </c>
      <c r="H96">
        <v>20</v>
      </c>
      <c r="I96">
        <v>4397.46</v>
      </c>
      <c r="J96">
        <v>79154.28</v>
      </c>
      <c r="K96">
        <v>8794.92</v>
      </c>
      <c r="L96">
        <v>87949.2</v>
      </c>
      <c r="M96">
        <v>15830.856</v>
      </c>
      <c r="N96">
        <v>103780.056</v>
      </c>
      <c r="O96" t="s">
        <v>87</v>
      </c>
      <c r="P96" t="s">
        <v>66</v>
      </c>
    </row>
    <row r="97" spans="1:16" x14ac:dyDescent="0.25">
      <c r="A97" s="2">
        <v>45057</v>
      </c>
      <c r="B97" t="s">
        <v>34</v>
      </c>
      <c r="C97" t="s">
        <v>54</v>
      </c>
      <c r="D97" t="s">
        <v>12</v>
      </c>
      <c r="E97" t="s">
        <v>18</v>
      </c>
      <c r="F97" t="s">
        <v>27</v>
      </c>
      <c r="G97" t="s">
        <v>28</v>
      </c>
      <c r="H97">
        <v>3</v>
      </c>
      <c r="I97">
        <v>3107.88</v>
      </c>
      <c r="J97">
        <v>8391.2759999999998</v>
      </c>
      <c r="K97">
        <v>932.36400000000003</v>
      </c>
      <c r="L97">
        <v>9323.64</v>
      </c>
      <c r="M97">
        <v>1678.2551999999998</v>
      </c>
      <c r="N97">
        <v>11001.895199999999</v>
      </c>
      <c r="O97" t="s">
        <v>87</v>
      </c>
      <c r="P97" t="s">
        <v>100</v>
      </c>
    </row>
    <row r="98" spans="1:16" x14ac:dyDescent="0.25">
      <c r="A98" s="2">
        <v>45254</v>
      </c>
      <c r="B98" t="s">
        <v>10</v>
      </c>
      <c r="C98" t="s">
        <v>60</v>
      </c>
      <c r="D98" t="s">
        <v>12</v>
      </c>
      <c r="E98" t="s">
        <v>18</v>
      </c>
      <c r="F98" t="s">
        <v>14</v>
      </c>
      <c r="G98" t="s">
        <v>53</v>
      </c>
      <c r="H98">
        <v>11</v>
      </c>
      <c r="I98">
        <v>1451.86</v>
      </c>
      <c r="J98">
        <v>14373.413999999999</v>
      </c>
      <c r="K98">
        <v>1597.046</v>
      </c>
      <c r="L98">
        <v>15970.46</v>
      </c>
      <c r="M98">
        <v>2874.6827999999996</v>
      </c>
      <c r="N98">
        <v>18845.142799999998</v>
      </c>
      <c r="O98" t="s">
        <v>87</v>
      </c>
      <c r="P98" t="s">
        <v>100</v>
      </c>
    </row>
    <row r="99" spans="1:16" x14ac:dyDescent="0.25">
      <c r="A99" s="2">
        <v>45110</v>
      </c>
      <c r="B99" t="s">
        <v>34</v>
      </c>
      <c r="C99" t="s">
        <v>17</v>
      </c>
      <c r="D99" t="s">
        <v>65</v>
      </c>
      <c r="E99" t="s">
        <v>64</v>
      </c>
      <c r="F99" t="s">
        <v>27</v>
      </c>
      <c r="G99" t="s">
        <v>46</v>
      </c>
      <c r="H99">
        <v>13</v>
      </c>
      <c r="I99">
        <v>4087.03</v>
      </c>
      <c r="J99">
        <v>47818.251000000004</v>
      </c>
      <c r="K99">
        <v>5313.1390000000001</v>
      </c>
      <c r="L99">
        <v>53131.39</v>
      </c>
      <c r="M99">
        <v>9563.6502</v>
      </c>
      <c r="N99">
        <v>62695.040200000003</v>
      </c>
      <c r="O99" t="s">
        <v>87</v>
      </c>
      <c r="P99" t="s">
        <v>101</v>
      </c>
    </row>
    <row r="100" spans="1:16" x14ac:dyDescent="0.25">
      <c r="A100" s="2">
        <v>45171</v>
      </c>
      <c r="B100" t="s">
        <v>10</v>
      </c>
      <c r="C100" t="s">
        <v>58</v>
      </c>
      <c r="D100" t="s">
        <v>12</v>
      </c>
      <c r="E100" t="s">
        <v>18</v>
      </c>
      <c r="F100" t="s">
        <v>19</v>
      </c>
      <c r="G100" t="s">
        <v>20</v>
      </c>
      <c r="H100">
        <v>12</v>
      </c>
      <c r="I100">
        <v>3040.08</v>
      </c>
      <c r="J100">
        <v>32832.864000000001</v>
      </c>
      <c r="K100">
        <v>3648.096</v>
      </c>
      <c r="L100">
        <v>36480.959999999999</v>
      </c>
      <c r="M100">
        <v>6566.5727999999999</v>
      </c>
      <c r="N100">
        <v>43047.532800000001</v>
      </c>
      <c r="O100" t="s">
        <v>87</v>
      </c>
      <c r="P100" t="s">
        <v>100</v>
      </c>
    </row>
    <row r="101" spans="1:16" x14ac:dyDescent="0.25">
      <c r="A101" s="2">
        <v>45229</v>
      </c>
      <c r="B101" t="s">
        <v>31</v>
      </c>
      <c r="C101" t="s">
        <v>26</v>
      </c>
      <c r="D101" t="s">
        <v>12</v>
      </c>
      <c r="E101" t="s">
        <v>18</v>
      </c>
      <c r="F101" t="s">
        <v>27</v>
      </c>
      <c r="G101" t="s">
        <v>44</v>
      </c>
      <c r="H101">
        <v>19</v>
      </c>
      <c r="I101">
        <v>3968.42</v>
      </c>
      <c r="J101">
        <v>67859.982000000004</v>
      </c>
      <c r="K101">
        <v>7539.9979999999996</v>
      </c>
      <c r="L101">
        <v>75399.98</v>
      </c>
      <c r="M101">
        <v>13571.996399999998</v>
      </c>
      <c r="N101">
        <v>88971.9764</v>
      </c>
      <c r="O101" t="s">
        <v>87</v>
      </c>
      <c r="P101" t="s">
        <v>100</v>
      </c>
    </row>
    <row r="102" spans="1:16" x14ac:dyDescent="0.25">
      <c r="A102" s="2">
        <v>45122</v>
      </c>
      <c r="B102" t="s">
        <v>43</v>
      </c>
      <c r="C102" t="s">
        <v>57</v>
      </c>
      <c r="D102" t="s">
        <v>22</v>
      </c>
      <c r="E102" t="s">
        <v>13</v>
      </c>
      <c r="F102" t="s">
        <v>32</v>
      </c>
      <c r="G102" t="s">
        <v>36</v>
      </c>
      <c r="H102">
        <v>4</v>
      </c>
      <c r="I102">
        <v>894.64</v>
      </c>
      <c r="J102">
        <v>3220.7040000000002</v>
      </c>
      <c r="K102">
        <v>357.85599999999999</v>
      </c>
      <c r="L102">
        <v>3578.56</v>
      </c>
      <c r="M102">
        <v>644.14080000000001</v>
      </c>
      <c r="N102">
        <v>4222.7007999999996</v>
      </c>
      <c r="O102" t="s">
        <v>87</v>
      </c>
      <c r="P102" t="s">
        <v>99</v>
      </c>
    </row>
    <row r="103" spans="1:16" x14ac:dyDescent="0.25">
      <c r="A103" s="2">
        <v>45233</v>
      </c>
      <c r="B103" t="s">
        <v>34</v>
      </c>
      <c r="C103" t="s">
        <v>57</v>
      </c>
      <c r="D103" t="s">
        <v>22</v>
      </c>
      <c r="E103" t="s">
        <v>13</v>
      </c>
      <c r="F103" t="s">
        <v>27</v>
      </c>
      <c r="G103" t="s">
        <v>46</v>
      </c>
      <c r="H103">
        <v>20</v>
      </c>
      <c r="I103">
        <v>1787.99</v>
      </c>
      <c r="J103">
        <v>32183.820000000003</v>
      </c>
      <c r="K103">
        <v>3575.9800000000005</v>
      </c>
      <c r="L103">
        <v>35759.800000000003</v>
      </c>
      <c r="M103">
        <v>6436.7640000000001</v>
      </c>
      <c r="N103">
        <v>42196.564000000006</v>
      </c>
      <c r="O103" t="s">
        <v>87</v>
      </c>
      <c r="P103" t="s">
        <v>99</v>
      </c>
    </row>
    <row r="104" spans="1:16" x14ac:dyDescent="0.25">
      <c r="A104" s="2">
        <v>45090</v>
      </c>
      <c r="B104" t="s">
        <v>10</v>
      </c>
      <c r="C104" t="s">
        <v>26</v>
      </c>
      <c r="D104" t="s">
        <v>12</v>
      </c>
      <c r="E104" t="s">
        <v>18</v>
      </c>
      <c r="F104" t="s">
        <v>14</v>
      </c>
      <c r="G104" t="s">
        <v>45</v>
      </c>
      <c r="H104">
        <v>17</v>
      </c>
      <c r="I104">
        <v>2910.12</v>
      </c>
      <c r="J104">
        <v>44524.836000000003</v>
      </c>
      <c r="K104">
        <v>4947.2040000000006</v>
      </c>
      <c r="L104">
        <v>49472.04</v>
      </c>
      <c r="M104">
        <v>8904.9671999999991</v>
      </c>
      <c r="N104">
        <v>58377.0072</v>
      </c>
      <c r="O104" t="s">
        <v>87</v>
      </c>
      <c r="P104" t="s">
        <v>100</v>
      </c>
    </row>
    <row r="105" spans="1:16" x14ac:dyDescent="0.25">
      <c r="A105" s="2">
        <v>44960</v>
      </c>
      <c r="B105" t="s">
        <v>43</v>
      </c>
      <c r="C105" t="s">
        <v>17</v>
      </c>
      <c r="D105" t="s">
        <v>65</v>
      </c>
      <c r="E105" t="s">
        <v>64</v>
      </c>
      <c r="F105" t="s">
        <v>27</v>
      </c>
      <c r="G105" t="s">
        <v>28</v>
      </c>
      <c r="H105">
        <v>16</v>
      </c>
      <c r="I105">
        <v>827.8</v>
      </c>
      <c r="J105">
        <v>11920.32</v>
      </c>
      <c r="K105">
        <v>1324.48</v>
      </c>
      <c r="L105">
        <v>13244.8</v>
      </c>
      <c r="M105">
        <v>2384.0639999999999</v>
      </c>
      <c r="N105">
        <v>15628.864</v>
      </c>
      <c r="O105" t="s">
        <v>87</v>
      </c>
      <c r="P105" t="s">
        <v>101</v>
      </c>
    </row>
    <row r="106" spans="1:16" x14ac:dyDescent="0.25">
      <c r="A106" s="2">
        <v>45055</v>
      </c>
      <c r="B106" t="s">
        <v>21</v>
      </c>
      <c r="C106" t="s">
        <v>58</v>
      </c>
      <c r="D106" t="s">
        <v>12</v>
      </c>
      <c r="E106" t="s">
        <v>18</v>
      </c>
      <c r="F106" t="s">
        <v>19</v>
      </c>
      <c r="G106" t="s">
        <v>30</v>
      </c>
      <c r="H106">
        <v>18</v>
      </c>
      <c r="I106">
        <v>3093.44</v>
      </c>
      <c r="J106">
        <v>50113.728000000003</v>
      </c>
      <c r="K106">
        <v>5568.192</v>
      </c>
      <c r="L106">
        <v>55681.919999999998</v>
      </c>
      <c r="M106">
        <v>10022.7456</v>
      </c>
      <c r="N106">
        <v>65704.665599999993</v>
      </c>
      <c r="O106" t="s">
        <v>87</v>
      </c>
      <c r="P106" t="s">
        <v>100</v>
      </c>
    </row>
    <row r="107" spans="1:16" x14ac:dyDescent="0.25">
      <c r="A107" s="2">
        <v>44946</v>
      </c>
      <c r="B107" t="s">
        <v>34</v>
      </c>
      <c r="C107" t="s">
        <v>56</v>
      </c>
      <c r="D107" t="s">
        <v>12</v>
      </c>
      <c r="E107" t="s">
        <v>18</v>
      </c>
      <c r="F107" t="s">
        <v>23</v>
      </c>
      <c r="G107" t="s">
        <v>39</v>
      </c>
      <c r="H107">
        <v>10</v>
      </c>
      <c r="I107">
        <v>2469.04</v>
      </c>
      <c r="J107">
        <v>22221.360000000001</v>
      </c>
      <c r="K107">
        <v>2469.0400000000004</v>
      </c>
      <c r="L107">
        <v>24690.400000000001</v>
      </c>
      <c r="M107">
        <v>4444.2719999999999</v>
      </c>
      <c r="N107">
        <v>29134.672000000002</v>
      </c>
      <c r="O107" t="s">
        <v>87</v>
      </c>
      <c r="P107" t="s">
        <v>100</v>
      </c>
    </row>
    <row r="108" spans="1:16" x14ac:dyDescent="0.25">
      <c r="A108" s="2">
        <v>45062</v>
      </c>
      <c r="B108" t="s">
        <v>21</v>
      </c>
      <c r="C108" t="s">
        <v>56</v>
      </c>
      <c r="D108" t="s">
        <v>12</v>
      </c>
      <c r="E108" t="s">
        <v>18</v>
      </c>
      <c r="F108" t="s">
        <v>19</v>
      </c>
      <c r="G108" t="s">
        <v>20</v>
      </c>
      <c r="H108">
        <v>12</v>
      </c>
      <c r="I108">
        <v>2127.2800000000002</v>
      </c>
      <c r="J108">
        <v>22974.624</v>
      </c>
      <c r="K108">
        <v>2552.7360000000003</v>
      </c>
      <c r="L108">
        <v>25527.360000000001</v>
      </c>
      <c r="M108">
        <v>4594.9247999999998</v>
      </c>
      <c r="N108">
        <v>30122.284800000001</v>
      </c>
      <c r="O108" t="s">
        <v>87</v>
      </c>
      <c r="P108" t="s">
        <v>100</v>
      </c>
    </row>
    <row r="109" spans="1:16" x14ac:dyDescent="0.25">
      <c r="A109" s="2">
        <v>44944</v>
      </c>
      <c r="B109" t="s">
        <v>31</v>
      </c>
      <c r="C109" t="s">
        <v>56</v>
      </c>
      <c r="D109" t="s">
        <v>12</v>
      </c>
      <c r="E109" t="s">
        <v>18</v>
      </c>
      <c r="F109" t="s">
        <v>32</v>
      </c>
      <c r="G109" t="s">
        <v>36</v>
      </c>
      <c r="H109">
        <v>1</v>
      </c>
      <c r="I109">
        <v>1811.76</v>
      </c>
      <c r="J109">
        <v>1630.5840000000001</v>
      </c>
      <c r="K109">
        <v>181.17600000000002</v>
      </c>
      <c r="L109">
        <v>1811.76</v>
      </c>
      <c r="M109">
        <v>326.11680000000001</v>
      </c>
      <c r="N109">
        <v>2137.8768</v>
      </c>
      <c r="O109" t="s">
        <v>87</v>
      </c>
      <c r="P109" t="s">
        <v>100</v>
      </c>
    </row>
    <row r="110" spans="1:16" x14ac:dyDescent="0.25">
      <c r="A110" s="2">
        <v>45075</v>
      </c>
      <c r="B110" t="s">
        <v>40</v>
      </c>
      <c r="C110" t="s">
        <v>62</v>
      </c>
      <c r="D110" t="s">
        <v>65</v>
      </c>
      <c r="E110" t="s">
        <v>64</v>
      </c>
      <c r="F110" t="s">
        <v>14</v>
      </c>
      <c r="G110" t="s">
        <v>45</v>
      </c>
      <c r="H110">
        <v>4</v>
      </c>
      <c r="I110">
        <v>4485.82</v>
      </c>
      <c r="J110">
        <v>16148.951999999999</v>
      </c>
      <c r="K110">
        <v>1794.328</v>
      </c>
      <c r="L110">
        <v>17943.28</v>
      </c>
      <c r="M110">
        <v>3229.7903999999999</v>
      </c>
      <c r="N110">
        <v>21173.070399999997</v>
      </c>
      <c r="O110" t="s">
        <v>87</v>
      </c>
      <c r="P110" t="s">
        <v>101</v>
      </c>
    </row>
    <row r="111" spans="1:16" x14ac:dyDescent="0.25">
      <c r="A111" s="2">
        <v>45172</v>
      </c>
      <c r="B111" t="s">
        <v>40</v>
      </c>
      <c r="C111" t="s">
        <v>57</v>
      </c>
      <c r="D111" t="s">
        <v>22</v>
      </c>
      <c r="E111" t="s">
        <v>13</v>
      </c>
      <c r="F111" t="s">
        <v>32</v>
      </c>
      <c r="G111" t="s">
        <v>36</v>
      </c>
      <c r="H111">
        <v>8</v>
      </c>
      <c r="I111">
        <v>4649.3500000000004</v>
      </c>
      <c r="J111">
        <v>33475.320000000007</v>
      </c>
      <c r="K111">
        <v>3719.4800000000005</v>
      </c>
      <c r="L111">
        <v>37194.800000000003</v>
      </c>
      <c r="M111">
        <v>6695.0640000000003</v>
      </c>
      <c r="N111">
        <v>43889.864000000001</v>
      </c>
      <c r="O111" t="s">
        <v>87</v>
      </c>
      <c r="P111" t="s">
        <v>99</v>
      </c>
    </row>
    <row r="112" spans="1:16" x14ac:dyDescent="0.25">
      <c r="A112" s="2">
        <v>45009</v>
      </c>
      <c r="B112" t="s">
        <v>16</v>
      </c>
      <c r="C112" t="s">
        <v>55</v>
      </c>
      <c r="D112" t="s">
        <v>66</v>
      </c>
      <c r="E112" t="s">
        <v>41</v>
      </c>
      <c r="F112" t="s">
        <v>14</v>
      </c>
      <c r="G112" t="s">
        <v>53</v>
      </c>
      <c r="H112">
        <v>3</v>
      </c>
      <c r="I112">
        <v>4027.17</v>
      </c>
      <c r="J112">
        <v>10873.359</v>
      </c>
      <c r="K112">
        <v>1208.1510000000001</v>
      </c>
      <c r="L112">
        <v>12081.51</v>
      </c>
      <c r="M112">
        <v>2174.6718000000001</v>
      </c>
      <c r="N112">
        <v>14256.1818</v>
      </c>
      <c r="O112" t="s">
        <v>87</v>
      </c>
      <c r="P112" t="s">
        <v>66</v>
      </c>
    </row>
    <row r="113" spans="1:16" x14ac:dyDescent="0.25">
      <c r="A113" s="2">
        <v>45244</v>
      </c>
      <c r="B113" t="s">
        <v>40</v>
      </c>
      <c r="C113" t="s">
        <v>26</v>
      </c>
      <c r="D113" t="s">
        <v>12</v>
      </c>
      <c r="E113" t="s">
        <v>18</v>
      </c>
      <c r="F113" t="s">
        <v>32</v>
      </c>
      <c r="G113" t="s">
        <v>49</v>
      </c>
      <c r="H113">
        <v>14</v>
      </c>
      <c r="I113">
        <v>4406.29</v>
      </c>
      <c r="J113">
        <v>55519.254000000001</v>
      </c>
      <c r="K113">
        <v>6168.8060000000005</v>
      </c>
      <c r="L113">
        <v>61688.06</v>
      </c>
      <c r="M113">
        <v>11103.850799999998</v>
      </c>
      <c r="N113">
        <v>72791.910799999998</v>
      </c>
      <c r="O113" t="s">
        <v>87</v>
      </c>
      <c r="P113" t="s">
        <v>100</v>
      </c>
    </row>
    <row r="114" spans="1:16" x14ac:dyDescent="0.25">
      <c r="A114" s="2">
        <v>45077</v>
      </c>
      <c r="B114" t="s">
        <v>16</v>
      </c>
      <c r="C114" t="s">
        <v>56</v>
      </c>
      <c r="D114" t="s">
        <v>12</v>
      </c>
      <c r="E114" t="s">
        <v>18</v>
      </c>
      <c r="F114" t="s">
        <v>27</v>
      </c>
      <c r="G114" t="s">
        <v>44</v>
      </c>
      <c r="H114">
        <v>20</v>
      </c>
      <c r="I114">
        <v>4072.4</v>
      </c>
      <c r="J114">
        <v>73303.199999999997</v>
      </c>
      <c r="K114">
        <v>8144.8</v>
      </c>
      <c r="L114">
        <v>81448</v>
      </c>
      <c r="M114">
        <v>14660.64</v>
      </c>
      <c r="N114">
        <v>96108.64</v>
      </c>
      <c r="O114" t="s">
        <v>87</v>
      </c>
      <c r="P114" t="s">
        <v>100</v>
      </c>
    </row>
    <row r="115" spans="1:16" x14ac:dyDescent="0.25">
      <c r="A115" s="2">
        <v>45098</v>
      </c>
      <c r="B115" t="s">
        <v>29</v>
      </c>
      <c r="C115" t="s">
        <v>26</v>
      </c>
      <c r="D115" t="s">
        <v>12</v>
      </c>
      <c r="E115" t="s">
        <v>18</v>
      </c>
      <c r="F115" t="s">
        <v>27</v>
      </c>
      <c r="G115" t="s">
        <v>46</v>
      </c>
      <c r="H115">
        <v>1</v>
      </c>
      <c r="I115">
        <v>4801.38</v>
      </c>
      <c r="J115">
        <v>4321.2420000000002</v>
      </c>
      <c r="K115">
        <v>480.13800000000003</v>
      </c>
      <c r="L115">
        <v>4801.38</v>
      </c>
      <c r="M115">
        <v>864.24839999999995</v>
      </c>
      <c r="N115">
        <v>5665.6283999999996</v>
      </c>
      <c r="O115" t="s">
        <v>87</v>
      </c>
      <c r="P115" t="s">
        <v>100</v>
      </c>
    </row>
    <row r="116" spans="1:16" x14ac:dyDescent="0.25">
      <c r="A116" s="2">
        <v>44932</v>
      </c>
      <c r="B116" t="s">
        <v>34</v>
      </c>
      <c r="C116" t="s">
        <v>54</v>
      </c>
      <c r="D116" t="s">
        <v>12</v>
      </c>
      <c r="E116" t="s">
        <v>18</v>
      </c>
      <c r="F116" t="s">
        <v>23</v>
      </c>
      <c r="G116" t="s">
        <v>39</v>
      </c>
      <c r="H116">
        <v>17</v>
      </c>
      <c r="I116">
        <v>828.26</v>
      </c>
      <c r="J116">
        <v>12672.378000000001</v>
      </c>
      <c r="K116">
        <v>1408.0420000000001</v>
      </c>
      <c r="L116">
        <v>14080.42</v>
      </c>
      <c r="M116">
        <v>2534.4755999999998</v>
      </c>
      <c r="N116">
        <v>16614.8956</v>
      </c>
      <c r="O116" t="s">
        <v>87</v>
      </c>
      <c r="P116" t="s">
        <v>100</v>
      </c>
    </row>
    <row r="117" spans="1:16" x14ac:dyDescent="0.25">
      <c r="A117" s="2">
        <v>44935</v>
      </c>
      <c r="B117" t="s">
        <v>25</v>
      </c>
      <c r="C117" t="s">
        <v>60</v>
      </c>
      <c r="D117" t="s">
        <v>12</v>
      </c>
      <c r="E117" t="s">
        <v>18</v>
      </c>
      <c r="F117" t="s">
        <v>27</v>
      </c>
      <c r="G117" t="s">
        <v>44</v>
      </c>
      <c r="H117">
        <v>13</v>
      </c>
      <c r="I117">
        <v>4331.5</v>
      </c>
      <c r="J117">
        <v>50678.55</v>
      </c>
      <c r="K117">
        <v>5630.9500000000007</v>
      </c>
      <c r="L117">
        <v>56309.5</v>
      </c>
      <c r="M117">
        <v>10135.709999999999</v>
      </c>
      <c r="N117">
        <v>66445.209999999992</v>
      </c>
      <c r="O117" t="s">
        <v>87</v>
      </c>
      <c r="P117" t="s">
        <v>100</v>
      </c>
    </row>
    <row r="118" spans="1:16" x14ac:dyDescent="0.25">
      <c r="A118" s="2">
        <v>45172</v>
      </c>
      <c r="B118" t="s">
        <v>29</v>
      </c>
      <c r="C118" t="s">
        <v>59</v>
      </c>
      <c r="D118" t="s">
        <v>66</v>
      </c>
      <c r="E118" t="s">
        <v>41</v>
      </c>
      <c r="F118" t="s">
        <v>23</v>
      </c>
      <c r="G118" t="s">
        <v>39</v>
      </c>
      <c r="H118">
        <v>14</v>
      </c>
      <c r="I118">
        <v>3404.4</v>
      </c>
      <c r="J118">
        <v>42895.44</v>
      </c>
      <c r="K118">
        <v>4766.16</v>
      </c>
      <c r="L118">
        <v>47661.599999999999</v>
      </c>
      <c r="M118">
        <v>8579.0879999999997</v>
      </c>
      <c r="N118">
        <v>56240.687999999995</v>
      </c>
      <c r="O118" t="s">
        <v>87</v>
      </c>
      <c r="P118" t="s">
        <v>66</v>
      </c>
    </row>
    <row r="119" spans="1:16" x14ac:dyDescent="0.25">
      <c r="A119" s="2">
        <v>44956</v>
      </c>
      <c r="B119" t="s">
        <v>40</v>
      </c>
      <c r="C119" t="s">
        <v>11</v>
      </c>
      <c r="D119" t="s">
        <v>22</v>
      </c>
      <c r="E119" t="s">
        <v>13</v>
      </c>
      <c r="F119" t="s">
        <v>14</v>
      </c>
      <c r="G119" t="s">
        <v>53</v>
      </c>
      <c r="H119">
        <v>20</v>
      </c>
      <c r="I119">
        <v>3734.44</v>
      </c>
      <c r="J119">
        <v>67219.92</v>
      </c>
      <c r="K119">
        <v>7468.880000000001</v>
      </c>
      <c r="L119">
        <v>74688.800000000003</v>
      </c>
      <c r="M119">
        <v>13443.984</v>
      </c>
      <c r="N119">
        <v>88132.784</v>
      </c>
      <c r="O119" t="s">
        <v>87</v>
      </c>
      <c r="P119" t="s">
        <v>99</v>
      </c>
    </row>
    <row r="120" spans="1:16" x14ac:dyDescent="0.25">
      <c r="A120" s="2">
        <v>44983</v>
      </c>
      <c r="B120" t="s">
        <v>43</v>
      </c>
      <c r="C120" t="s">
        <v>11</v>
      </c>
      <c r="D120" t="s">
        <v>22</v>
      </c>
      <c r="E120" t="s">
        <v>13</v>
      </c>
      <c r="F120" t="s">
        <v>14</v>
      </c>
      <c r="G120" t="s">
        <v>45</v>
      </c>
      <c r="H120">
        <v>6</v>
      </c>
      <c r="I120">
        <v>112.76</v>
      </c>
      <c r="J120">
        <v>608.904</v>
      </c>
      <c r="K120">
        <v>67.655999999999992</v>
      </c>
      <c r="L120">
        <v>676.56</v>
      </c>
      <c r="M120">
        <v>121.78079999999999</v>
      </c>
      <c r="N120">
        <v>798.34079999999994</v>
      </c>
      <c r="O120" t="s">
        <v>87</v>
      </c>
      <c r="P120" t="s">
        <v>99</v>
      </c>
    </row>
    <row r="121" spans="1:16" x14ac:dyDescent="0.25">
      <c r="A121" s="2">
        <v>45275</v>
      </c>
      <c r="B121" t="s">
        <v>43</v>
      </c>
      <c r="C121" t="s">
        <v>61</v>
      </c>
      <c r="D121" t="s">
        <v>65</v>
      </c>
      <c r="E121" t="s">
        <v>64</v>
      </c>
      <c r="F121" t="s">
        <v>32</v>
      </c>
      <c r="G121" t="s">
        <v>33</v>
      </c>
      <c r="H121">
        <v>6</v>
      </c>
      <c r="I121">
        <v>4751.7700000000004</v>
      </c>
      <c r="J121">
        <v>25659.558000000001</v>
      </c>
      <c r="K121">
        <v>2851.0619999999999</v>
      </c>
      <c r="L121">
        <v>28510.62</v>
      </c>
      <c r="M121">
        <v>5131.9115999999995</v>
      </c>
      <c r="N121">
        <v>33642.531600000002</v>
      </c>
      <c r="O121" t="s">
        <v>87</v>
      </c>
      <c r="P121" t="s">
        <v>101</v>
      </c>
    </row>
    <row r="122" spans="1:16" x14ac:dyDescent="0.25">
      <c r="A122" s="2">
        <v>45115</v>
      </c>
      <c r="B122" t="s">
        <v>21</v>
      </c>
      <c r="C122" t="s">
        <v>60</v>
      </c>
      <c r="D122" t="s">
        <v>12</v>
      </c>
      <c r="E122" t="s">
        <v>18</v>
      </c>
      <c r="F122" t="s">
        <v>27</v>
      </c>
      <c r="G122" t="s">
        <v>44</v>
      </c>
      <c r="H122">
        <v>4</v>
      </c>
      <c r="I122">
        <v>3214.1</v>
      </c>
      <c r="J122">
        <v>11570.76</v>
      </c>
      <c r="K122">
        <v>1285.6400000000001</v>
      </c>
      <c r="L122">
        <v>12856.4</v>
      </c>
      <c r="M122">
        <v>2314.152</v>
      </c>
      <c r="N122">
        <v>15170.552</v>
      </c>
      <c r="O122" t="s">
        <v>87</v>
      </c>
      <c r="P122" t="s">
        <v>100</v>
      </c>
    </row>
    <row r="123" spans="1:16" x14ac:dyDescent="0.25">
      <c r="A123" s="2">
        <v>45192</v>
      </c>
      <c r="B123" t="s">
        <v>10</v>
      </c>
      <c r="C123" t="s">
        <v>61</v>
      </c>
      <c r="D123" t="s">
        <v>65</v>
      </c>
      <c r="E123" t="s">
        <v>64</v>
      </c>
      <c r="F123" t="s">
        <v>32</v>
      </c>
      <c r="G123" t="s">
        <v>36</v>
      </c>
      <c r="H123">
        <v>20</v>
      </c>
      <c r="I123">
        <v>598.97</v>
      </c>
      <c r="J123">
        <v>10781.46</v>
      </c>
      <c r="K123">
        <v>1197.94</v>
      </c>
      <c r="L123">
        <v>11979.4</v>
      </c>
      <c r="M123">
        <v>2156.2919999999999</v>
      </c>
      <c r="N123">
        <v>14135.691999999999</v>
      </c>
      <c r="O123" t="s">
        <v>87</v>
      </c>
      <c r="P123" t="s">
        <v>101</v>
      </c>
    </row>
    <row r="124" spans="1:16" x14ac:dyDescent="0.25">
      <c r="A124" s="2">
        <v>45031</v>
      </c>
      <c r="B124" t="s">
        <v>43</v>
      </c>
      <c r="C124" t="s">
        <v>11</v>
      </c>
      <c r="D124" t="s">
        <v>22</v>
      </c>
      <c r="E124" t="s">
        <v>13</v>
      </c>
      <c r="F124" t="s">
        <v>14</v>
      </c>
      <c r="G124" t="s">
        <v>45</v>
      </c>
      <c r="H124">
        <v>15</v>
      </c>
      <c r="I124">
        <v>1513.67</v>
      </c>
      <c r="J124">
        <v>20434.544999999998</v>
      </c>
      <c r="K124">
        <v>2270.5050000000001</v>
      </c>
      <c r="L124">
        <v>22705.05</v>
      </c>
      <c r="M124">
        <v>4086.9089999999997</v>
      </c>
      <c r="N124">
        <v>26791.958999999999</v>
      </c>
      <c r="O124" t="s">
        <v>87</v>
      </c>
      <c r="P124" t="s">
        <v>99</v>
      </c>
    </row>
    <row r="125" spans="1:16" x14ac:dyDescent="0.25">
      <c r="A125" s="2">
        <v>44999</v>
      </c>
      <c r="B125" t="s">
        <v>34</v>
      </c>
      <c r="C125" t="s">
        <v>63</v>
      </c>
      <c r="D125" t="s">
        <v>65</v>
      </c>
      <c r="E125" t="s">
        <v>64</v>
      </c>
      <c r="F125" t="s">
        <v>23</v>
      </c>
      <c r="G125" t="s">
        <v>37</v>
      </c>
      <c r="H125">
        <v>6</v>
      </c>
      <c r="I125">
        <v>194.62</v>
      </c>
      <c r="J125">
        <v>1050.9480000000001</v>
      </c>
      <c r="K125">
        <v>116.77200000000001</v>
      </c>
      <c r="L125">
        <v>1167.72</v>
      </c>
      <c r="M125">
        <v>210.18959999999998</v>
      </c>
      <c r="N125">
        <v>1377.9096</v>
      </c>
      <c r="O125" t="s">
        <v>87</v>
      </c>
      <c r="P125" t="s">
        <v>101</v>
      </c>
    </row>
    <row r="126" spans="1:16" x14ac:dyDescent="0.25">
      <c r="A126" s="2">
        <v>45261</v>
      </c>
      <c r="B126" t="s">
        <v>38</v>
      </c>
      <c r="C126" t="s">
        <v>63</v>
      </c>
      <c r="D126" t="s">
        <v>65</v>
      </c>
      <c r="E126" t="s">
        <v>64</v>
      </c>
      <c r="F126" t="s">
        <v>23</v>
      </c>
      <c r="G126" t="s">
        <v>37</v>
      </c>
      <c r="H126">
        <v>6</v>
      </c>
      <c r="I126">
        <v>4508.3</v>
      </c>
      <c r="J126">
        <v>24344.82</v>
      </c>
      <c r="K126">
        <v>2704.98</v>
      </c>
      <c r="L126">
        <v>27049.8</v>
      </c>
      <c r="M126">
        <v>4868.9639999999999</v>
      </c>
      <c r="N126">
        <v>31918.763999999999</v>
      </c>
      <c r="O126" t="s">
        <v>87</v>
      </c>
      <c r="P126" t="s">
        <v>101</v>
      </c>
    </row>
    <row r="127" spans="1:16" x14ac:dyDescent="0.25">
      <c r="A127" s="2">
        <v>45180</v>
      </c>
      <c r="B127" t="s">
        <v>31</v>
      </c>
      <c r="C127" t="s">
        <v>35</v>
      </c>
      <c r="D127" t="s">
        <v>65</v>
      </c>
      <c r="E127" t="s">
        <v>64</v>
      </c>
      <c r="F127" t="s">
        <v>14</v>
      </c>
      <c r="G127" t="s">
        <v>53</v>
      </c>
      <c r="H127">
        <v>20</v>
      </c>
      <c r="I127">
        <v>4055.72</v>
      </c>
      <c r="J127">
        <v>73002.959999999992</v>
      </c>
      <c r="K127">
        <v>8111.44</v>
      </c>
      <c r="L127">
        <v>81114.399999999994</v>
      </c>
      <c r="M127">
        <v>14600.591999999999</v>
      </c>
      <c r="N127">
        <v>95714.991999999998</v>
      </c>
      <c r="O127" t="s">
        <v>87</v>
      </c>
      <c r="P127" t="s">
        <v>101</v>
      </c>
    </row>
    <row r="128" spans="1:16" x14ac:dyDescent="0.25">
      <c r="A128" s="2">
        <v>45202</v>
      </c>
      <c r="B128" t="s">
        <v>34</v>
      </c>
      <c r="C128" t="s">
        <v>55</v>
      </c>
      <c r="D128" t="s">
        <v>66</v>
      </c>
      <c r="E128" t="s">
        <v>41</v>
      </c>
      <c r="F128" t="s">
        <v>14</v>
      </c>
      <c r="G128" t="s">
        <v>53</v>
      </c>
      <c r="H128">
        <v>8</v>
      </c>
      <c r="I128">
        <v>2986.89</v>
      </c>
      <c r="J128">
        <v>21505.608</v>
      </c>
      <c r="K128">
        <v>2389.5120000000002</v>
      </c>
      <c r="L128">
        <v>23895.119999999999</v>
      </c>
      <c r="M128">
        <v>4301.1215999999995</v>
      </c>
      <c r="N128">
        <v>28196.241599999998</v>
      </c>
      <c r="O128" t="s">
        <v>87</v>
      </c>
      <c r="P128" t="s">
        <v>66</v>
      </c>
    </row>
    <row r="129" spans="1:16" x14ac:dyDescent="0.25">
      <c r="A129" s="2">
        <v>45041</v>
      </c>
      <c r="B129" t="s">
        <v>29</v>
      </c>
      <c r="C129" t="s">
        <v>58</v>
      </c>
      <c r="D129" t="s">
        <v>12</v>
      </c>
      <c r="E129" t="s">
        <v>18</v>
      </c>
      <c r="F129" t="s">
        <v>32</v>
      </c>
      <c r="G129" t="s">
        <v>49</v>
      </c>
      <c r="H129">
        <v>7</v>
      </c>
      <c r="I129">
        <v>4933.0600000000004</v>
      </c>
      <c r="J129">
        <v>31078.277999999998</v>
      </c>
      <c r="K129">
        <v>3453.1419999999998</v>
      </c>
      <c r="L129">
        <v>34531.42</v>
      </c>
      <c r="M129">
        <v>6215.6555999999991</v>
      </c>
      <c r="N129">
        <v>40747.075599999996</v>
      </c>
      <c r="O129" t="s">
        <v>87</v>
      </c>
      <c r="P129" t="s">
        <v>100</v>
      </c>
    </row>
    <row r="130" spans="1:16" x14ac:dyDescent="0.25">
      <c r="A130" s="2">
        <v>45194</v>
      </c>
      <c r="B130" t="s">
        <v>40</v>
      </c>
      <c r="C130" t="s">
        <v>54</v>
      </c>
      <c r="D130" t="s">
        <v>12</v>
      </c>
      <c r="E130" t="s">
        <v>18</v>
      </c>
      <c r="F130" t="s">
        <v>19</v>
      </c>
      <c r="G130" t="s">
        <v>20</v>
      </c>
      <c r="H130">
        <v>4</v>
      </c>
      <c r="I130">
        <v>4837.17</v>
      </c>
      <c r="J130">
        <v>17413.812000000002</v>
      </c>
      <c r="K130">
        <v>1934.8680000000002</v>
      </c>
      <c r="L130">
        <v>19348.68</v>
      </c>
      <c r="M130">
        <v>3482.7624000000001</v>
      </c>
      <c r="N130">
        <v>22831.4424</v>
      </c>
      <c r="O130" t="s">
        <v>87</v>
      </c>
      <c r="P130" t="s">
        <v>100</v>
      </c>
    </row>
    <row r="131" spans="1:16" x14ac:dyDescent="0.25">
      <c r="A131" s="2">
        <v>45203</v>
      </c>
      <c r="B131" t="s">
        <v>34</v>
      </c>
      <c r="C131" t="s">
        <v>61</v>
      </c>
      <c r="D131" t="s">
        <v>65</v>
      </c>
      <c r="E131" t="s">
        <v>64</v>
      </c>
      <c r="F131" t="s">
        <v>19</v>
      </c>
      <c r="G131" t="s">
        <v>20</v>
      </c>
      <c r="H131">
        <v>1</v>
      </c>
      <c r="I131">
        <v>4813.2299999999996</v>
      </c>
      <c r="J131">
        <v>4331.9070000000002</v>
      </c>
      <c r="K131">
        <v>481.32299999999998</v>
      </c>
      <c r="L131">
        <v>4813.2299999999996</v>
      </c>
      <c r="M131">
        <v>866.38139999999987</v>
      </c>
      <c r="N131">
        <v>5679.6113999999998</v>
      </c>
      <c r="O131" t="s">
        <v>87</v>
      </c>
      <c r="P131" t="s">
        <v>101</v>
      </c>
    </row>
    <row r="132" spans="1:16" x14ac:dyDescent="0.25">
      <c r="A132" s="2">
        <v>45012</v>
      </c>
      <c r="B132" t="s">
        <v>34</v>
      </c>
      <c r="C132" t="s">
        <v>57</v>
      </c>
      <c r="D132" t="s">
        <v>22</v>
      </c>
      <c r="E132" t="s">
        <v>13</v>
      </c>
      <c r="F132" t="s">
        <v>23</v>
      </c>
      <c r="G132" t="s">
        <v>47</v>
      </c>
      <c r="H132">
        <v>16</v>
      </c>
      <c r="I132">
        <v>3158.66</v>
      </c>
      <c r="J132">
        <v>45484.703999999998</v>
      </c>
      <c r="K132">
        <v>5053.8559999999998</v>
      </c>
      <c r="L132">
        <v>50538.559999999998</v>
      </c>
      <c r="M132">
        <v>9096.9407999999985</v>
      </c>
      <c r="N132">
        <v>59635.500799999994</v>
      </c>
      <c r="O132" t="s">
        <v>87</v>
      </c>
      <c r="P132" t="s">
        <v>99</v>
      </c>
    </row>
    <row r="133" spans="1:16" x14ac:dyDescent="0.25">
      <c r="A133" s="2">
        <v>45175</v>
      </c>
      <c r="B133" t="s">
        <v>16</v>
      </c>
      <c r="C133" t="s">
        <v>11</v>
      </c>
      <c r="D133" t="s">
        <v>22</v>
      </c>
      <c r="E133" t="s">
        <v>13</v>
      </c>
      <c r="F133" t="s">
        <v>32</v>
      </c>
      <c r="G133" t="s">
        <v>36</v>
      </c>
      <c r="H133">
        <v>6</v>
      </c>
      <c r="I133">
        <v>2920.43</v>
      </c>
      <c r="J133">
        <v>15770.322000000002</v>
      </c>
      <c r="K133">
        <v>1752.2580000000003</v>
      </c>
      <c r="L133">
        <v>17522.580000000002</v>
      </c>
      <c r="M133">
        <v>3154.0644000000002</v>
      </c>
      <c r="N133">
        <v>20676.644400000001</v>
      </c>
      <c r="O133" t="s">
        <v>87</v>
      </c>
      <c r="P133" t="s">
        <v>99</v>
      </c>
    </row>
    <row r="134" spans="1:16" x14ac:dyDescent="0.25">
      <c r="A134" s="2">
        <v>45267</v>
      </c>
      <c r="B134" t="s">
        <v>16</v>
      </c>
      <c r="C134" t="s">
        <v>11</v>
      </c>
      <c r="D134" t="s">
        <v>22</v>
      </c>
      <c r="E134" t="s">
        <v>13</v>
      </c>
      <c r="F134" t="s">
        <v>23</v>
      </c>
      <c r="G134" t="s">
        <v>37</v>
      </c>
      <c r="H134">
        <v>12</v>
      </c>
      <c r="I134">
        <v>2170.02</v>
      </c>
      <c r="J134">
        <v>23436.216</v>
      </c>
      <c r="K134">
        <v>2604.0240000000003</v>
      </c>
      <c r="L134">
        <v>26040.240000000002</v>
      </c>
      <c r="M134">
        <v>4687.2431999999999</v>
      </c>
      <c r="N134">
        <v>30727.483200000002</v>
      </c>
      <c r="O134" t="s">
        <v>87</v>
      </c>
      <c r="P134" t="s">
        <v>99</v>
      </c>
    </row>
    <row r="135" spans="1:16" x14ac:dyDescent="0.25">
      <c r="A135" s="2">
        <v>45060</v>
      </c>
      <c r="B135" t="s">
        <v>29</v>
      </c>
      <c r="C135" t="s">
        <v>11</v>
      </c>
      <c r="D135" t="s">
        <v>22</v>
      </c>
      <c r="E135" t="s">
        <v>13</v>
      </c>
      <c r="F135" t="s">
        <v>32</v>
      </c>
      <c r="G135" t="s">
        <v>33</v>
      </c>
      <c r="H135">
        <v>2</v>
      </c>
      <c r="I135">
        <v>4542.6099999999997</v>
      </c>
      <c r="J135">
        <v>8176.6979999999994</v>
      </c>
      <c r="K135">
        <v>908.52199999999993</v>
      </c>
      <c r="L135">
        <v>9085.2199999999993</v>
      </c>
      <c r="M135">
        <v>1635.3395999999998</v>
      </c>
      <c r="N135">
        <v>10720.559599999999</v>
      </c>
      <c r="O135" t="s">
        <v>87</v>
      </c>
      <c r="P135" t="s">
        <v>99</v>
      </c>
    </row>
    <row r="136" spans="1:16" x14ac:dyDescent="0.25">
      <c r="A136" s="2">
        <v>45283</v>
      </c>
      <c r="B136" t="s">
        <v>21</v>
      </c>
      <c r="C136" t="s">
        <v>59</v>
      </c>
      <c r="D136" t="s">
        <v>66</v>
      </c>
      <c r="E136" t="s">
        <v>41</v>
      </c>
      <c r="F136" t="s">
        <v>32</v>
      </c>
      <c r="G136" t="s">
        <v>33</v>
      </c>
      <c r="H136">
        <v>1</v>
      </c>
      <c r="I136">
        <v>3091.48</v>
      </c>
      <c r="J136">
        <v>2782.3319999999999</v>
      </c>
      <c r="K136">
        <v>309.14800000000002</v>
      </c>
      <c r="L136">
        <v>3091.48</v>
      </c>
      <c r="M136">
        <v>556.46640000000002</v>
      </c>
      <c r="N136">
        <v>3647.9463999999998</v>
      </c>
      <c r="O136" t="s">
        <v>87</v>
      </c>
      <c r="P136" t="s">
        <v>66</v>
      </c>
    </row>
    <row r="137" spans="1:16" x14ac:dyDescent="0.25">
      <c r="A137" s="2">
        <v>44930</v>
      </c>
      <c r="B137" t="s">
        <v>34</v>
      </c>
      <c r="C137" t="s">
        <v>60</v>
      </c>
      <c r="D137" t="s">
        <v>12</v>
      </c>
      <c r="E137" t="s">
        <v>18</v>
      </c>
      <c r="F137" t="s">
        <v>14</v>
      </c>
      <c r="G137" t="s">
        <v>15</v>
      </c>
      <c r="H137">
        <v>3</v>
      </c>
      <c r="I137">
        <v>2205.6</v>
      </c>
      <c r="J137">
        <v>5955.12</v>
      </c>
      <c r="K137">
        <v>661.68000000000006</v>
      </c>
      <c r="L137">
        <v>6616.8</v>
      </c>
      <c r="M137">
        <v>1191.0239999999999</v>
      </c>
      <c r="N137">
        <v>7807.8240000000005</v>
      </c>
      <c r="O137" t="s">
        <v>87</v>
      </c>
      <c r="P137" t="s">
        <v>100</v>
      </c>
    </row>
    <row r="138" spans="1:16" x14ac:dyDescent="0.25">
      <c r="A138" s="2">
        <v>45129</v>
      </c>
      <c r="B138" t="s">
        <v>21</v>
      </c>
      <c r="C138" t="s">
        <v>11</v>
      </c>
      <c r="D138" t="s">
        <v>22</v>
      </c>
      <c r="E138" t="s">
        <v>13</v>
      </c>
      <c r="F138" t="s">
        <v>32</v>
      </c>
      <c r="G138" t="s">
        <v>49</v>
      </c>
      <c r="H138">
        <v>10</v>
      </c>
      <c r="I138">
        <v>4282.18</v>
      </c>
      <c r="J138">
        <v>38539.620000000003</v>
      </c>
      <c r="K138">
        <v>4282.18</v>
      </c>
      <c r="L138">
        <v>42821.8</v>
      </c>
      <c r="M138">
        <v>7707.924</v>
      </c>
      <c r="N138">
        <v>50529.724000000002</v>
      </c>
      <c r="O138" t="s">
        <v>87</v>
      </c>
      <c r="P138" t="s">
        <v>99</v>
      </c>
    </row>
    <row r="139" spans="1:16" x14ac:dyDescent="0.25">
      <c r="A139" s="2">
        <v>45248</v>
      </c>
      <c r="B139" t="s">
        <v>29</v>
      </c>
      <c r="C139" t="s">
        <v>54</v>
      </c>
      <c r="D139" t="s">
        <v>12</v>
      </c>
      <c r="E139" t="s">
        <v>18</v>
      </c>
      <c r="F139" t="s">
        <v>19</v>
      </c>
      <c r="G139" t="s">
        <v>20</v>
      </c>
      <c r="H139">
        <v>5</v>
      </c>
      <c r="I139">
        <v>4252.84</v>
      </c>
      <c r="J139">
        <v>19137.780000000002</v>
      </c>
      <c r="K139">
        <v>2126.42</v>
      </c>
      <c r="L139">
        <v>21264.2</v>
      </c>
      <c r="M139">
        <v>3827.556</v>
      </c>
      <c r="N139">
        <v>25091.756000000001</v>
      </c>
      <c r="O139" t="s">
        <v>87</v>
      </c>
      <c r="P139" t="s">
        <v>100</v>
      </c>
    </row>
    <row r="140" spans="1:16" x14ac:dyDescent="0.25">
      <c r="A140" s="2">
        <v>44934</v>
      </c>
      <c r="B140" t="s">
        <v>16</v>
      </c>
      <c r="C140" t="s">
        <v>26</v>
      </c>
      <c r="D140" t="s">
        <v>12</v>
      </c>
      <c r="E140" t="s">
        <v>18</v>
      </c>
      <c r="F140" t="s">
        <v>14</v>
      </c>
      <c r="G140" t="s">
        <v>53</v>
      </c>
      <c r="H140">
        <v>3</v>
      </c>
      <c r="I140">
        <v>916.33</v>
      </c>
      <c r="J140">
        <v>2474.0909999999999</v>
      </c>
      <c r="K140">
        <v>274.899</v>
      </c>
      <c r="L140">
        <v>2748.99</v>
      </c>
      <c r="M140">
        <v>494.81819999999993</v>
      </c>
      <c r="N140">
        <v>3243.8081999999995</v>
      </c>
      <c r="O140" t="s">
        <v>87</v>
      </c>
      <c r="P140" t="s">
        <v>100</v>
      </c>
    </row>
    <row r="141" spans="1:16" x14ac:dyDescent="0.25">
      <c r="A141" s="2">
        <v>45029</v>
      </c>
      <c r="B141" t="s">
        <v>16</v>
      </c>
      <c r="C141" t="s">
        <v>35</v>
      </c>
      <c r="D141" t="s">
        <v>65</v>
      </c>
      <c r="E141" t="s">
        <v>64</v>
      </c>
      <c r="F141" t="s">
        <v>14</v>
      </c>
      <c r="G141" t="s">
        <v>53</v>
      </c>
      <c r="H141">
        <v>3</v>
      </c>
      <c r="I141">
        <v>1270.1500000000001</v>
      </c>
      <c r="J141">
        <v>3429.4049999999997</v>
      </c>
      <c r="K141">
        <v>381.04500000000002</v>
      </c>
      <c r="L141">
        <v>3810.45</v>
      </c>
      <c r="M141">
        <v>685.88099999999997</v>
      </c>
      <c r="N141">
        <v>4496.3310000000001</v>
      </c>
      <c r="O141" t="s">
        <v>87</v>
      </c>
      <c r="P141" t="s">
        <v>101</v>
      </c>
    </row>
    <row r="142" spans="1:16" x14ac:dyDescent="0.25">
      <c r="A142" s="2">
        <v>44968</v>
      </c>
      <c r="B142" t="s">
        <v>21</v>
      </c>
      <c r="C142" t="s">
        <v>17</v>
      </c>
      <c r="D142" t="s">
        <v>65</v>
      </c>
      <c r="E142" t="s">
        <v>64</v>
      </c>
      <c r="F142" t="s">
        <v>14</v>
      </c>
      <c r="G142" t="s">
        <v>45</v>
      </c>
      <c r="H142">
        <v>6</v>
      </c>
      <c r="I142">
        <v>1750.35</v>
      </c>
      <c r="J142">
        <v>9451.8900000000012</v>
      </c>
      <c r="K142">
        <v>1050.21</v>
      </c>
      <c r="L142">
        <v>10502.1</v>
      </c>
      <c r="M142">
        <v>1890.3779999999999</v>
      </c>
      <c r="N142">
        <v>12392.478000000001</v>
      </c>
      <c r="O142" t="s">
        <v>87</v>
      </c>
      <c r="P142" t="s">
        <v>101</v>
      </c>
    </row>
    <row r="143" spans="1:16" x14ac:dyDescent="0.25">
      <c r="A143" s="2">
        <v>45230</v>
      </c>
      <c r="B143" t="s">
        <v>10</v>
      </c>
      <c r="C143" t="s">
        <v>17</v>
      </c>
      <c r="D143" t="s">
        <v>65</v>
      </c>
      <c r="E143" t="s">
        <v>64</v>
      </c>
      <c r="F143" t="s">
        <v>27</v>
      </c>
      <c r="G143" t="s">
        <v>28</v>
      </c>
      <c r="H143">
        <v>6</v>
      </c>
      <c r="I143">
        <v>1105.03</v>
      </c>
      <c r="J143">
        <v>5967.1620000000003</v>
      </c>
      <c r="K143">
        <v>663.01800000000003</v>
      </c>
      <c r="L143">
        <v>6630.18</v>
      </c>
      <c r="M143">
        <v>1193.4323999999999</v>
      </c>
      <c r="N143">
        <v>7823.6124</v>
      </c>
      <c r="O143" t="s">
        <v>87</v>
      </c>
      <c r="P143" t="s">
        <v>101</v>
      </c>
    </row>
    <row r="144" spans="1:16" x14ac:dyDescent="0.25">
      <c r="A144" s="2">
        <v>45011</v>
      </c>
      <c r="B144" t="s">
        <v>34</v>
      </c>
      <c r="C144" t="s">
        <v>17</v>
      </c>
      <c r="D144" t="s">
        <v>65</v>
      </c>
      <c r="E144" t="s">
        <v>64</v>
      </c>
      <c r="F144" t="s">
        <v>14</v>
      </c>
      <c r="G144" t="s">
        <v>15</v>
      </c>
      <c r="H144">
        <v>17</v>
      </c>
      <c r="I144">
        <v>1801.69</v>
      </c>
      <c r="J144">
        <v>27565.857</v>
      </c>
      <c r="K144">
        <v>3062.873</v>
      </c>
      <c r="L144">
        <v>30628.73</v>
      </c>
      <c r="M144">
        <v>5513.1713999999993</v>
      </c>
      <c r="N144">
        <v>36141.901400000002</v>
      </c>
      <c r="O144" t="s">
        <v>87</v>
      </c>
      <c r="P144" t="s">
        <v>101</v>
      </c>
    </row>
    <row r="145" spans="1:16" x14ac:dyDescent="0.25">
      <c r="A145" s="2">
        <v>45116</v>
      </c>
      <c r="B145" t="s">
        <v>38</v>
      </c>
      <c r="C145" t="s">
        <v>62</v>
      </c>
      <c r="D145" t="s">
        <v>65</v>
      </c>
      <c r="E145" t="s">
        <v>64</v>
      </c>
      <c r="F145" t="s">
        <v>32</v>
      </c>
      <c r="G145" t="s">
        <v>33</v>
      </c>
      <c r="H145">
        <v>19</v>
      </c>
      <c r="I145">
        <v>717.29</v>
      </c>
      <c r="J145">
        <v>12265.659</v>
      </c>
      <c r="K145">
        <v>1362.8510000000001</v>
      </c>
      <c r="L145">
        <v>13628.51</v>
      </c>
      <c r="M145">
        <v>2453.1318000000001</v>
      </c>
      <c r="N145">
        <v>16081.641800000001</v>
      </c>
      <c r="O145" t="s">
        <v>87</v>
      </c>
      <c r="P145" t="s">
        <v>101</v>
      </c>
    </row>
    <row r="146" spans="1:16" x14ac:dyDescent="0.25">
      <c r="A146" s="2">
        <v>45221</v>
      </c>
      <c r="B146" t="s">
        <v>21</v>
      </c>
      <c r="C146" t="s">
        <v>63</v>
      </c>
      <c r="D146" t="s">
        <v>65</v>
      </c>
      <c r="E146" t="s">
        <v>64</v>
      </c>
      <c r="F146" t="s">
        <v>19</v>
      </c>
      <c r="G146" t="s">
        <v>48</v>
      </c>
      <c r="H146">
        <v>2</v>
      </c>
      <c r="I146">
        <v>4547.16</v>
      </c>
      <c r="J146">
        <v>8184.8879999999999</v>
      </c>
      <c r="K146">
        <v>909.43200000000002</v>
      </c>
      <c r="L146">
        <v>9094.32</v>
      </c>
      <c r="M146">
        <v>1636.9775999999999</v>
      </c>
      <c r="N146">
        <v>10731.2976</v>
      </c>
      <c r="O146" t="s">
        <v>87</v>
      </c>
      <c r="P146" t="s">
        <v>101</v>
      </c>
    </row>
    <row r="147" spans="1:16" x14ac:dyDescent="0.25">
      <c r="A147" s="2">
        <v>45234</v>
      </c>
      <c r="B147" t="s">
        <v>34</v>
      </c>
      <c r="C147" t="s">
        <v>26</v>
      </c>
      <c r="D147" t="s">
        <v>12</v>
      </c>
      <c r="E147" t="s">
        <v>18</v>
      </c>
      <c r="F147" t="s">
        <v>23</v>
      </c>
      <c r="G147" t="s">
        <v>24</v>
      </c>
      <c r="H147">
        <v>2</v>
      </c>
      <c r="I147">
        <v>4818.49</v>
      </c>
      <c r="J147">
        <v>8673.2819999999992</v>
      </c>
      <c r="K147">
        <v>963.69799999999998</v>
      </c>
      <c r="L147">
        <v>9636.98</v>
      </c>
      <c r="M147">
        <v>1734.6563999999998</v>
      </c>
      <c r="N147">
        <v>11371.636399999999</v>
      </c>
      <c r="O147" t="s">
        <v>87</v>
      </c>
      <c r="P147" t="s">
        <v>100</v>
      </c>
    </row>
    <row r="148" spans="1:16" x14ac:dyDescent="0.25">
      <c r="A148" s="2">
        <v>45240</v>
      </c>
      <c r="B148" t="s">
        <v>25</v>
      </c>
      <c r="C148" t="s">
        <v>56</v>
      </c>
      <c r="D148" t="s">
        <v>12</v>
      </c>
      <c r="E148" t="s">
        <v>18</v>
      </c>
      <c r="F148" t="s">
        <v>19</v>
      </c>
      <c r="G148" t="s">
        <v>20</v>
      </c>
      <c r="H148">
        <v>14</v>
      </c>
      <c r="I148">
        <v>1410.91</v>
      </c>
      <c r="J148">
        <v>17777.466</v>
      </c>
      <c r="K148">
        <v>1975.2740000000003</v>
      </c>
      <c r="L148">
        <v>19752.740000000002</v>
      </c>
      <c r="M148">
        <v>3555.4932000000003</v>
      </c>
      <c r="N148">
        <v>23308.233200000002</v>
      </c>
      <c r="O148" t="s">
        <v>87</v>
      </c>
      <c r="P148" t="s">
        <v>100</v>
      </c>
    </row>
    <row r="149" spans="1:16" x14ac:dyDescent="0.25">
      <c r="A149" s="2">
        <v>45005</v>
      </c>
      <c r="B149" t="s">
        <v>43</v>
      </c>
      <c r="C149" t="s">
        <v>54</v>
      </c>
      <c r="D149" t="s">
        <v>12</v>
      </c>
      <c r="E149" t="s">
        <v>18</v>
      </c>
      <c r="F149" t="s">
        <v>23</v>
      </c>
      <c r="G149" t="s">
        <v>24</v>
      </c>
      <c r="H149">
        <v>20</v>
      </c>
      <c r="I149">
        <v>239.35</v>
      </c>
      <c r="J149">
        <v>4308.3</v>
      </c>
      <c r="K149">
        <v>478.70000000000005</v>
      </c>
      <c r="L149">
        <v>4787</v>
      </c>
      <c r="M149">
        <v>861.66</v>
      </c>
      <c r="N149">
        <v>5648.66</v>
      </c>
      <c r="O149" t="s">
        <v>87</v>
      </c>
      <c r="P149" t="s">
        <v>100</v>
      </c>
    </row>
    <row r="150" spans="1:16" x14ac:dyDescent="0.25">
      <c r="A150" s="2">
        <v>45079</v>
      </c>
      <c r="B150" t="s">
        <v>29</v>
      </c>
      <c r="C150" t="s">
        <v>63</v>
      </c>
      <c r="D150" t="s">
        <v>65</v>
      </c>
      <c r="E150" t="s">
        <v>64</v>
      </c>
      <c r="F150" t="s">
        <v>19</v>
      </c>
      <c r="G150" t="s">
        <v>48</v>
      </c>
      <c r="H150">
        <v>16</v>
      </c>
      <c r="I150">
        <v>4096.74</v>
      </c>
      <c r="J150">
        <v>58993.055999999997</v>
      </c>
      <c r="K150">
        <v>6554.7839999999997</v>
      </c>
      <c r="L150">
        <v>65547.839999999997</v>
      </c>
      <c r="M150">
        <v>11798.611199999999</v>
      </c>
      <c r="N150">
        <v>77346.451199999996</v>
      </c>
      <c r="O150" t="s">
        <v>87</v>
      </c>
      <c r="P150" t="s">
        <v>101</v>
      </c>
    </row>
    <row r="151" spans="1:16" x14ac:dyDescent="0.25">
      <c r="A151" s="2">
        <v>44945</v>
      </c>
      <c r="B151" t="s">
        <v>29</v>
      </c>
      <c r="C151" t="s">
        <v>56</v>
      </c>
      <c r="D151" t="s">
        <v>12</v>
      </c>
      <c r="E151" t="s">
        <v>18</v>
      </c>
      <c r="F151" t="s">
        <v>19</v>
      </c>
      <c r="G151" t="s">
        <v>30</v>
      </c>
      <c r="H151">
        <v>14</v>
      </c>
      <c r="I151">
        <v>3507.25</v>
      </c>
      <c r="J151">
        <v>44191.35</v>
      </c>
      <c r="K151">
        <v>4910.1500000000005</v>
      </c>
      <c r="L151">
        <v>49101.5</v>
      </c>
      <c r="M151">
        <v>8838.27</v>
      </c>
      <c r="N151">
        <v>57939.770000000004</v>
      </c>
      <c r="O151" t="s">
        <v>87</v>
      </c>
      <c r="P151" t="s">
        <v>100</v>
      </c>
    </row>
    <row r="152" spans="1:16" x14ac:dyDescent="0.25">
      <c r="A152" s="2">
        <v>44971</v>
      </c>
      <c r="B152" t="s">
        <v>25</v>
      </c>
      <c r="C152" t="s">
        <v>59</v>
      </c>
      <c r="D152" t="s">
        <v>66</v>
      </c>
      <c r="E152" t="s">
        <v>41</v>
      </c>
      <c r="F152" t="s">
        <v>19</v>
      </c>
      <c r="G152" t="s">
        <v>48</v>
      </c>
      <c r="H152">
        <v>16</v>
      </c>
      <c r="I152">
        <v>4507.37</v>
      </c>
      <c r="J152">
        <v>64906.127999999997</v>
      </c>
      <c r="K152">
        <v>7211.7920000000004</v>
      </c>
      <c r="L152">
        <v>72117.919999999998</v>
      </c>
      <c r="M152">
        <v>12981.2256</v>
      </c>
      <c r="N152">
        <v>85099.145600000003</v>
      </c>
      <c r="O152" t="s">
        <v>87</v>
      </c>
      <c r="P152" t="s">
        <v>66</v>
      </c>
    </row>
    <row r="153" spans="1:16" x14ac:dyDescent="0.25">
      <c r="A153" s="2">
        <v>45072</v>
      </c>
      <c r="B153" t="s">
        <v>29</v>
      </c>
      <c r="C153" t="s">
        <v>26</v>
      </c>
      <c r="D153" t="s">
        <v>12</v>
      </c>
      <c r="E153" t="s">
        <v>18</v>
      </c>
      <c r="F153" t="s">
        <v>14</v>
      </c>
      <c r="G153" t="s">
        <v>45</v>
      </c>
      <c r="H153">
        <v>10</v>
      </c>
      <c r="I153">
        <v>239.55</v>
      </c>
      <c r="J153">
        <v>2155.9500000000003</v>
      </c>
      <c r="K153">
        <v>239.55</v>
      </c>
      <c r="L153">
        <v>2395.5</v>
      </c>
      <c r="M153">
        <v>431.19</v>
      </c>
      <c r="N153">
        <v>2826.69</v>
      </c>
      <c r="O153" t="s">
        <v>87</v>
      </c>
      <c r="P153" t="s">
        <v>100</v>
      </c>
    </row>
    <row r="154" spans="1:16" x14ac:dyDescent="0.25">
      <c r="A154" s="2">
        <v>45095</v>
      </c>
      <c r="B154" t="s">
        <v>10</v>
      </c>
      <c r="C154" t="s">
        <v>11</v>
      </c>
      <c r="D154" t="s">
        <v>22</v>
      </c>
      <c r="E154" t="s">
        <v>13</v>
      </c>
      <c r="F154" t="s">
        <v>19</v>
      </c>
      <c r="G154" t="s">
        <v>30</v>
      </c>
      <c r="H154">
        <v>17</v>
      </c>
      <c r="I154">
        <v>679.78</v>
      </c>
      <c r="J154">
        <v>10400.634</v>
      </c>
      <c r="K154">
        <v>1155.626</v>
      </c>
      <c r="L154">
        <v>11556.26</v>
      </c>
      <c r="M154">
        <v>2080.1268</v>
      </c>
      <c r="N154">
        <v>13636.3868</v>
      </c>
      <c r="O154" t="s">
        <v>87</v>
      </c>
      <c r="P154" t="s">
        <v>99</v>
      </c>
    </row>
    <row r="155" spans="1:16" x14ac:dyDescent="0.25">
      <c r="A155" s="2">
        <v>45255</v>
      </c>
      <c r="B155" t="s">
        <v>29</v>
      </c>
      <c r="C155" t="s">
        <v>57</v>
      </c>
      <c r="D155" t="s">
        <v>22</v>
      </c>
      <c r="E155" t="s">
        <v>13</v>
      </c>
      <c r="F155" t="s">
        <v>14</v>
      </c>
      <c r="G155" t="s">
        <v>53</v>
      </c>
      <c r="H155">
        <v>18</v>
      </c>
      <c r="I155">
        <v>2658.57</v>
      </c>
      <c r="J155">
        <v>43068.834000000003</v>
      </c>
      <c r="K155">
        <v>4785.4260000000004</v>
      </c>
      <c r="L155">
        <v>47854.26</v>
      </c>
      <c r="M155">
        <v>8613.7667999999994</v>
      </c>
      <c r="N155">
        <v>56468.0268</v>
      </c>
      <c r="O155" t="s">
        <v>87</v>
      </c>
      <c r="P155" t="s">
        <v>99</v>
      </c>
    </row>
    <row r="156" spans="1:16" x14ac:dyDescent="0.25">
      <c r="A156" s="2">
        <v>45062</v>
      </c>
      <c r="B156" t="s">
        <v>38</v>
      </c>
      <c r="C156" t="s">
        <v>17</v>
      </c>
      <c r="D156" t="s">
        <v>65</v>
      </c>
      <c r="E156" t="s">
        <v>64</v>
      </c>
      <c r="F156" t="s">
        <v>14</v>
      </c>
      <c r="G156" t="s">
        <v>15</v>
      </c>
      <c r="H156">
        <v>18</v>
      </c>
      <c r="I156">
        <v>4937.99</v>
      </c>
      <c r="J156">
        <v>79995.438000000009</v>
      </c>
      <c r="K156">
        <v>8888.3820000000014</v>
      </c>
      <c r="L156">
        <v>88883.82</v>
      </c>
      <c r="M156">
        <v>15999.087600000001</v>
      </c>
      <c r="N156">
        <v>104882.90760000001</v>
      </c>
      <c r="O156" t="s">
        <v>87</v>
      </c>
      <c r="P156" t="s">
        <v>101</v>
      </c>
    </row>
    <row r="157" spans="1:16" x14ac:dyDescent="0.25">
      <c r="A157" s="2">
        <v>45244</v>
      </c>
      <c r="B157" t="s">
        <v>38</v>
      </c>
      <c r="C157" t="s">
        <v>60</v>
      </c>
      <c r="D157" t="s">
        <v>12</v>
      </c>
      <c r="E157" t="s">
        <v>18</v>
      </c>
      <c r="F157" t="s">
        <v>14</v>
      </c>
      <c r="G157" t="s">
        <v>51</v>
      </c>
      <c r="H157">
        <v>17</v>
      </c>
      <c r="I157">
        <v>3421.31</v>
      </c>
      <c r="J157">
        <v>52346.042999999998</v>
      </c>
      <c r="K157">
        <v>5816.2269999999999</v>
      </c>
      <c r="L157">
        <v>58162.27</v>
      </c>
      <c r="M157">
        <v>10469.2086</v>
      </c>
      <c r="N157">
        <v>68631.478600000002</v>
      </c>
      <c r="O157" t="s">
        <v>87</v>
      </c>
      <c r="P157" t="s">
        <v>100</v>
      </c>
    </row>
    <row r="158" spans="1:16" x14ac:dyDescent="0.25">
      <c r="A158" s="2">
        <v>45248</v>
      </c>
      <c r="B158" t="s">
        <v>43</v>
      </c>
      <c r="C158" t="s">
        <v>61</v>
      </c>
      <c r="D158" t="s">
        <v>65</v>
      </c>
      <c r="E158" t="s">
        <v>64</v>
      </c>
      <c r="F158" t="s">
        <v>32</v>
      </c>
      <c r="G158" t="s">
        <v>33</v>
      </c>
      <c r="H158">
        <v>4</v>
      </c>
      <c r="I158">
        <v>1555.9</v>
      </c>
      <c r="J158">
        <v>5601.2400000000007</v>
      </c>
      <c r="K158">
        <v>622.36000000000013</v>
      </c>
      <c r="L158">
        <v>6223.6</v>
      </c>
      <c r="M158">
        <v>1120.248</v>
      </c>
      <c r="N158">
        <v>7343.848</v>
      </c>
      <c r="O158" t="s">
        <v>87</v>
      </c>
      <c r="P158" t="s">
        <v>101</v>
      </c>
    </row>
    <row r="159" spans="1:16" x14ac:dyDescent="0.25">
      <c r="A159" s="2">
        <v>45076</v>
      </c>
      <c r="B159" t="s">
        <v>31</v>
      </c>
      <c r="C159" t="s">
        <v>59</v>
      </c>
      <c r="D159" t="s">
        <v>66</v>
      </c>
      <c r="E159" t="s">
        <v>41</v>
      </c>
      <c r="F159" t="s">
        <v>32</v>
      </c>
      <c r="G159" t="s">
        <v>33</v>
      </c>
      <c r="H159">
        <v>12</v>
      </c>
      <c r="I159">
        <v>932.42</v>
      </c>
      <c r="J159">
        <v>10070.136</v>
      </c>
      <c r="K159">
        <v>1118.9040000000002</v>
      </c>
      <c r="L159">
        <v>11189.04</v>
      </c>
      <c r="M159">
        <v>2014.0272</v>
      </c>
      <c r="N159">
        <v>13203.067200000001</v>
      </c>
      <c r="O159" t="s">
        <v>87</v>
      </c>
      <c r="P159" t="s">
        <v>66</v>
      </c>
    </row>
    <row r="160" spans="1:16" x14ac:dyDescent="0.25">
      <c r="A160" s="2">
        <v>45098</v>
      </c>
      <c r="B160" t="s">
        <v>29</v>
      </c>
      <c r="C160" t="s">
        <v>57</v>
      </c>
      <c r="D160" t="s">
        <v>22</v>
      </c>
      <c r="E160" t="s">
        <v>13</v>
      </c>
      <c r="F160" t="s">
        <v>14</v>
      </c>
      <c r="G160" t="s">
        <v>53</v>
      </c>
      <c r="H160">
        <v>20</v>
      </c>
      <c r="I160">
        <v>459.48</v>
      </c>
      <c r="J160">
        <v>8270.6400000000012</v>
      </c>
      <c r="K160">
        <v>918.96</v>
      </c>
      <c r="L160">
        <v>9189.6</v>
      </c>
      <c r="M160">
        <v>1654.1279999999999</v>
      </c>
      <c r="N160">
        <v>10843.728000000001</v>
      </c>
      <c r="O160" t="s">
        <v>87</v>
      </c>
      <c r="P160" t="s">
        <v>99</v>
      </c>
    </row>
    <row r="161" spans="1:16" x14ac:dyDescent="0.25">
      <c r="A161" s="2">
        <v>45014</v>
      </c>
      <c r="B161" t="s">
        <v>16</v>
      </c>
      <c r="C161" t="s">
        <v>54</v>
      </c>
      <c r="D161" t="s">
        <v>12</v>
      </c>
      <c r="E161" t="s">
        <v>18</v>
      </c>
      <c r="F161" t="s">
        <v>32</v>
      </c>
      <c r="G161" t="s">
        <v>49</v>
      </c>
      <c r="H161">
        <v>5</v>
      </c>
      <c r="I161">
        <v>568.87</v>
      </c>
      <c r="J161">
        <v>2559.915</v>
      </c>
      <c r="K161">
        <v>284.435</v>
      </c>
      <c r="L161">
        <v>2844.35</v>
      </c>
      <c r="M161">
        <v>511.98299999999995</v>
      </c>
      <c r="N161">
        <v>3356.3329999999996</v>
      </c>
      <c r="O161" t="s">
        <v>87</v>
      </c>
      <c r="P161" t="s">
        <v>100</v>
      </c>
    </row>
    <row r="162" spans="1:16" x14ac:dyDescent="0.25">
      <c r="A162" s="2">
        <v>45063</v>
      </c>
      <c r="B162" t="s">
        <v>21</v>
      </c>
      <c r="C162" t="s">
        <v>62</v>
      </c>
      <c r="D162" t="s">
        <v>65</v>
      </c>
      <c r="E162" t="s">
        <v>64</v>
      </c>
      <c r="F162" t="s">
        <v>23</v>
      </c>
      <c r="G162" t="s">
        <v>47</v>
      </c>
      <c r="H162">
        <v>10</v>
      </c>
      <c r="I162">
        <v>1468.96</v>
      </c>
      <c r="J162">
        <v>13220.640000000001</v>
      </c>
      <c r="K162">
        <v>1468.96</v>
      </c>
      <c r="L162">
        <v>14689.6</v>
      </c>
      <c r="M162">
        <v>2644.1280000000002</v>
      </c>
      <c r="N162">
        <v>17333.727999999999</v>
      </c>
      <c r="O162" t="s">
        <v>87</v>
      </c>
      <c r="P162" t="s">
        <v>101</v>
      </c>
    </row>
    <row r="163" spans="1:16" x14ac:dyDescent="0.25">
      <c r="A163" s="2">
        <v>45129</v>
      </c>
      <c r="B163" t="s">
        <v>43</v>
      </c>
      <c r="C163" t="s">
        <v>61</v>
      </c>
      <c r="D163" t="s">
        <v>65</v>
      </c>
      <c r="E163" t="s">
        <v>64</v>
      </c>
      <c r="F163" t="s">
        <v>14</v>
      </c>
      <c r="G163" t="s">
        <v>53</v>
      </c>
      <c r="H163">
        <v>6</v>
      </c>
      <c r="I163">
        <v>3080.25</v>
      </c>
      <c r="J163">
        <v>16633.350000000002</v>
      </c>
      <c r="K163">
        <v>1848.15</v>
      </c>
      <c r="L163">
        <v>18481.5</v>
      </c>
      <c r="M163">
        <v>3326.67</v>
      </c>
      <c r="N163">
        <v>21808.17</v>
      </c>
      <c r="O163" t="s">
        <v>87</v>
      </c>
      <c r="P163" t="s">
        <v>101</v>
      </c>
    </row>
    <row r="164" spans="1:16" x14ac:dyDescent="0.25">
      <c r="A164" s="2">
        <v>45227</v>
      </c>
      <c r="B164" t="s">
        <v>43</v>
      </c>
      <c r="C164" t="s">
        <v>54</v>
      </c>
      <c r="D164" t="s">
        <v>12</v>
      </c>
      <c r="E164" t="s">
        <v>18</v>
      </c>
      <c r="F164" t="s">
        <v>23</v>
      </c>
      <c r="G164" t="s">
        <v>37</v>
      </c>
      <c r="H164">
        <v>11</v>
      </c>
      <c r="I164">
        <v>1817.43</v>
      </c>
      <c r="J164">
        <v>17992.557000000001</v>
      </c>
      <c r="K164">
        <v>1999.173</v>
      </c>
      <c r="L164">
        <v>19991.73</v>
      </c>
      <c r="M164">
        <v>3598.5113999999999</v>
      </c>
      <c r="N164">
        <v>23590.241399999999</v>
      </c>
      <c r="O164" t="s">
        <v>87</v>
      </c>
      <c r="P164" t="s">
        <v>100</v>
      </c>
    </row>
    <row r="165" spans="1:16" x14ac:dyDescent="0.25">
      <c r="A165" s="2">
        <v>45000</v>
      </c>
      <c r="B165" t="s">
        <v>10</v>
      </c>
      <c r="C165" t="s">
        <v>26</v>
      </c>
      <c r="D165" t="s">
        <v>12</v>
      </c>
      <c r="E165" t="s">
        <v>18</v>
      </c>
      <c r="F165" t="s">
        <v>19</v>
      </c>
      <c r="G165" t="s">
        <v>48</v>
      </c>
      <c r="H165">
        <v>19</v>
      </c>
      <c r="I165">
        <v>3800.55</v>
      </c>
      <c r="J165">
        <v>64989.404999999999</v>
      </c>
      <c r="K165">
        <v>7221.0450000000001</v>
      </c>
      <c r="L165">
        <v>72210.45</v>
      </c>
      <c r="M165">
        <v>12997.880999999999</v>
      </c>
      <c r="N165">
        <v>85208.330999999991</v>
      </c>
      <c r="O165" t="s">
        <v>87</v>
      </c>
      <c r="P165" t="s">
        <v>100</v>
      </c>
    </row>
    <row r="166" spans="1:16" x14ac:dyDescent="0.25">
      <c r="A166" s="2">
        <v>45121</v>
      </c>
      <c r="B166" t="s">
        <v>31</v>
      </c>
      <c r="C166" t="s">
        <v>63</v>
      </c>
      <c r="D166" t="s">
        <v>65</v>
      </c>
      <c r="E166" t="s">
        <v>64</v>
      </c>
      <c r="F166" t="s">
        <v>32</v>
      </c>
      <c r="G166" t="s">
        <v>33</v>
      </c>
      <c r="H166">
        <v>17</v>
      </c>
      <c r="I166">
        <v>2809.13</v>
      </c>
      <c r="J166">
        <v>42979.688999999998</v>
      </c>
      <c r="K166">
        <v>4775.5209999999997</v>
      </c>
      <c r="L166">
        <v>47755.21</v>
      </c>
      <c r="M166">
        <v>8595.9377999999997</v>
      </c>
      <c r="N166">
        <v>56351.147799999999</v>
      </c>
      <c r="O166" t="s">
        <v>87</v>
      </c>
      <c r="P166" t="s">
        <v>101</v>
      </c>
    </row>
    <row r="167" spans="1:16" x14ac:dyDescent="0.25">
      <c r="A167" s="2">
        <v>45083</v>
      </c>
      <c r="B167" t="s">
        <v>21</v>
      </c>
      <c r="C167" t="s">
        <v>57</v>
      </c>
      <c r="D167" t="s">
        <v>22</v>
      </c>
      <c r="E167" t="s">
        <v>13</v>
      </c>
      <c r="F167" t="s">
        <v>19</v>
      </c>
      <c r="G167" t="s">
        <v>20</v>
      </c>
      <c r="H167">
        <v>9</v>
      </c>
      <c r="I167">
        <v>4712.9799999999996</v>
      </c>
      <c r="J167">
        <v>38175.137999999999</v>
      </c>
      <c r="K167">
        <v>4241.6819999999998</v>
      </c>
      <c r="L167">
        <v>42416.82</v>
      </c>
      <c r="M167">
        <v>7635.0275999999994</v>
      </c>
      <c r="N167">
        <v>50051.847600000001</v>
      </c>
      <c r="O167" t="s">
        <v>87</v>
      </c>
      <c r="P167" t="s">
        <v>99</v>
      </c>
    </row>
    <row r="168" spans="1:16" x14ac:dyDescent="0.25">
      <c r="A168" s="2">
        <v>45262</v>
      </c>
      <c r="B168" t="s">
        <v>21</v>
      </c>
      <c r="C168" t="s">
        <v>63</v>
      </c>
      <c r="D168" t="s">
        <v>65</v>
      </c>
      <c r="E168" t="s">
        <v>64</v>
      </c>
      <c r="F168" t="s">
        <v>32</v>
      </c>
      <c r="G168" t="s">
        <v>50</v>
      </c>
      <c r="H168">
        <v>1</v>
      </c>
      <c r="I168">
        <v>4541.7700000000004</v>
      </c>
      <c r="J168">
        <v>4087.5930000000003</v>
      </c>
      <c r="K168">
        <v>454.17700000000008</v>
      </c>
      <c r="L168">
        <v>4541.7700000000004</v>
      </c>
      <c r="M168">
        <v>817.51859999999999</v>
      </c>
      <c r="N168">
        <v>5359.2886000000008</v>
      </c>
      <c r="O168" t="s">
        <v>87</v>
      </c>
      <c r="P168" t="s">
        <v>101</v>
      </c>
    </row>
    <row r="169" spans="1:16" x14ac:dyDescent="0.25">
      <c r="A169" s="2">
        <v>44988</v>
      </c>
      <c r="B169" t="s">
        <v>34</v>
      </c>
      <c r="C169" t="s">
        <v>58</v>
      </c>
      <c r="D169" t="s">
        <v>12</v>
      </c>
      <c r="E169" t="s">
        <v>18</v>
      </c>
      <c r="F169" t="s">
        <v>32</v>
      </c>
      <c r="G169" t="s">
        <v>36</v>
      </c>
      <c r="H169">
        <v>9</v>
      </c>
      <c r="I169">
        <v>3122.72</v>
      </c>
      <c r="J169">
        <v>25294.031999999999</v>
      </c>
      <c r="K169">
        <v>2810.4480000000003</v>
      </c>
      <c r="L169">
        <v>28104.48</v>
      </c>
      <c r="M169">
        <v>5058.8063999999995</v>
      </c>
      <c r="N169">
        <v>33163.286399999997</v>
      </c>
      <c r="O169" t="s">
        <v>87</v>
      </c>
      <c r="P169" t="s">
        <v>100</v>
      </c>
    </row>
    <row r="170" spans="1:16" x14ac:dyDescent="0.25">
      <c r="A170" s="2">
        <v>45005</v>
      </c>
      <c r="B170" t="s">
        <v>31</v>
      </c>
      <c r="C170" t="s">
        <v>26</v>
      </c>
      <c r="D170" t="s">
        <v>12</v>
      </c>
      <c r="E170" t="s">
        <v>18</v>
      </c>
      <c r="F170" t="s">
        <v>19</v>
      </c>
      <c r="G170" t="s">
        <v>48</v>
      </c>
      <c r="H170">
        <v>9</v>
      </c>
      <c r="I170">
        <v>4198.92</v>
      </c>
      <c r="J170">
        <v>34011.252</v>
      </c>
      <c r="K170">
        <v>3779.0280000000002</v>
      </c>
      <c r="L170">
        <v>37790.28</v>
      </c>
      <c r="M170">
        <v>6802.2503999999999</v>
      </c>
      <c r="N170">
        <v>44592.530399999996</v>
      </c>
      <c r="O170" t="s">
        <v>87</v>
      </c>
      <c r="P170" t="s">
        <v>100</v>
      </c>
    </row>
    <row r="171" spans="1:16" x14ac:dyDescent="0.25">
      <c r="A171" s="2">
        <v>44989</v>
      </c>
      <c r="B171" t="s">
        <v>29</v>
      </c>
      <c r="C171" t="s">
        <v>17</v>
      </c>
      <c r="D171" t="s">
        <v>65</v>
      </c>
      <c r="E171" t="s">
        <v>64</v>
      </c>
      <c r="F171" t="s">
        <v>14</v>
      </c>
      <c r="G171" t="s">
        <v>51</v>
      </c>
      <c r="H171">
        <v>17</v>
      </c>
      <c r="I171">
        <v>4415.8500000000004</v>
      </c>
      <c r="J171">
        <v>67562.505000000005</v>
      </c>
      <c r="K171">
        <v>7506.9449999999997</v>
      </c>
      <c r="L171">
        <v>75069.45</v>
      </c>
      <c r="M171">
        <v>13512.500999999998</v>
      </c>
      <c r="N171">
        <v>88581.951000000001</v>
      </c>
      <c r="O171" t="s">
        <v>87</v>
      </c>
      <c r="P171" t="s">
        <v>101</v>
      </c>
    </row>
    <row r="172" spans="1:16" x14ac:dyDescent="0.25">
      <c r="A172" s="2">
        <v>45224</v>
      </c>
      <c r="B172" t="s">
        <v>40</v>
      </c>
      <c r="C172" t="s">
        <v>54</v>
      </c>
      <c r="D172" t="s">
        <v>12</v>
      </c>
      <c r="E172" t="s">
        <v>18</v>
      </c>
      <c r="F172" t="s">
        <v>27</v>
      </c>
      <c r="G172" t="s">
        <v>44</v>
      </c>
      <c r="H172">
        <v>16</v>
      </c>
      <c r="I172">
        <v>4684.8599999999997</v>
      </c>
      <c r="J172">
        <v>67461.983999999997</v>
      </c>
      <c r="K172">
        <v>7495.7759999999998</v>
      </c>
      <c r="L172">
        <v>74957.759999999995</v>
      </c>
      <c r="M172">
        <v>13492.396799999999</v>
      </c>
      <c r="N172">
        <v>88450.156799999997</v>
      </c>
      <c r="O172" t="s">
        <v>87</v>
      </c>
      <c r="P172" t="s">
        <v>100</v>
      </c>
    </row>
    <row r="173" spans="1:16" x14ac:dyDescent="0.25">
      <c r="A173" s="2">
        <v>45283</v>
      </c>
      <c r="B173" t="s">
        <v>21</v>
      </c>
      <c r="C173" t="s">
        <v>54</v>
      </c>
      <c r="D173" t="s">
        <v>12</v>
      </c>
      <c r="E173" t="s">
        <v>18</v>
      </c>
      <c r="F173" t="s">
        <v>14</v>
      </c>
      <c r="G173" t="s">
        <v>45</v>
      </c>
      <c r="H173">
        <v>17</v>
      </c>
      <c r="I173">
        <v>4156.25</v>
      </c>
      <c r="J173">
        <v>63590.625</v>
      </c>
      <c r="K173">
        <v>7065.625</v>
      </c>
      <c r="L173">
        <v>70656.25</v>
      </c>
      <c r="M173">
        <v>12718.125</v>
      </c>
      <c r="N173">
        <v>83374.375</v>
      </c>
      <c r="O173" t="s">
        <v>87</v>
      </c>
      <c r="P173" t="s">
        <v>100</v>
      </c>
    </row>
    <row r="174" spans="1:16" x14ac:dyDescent="0.25">
      <c r="A174" s="2">
        <v>45051</v>
      </c>
      <c r="B174" t="s">
        <v>21</v>
      </c>
      <c r="C174" t="s">
        <v>17</v>
      </c>
      <c r="D174" t="s">
        <v>65</v>
      </c>
      <c r="E174" t="s">
        <v>64</v>
      </c>
      <c r="F174" t="s">
        <v>19</v>
      </c>
      <c r="G174" t="s">
        <v>48</v>
      </c>
      <c r="H174">
        <v>10</v>
      </c>
      <c r="I174">
        <v>3776.8</v>
      </c>
      <c r="J174">
        <v>33991.200000000004</v>
      </c>
      <c r="K174">
        <v>3776.8</v>
      </c>
      <c r="L174">
        <v>37768</v>
      </c>
      <c r="M174">
        <v>6798.24</v>
      </c>
      <c r="N174">
        <v>44566.239999999998</v>
      </c>
      <c r="O174" t="s">
        <v>87</v>
      </c>
      <c r="P174" t="s">
        <v>101</v>
      </c>
    </row>
    <row r="175" spans="1:16" x14ac:dyDescent="0.25">
      <c r="A175" s="2">
        <v>44950</v>
      </c>
      <c r="B175" t="s">
        <v>38</v>
      </c>
      <c r="C175" t="s">
        <v>60</v>
      </c>
      <c r="D175" t="s">
        <v>12</v>
      </c>
      <c r="E175" t="s">
        <v>18</v>
      </c>
      <c r="F175" t="s">
        <v>32</v>
      </c>
      <c r="G175" t="s">
        <v>33</v>
      </c>
      <c r="H175">
        <v>8</v>
      </c>
      <c r="I175">
        <v>310.33</v>
      </c>
      <c r="J175">
        <v>2234.3759999999997</v>
      </c>
      <c r="K175">
        <v>248.26400000000001</v>
      </c>
      <c r="L175">
        <v>2482.64</v>
      </c>
      <c r="M175">
        <v>446.87519999999995</v>
      </c>
      <c r="N175">
        <v>2929.5151999999998</v>
      </c>
      <c r="O175" t="s">
        <v>87</v>
      </c>
      <c r="P175" t="s">
        <v>100</v>
      </c>
    </row>
    <row r="176" spans="1:16" x14ac:dyDescent="0.25">
      <c r="A176" s="2">
        <v>45051</v>
      </c>
      <c r="B176" t="s">
        <v>29</v>
      </c>
      <c r="C176" t="s">
        <v>63</v>
      </c>
      <c r="D176" t="s">
        <v>65</v>
      </c>
      <c r="E176" t="s">
        <v>64</v>
      </c>
      <c r="F176" t="s">
        <v>27</v>
      </c>
      <c r="G176" t="s">
        <v>42</v>
      </c>
      <c r="H176">
        <v>5</v>
      </c>
      <c r="I176">
        <v>1313.4</v>
      </c>
      <c r="J176">
        <v>5910.3</v>
      </c>
      <c r="K176">
        <v>656.7</v>
      </c>
      <c r="L176">
        <v>6567</v>
      </c>
      <c r="M176">
        <v>1182.06</v>
      </c>
      <c r="N176">
        <v>7749.0599999999995</v>
      </c>
      <c r="O176" t="s">
        <v>87</v>
      </c>
      <c r="P176" t="s">
        <v>101</v>
      </c>
    </row>
    <row r="177" spans="1:16" x14ac:dyDescent="0.25">
      <c r="A177" s="2">
        <v>45218</v>
      </c>
      <c r="B177" t="s">
        <v>43</v>
      </c>
      <c r="C177" t="s">
        <v>11</v>
      </c>
      <c r="D177" t="s">
        <v>22</v>
      </c>
      <c r="E177" t="s">
        <v>13</v>
      </c>
      <c r="F177" t="s">
        <v>27</v>
      </c>
      <c r="G177" t="s">
        <v>44</v>
      </c>
      <c r="H177">
        <v>6</v>
      </c>
      <c r="I177">
        <v>2332.11</v>
      </c>
      <c r="J177">
        <v>12593.394</v>
      </c>
      <c r="K177">
        <v>1399.2660000000001</v>
      </c>
      <c r="L177">
        <v>13992.66</v>
      </c>
      <c r="M177">
        <v>2518.6787999999997</v>
      </c>
      <c r="N177">
        <v>16511.338799999998</v>
      </c>
      <c r="O177" t="s">
        <v>87</v>
      </c>
      <c r="P177" t="s">
        <v>99</v>
      </c>
    </row>
    <row r="178" spans="1:16" x14ac:dyDescent="0.25">
      <c r="A178" s="2">
        <v>45045</v>
      </c>
      <c r="B178" t="s">
        <v>16</v>
      </c>
      <c r="C178" t="s">
        <v>26</v>
      </c>
      <c r="D178" t="s">
        <v>12</v>
      </c>
      <c r="E178" t="s">
        <v>18</v>
      </c>
      <c r="F178" t="s">
        <v>19</v>
      </c>
      <c r="G178" t="s">
        <v>52</v>
      </c>
      <c r="H178">
        <v>3</v>
      </c>
      <c r="I178">
        <v>4955.22</v>
      </c>
      <c r="J178">
        <v>13379.094000000001</v>
      </c>
      <c r="K178">
        <v>1486.566</v>
      </c>
      <c r="L178">
        <v>14865.66</v>
      </c>
      <c r="M178">
        <v>2675.8188</v>
      </c>
      <c r="N178">
        <v>17541.478800000001</v>
      </c>
      <c r="O178" t="s">
        <v>87</v>
      </c>
      <c r="P178" t="s">
        <v>100</v>
      </c>
    </row>
    <row r="179" spans="1:16" x14ac:dyDescent="0.25">
      <c r="A179" s="2">
        <v>45243</v>
      </c>
      <c r="B179" t="s">
        <v>16</v>
      </c>
      <c r="C179" t="s">
        <v>11</v>
      </c>
      <c r="D179" t="s">
        <v>22</v>
      </c>
      <c r="E179" t="s">
        <v>13</v>
      </c>
      <c r="F179" t="s">
        <v>14</v>
      </c>
      <c r="G179" t="s">
        <v>15</v>
      </c>
      <c r="H179">
        <v>17</v>
      </c>
      <c r="I179">
        <v>3827.64</v>
      </c>
      <c r="J179">
        <v>58562.892</v>
      </c>
      <c r="K179">
        <v>6506.9880000000003</v>
      </c>
      <c r="L179">
        <v>65069.88</v>
      </c>
      <c r="M179">
        <v>11712.578399999999</v>
      </c>
      <c r="N179">
        <v>76782.458400000003</v>
      </c>
      <c r="O179" t="s">
        <v>87</v>
      </c>
      <c r="P179" t="s">
        <v>99</v>
      </c>
    </row>
    <row r="180" spans="1:16" x14ac:dyDescent="0.25">
      <c r="A180" s="2">
        <v>45173</v>
      </c>
      <c r="B180" t="s">
        <v>10</v>
      </c>
      <c r="C180" t="s">
        <v>60</v>
      </c>
      <c r="D180" t="s">
        <v>12</v>
      </c>
      <c r="E180" t="s">
        <v>18</v>
      </c>
      <c r="F180" t="s">
        <v>23</v>
      </c>
      <c r="G180" t="s">
        <v>24</v>
      </c>
      <c r="H180">
        <v>17</v>
      </c>
      <c r="I180">
        <v>3857.33</v>
      </c>
      <c r="J180">
        <v>59017.149000000005</v>
      </c>
      <c r="K180">
        <v>6557.4610000000002</v>
      </c>
      <c r="L180">
        <v>65574.61</v>
      </c>
      <c r="M180">
        <v>11803.4298</v>
      </c>
      <c r="N180">
        <v>77378.039799999999</v>
      </c>
      <c r="O180" t="s">
        <v>87</v>
      </c>
      <c r="P180" t="s">
        <v>100</v>
      </c>
    </row>
    <row r="181" spans="1:16" x14ac:dyDescent="0.25">
      <c r="A181" s="2">
        <v>45256</v>
      </c>
      <c r="B181" t="s">
        <v>21</v>
      </c>
      <c r="C181" t="s">
        <v>55</v>
      </c>
      <c r="D181" t="s">
        <v>66</v>
      </c>
      <c r="E181" t="s">
        <v>41</v>
      </c>
      <c r="F181" t="s">
        <v>23</v>
      </c>
      <c r="G181" t="s">
        <v>39</v>
      </c>
      <c r="H181">
        <v>8</v>
      </c>
      <c r="I181">
        <v>1421.21</v>
      </c>
      <c r="J181">
        <v>10232.712000000001</v>
      </c>
      <c r="K181">
        <v>1136.9680000000001</v>
      </c>
      <c r="L181">
        <v>11369.68</v>
      </c>
      <c r="M181">
        <v>2046.5424</v>
      </c>
      <c r="N181">
        <v>13416.222400000001</v>
      </c>
      <c r="O181" t="s">
        <v>87</v>
      </c>
      <c r="P181" t="s">
        <v>66</v>
      </c>
    </row>
    <row r="182" spans="1:16" x14ac:dyDescent="0.25">
      <c r="A182" s="2">
        <v>45104</v>
      </c>
      <c r="B182" t="s">
        <v>16</v>
      </c>
      <c r="C182" t="s">
        <v>26</v>
      </c>
      <c r="D182" t="s">
        <v>12</v>
      </c>
      <c r="E182" t="s">
        <v>18</v>
      </c>
      <c r="F182" t="s">
        <v>27</v>
      </c>
      <c r="G182" t="s">
        <v>46</v>
      </c>
      <c r="H182">
        <v>1</v>
      </c>
      <c r="I182">
        <v>1544.87</v>
      </c>
      <c r="J182">
        <v>1390.383</v>
      </c>
      <c r="K182">
        <v>154.48699999999999</v>
      </c>
      <c r="L182">
        <v>1544.87</v>
      </c>
      <c r="M182">
        <v>278.07659999999998</v>
      </c>
      <c r="N182">
        <v>1822.9465999999998</v>
      </c>
      <c r="O182" t="s">
        <v>87</v>
      </c>
      <c r="P182" t="s">
        <v>100</v>
      </c>
    </row>
    <row r="183" spans="1:16" x14ac:dyDescent="0.25">
      <c r="A183" s="2">
        <v>45136</v>
      </c>
      <c r="B183" t="s">
        <v>21</v>
      </c>
      <c r="C183" t="s">
        <v>60</v>
      </c>
      <c r="D183" t="s">
        <v>12</v>
      </c>
      <c r="E183" t="s">
        <v>18</v>
      </c>
      <c r="F183" t="s">
        <v>27</v>
      </c>
      <c r="G183" t="s">
        <v>44</v>
      </c>
      <c r="H183">
        <v>14</v>
      </c>
      <c r="I183">
        <v>2764.71</v>
      </c>
      <c r="J183">
        <v>34835.346000000005</v>
      </c>
      <c r="K183">
        <v>3870.5940000000005</v>
      </c>
      <c r="L183">
        <v>38705.94</v>
      </c>
      <c r="M183">
        <v>6967.0691999999999</v>
      </c>
      <c r="N183">
        <v>45673.0092</v>
      </c>
      <c r="O183" t="s">
        <v>87</v>
      </c>
      <c r="P183" t="s">
        <v>100</v>
      </c>
    </row>
    <row r="184" spans="1:16" x14ac:dyDescent="0.25">
      <c r="A184" s="2">
        <v>45111</v>
      </c>
      <c r="B184" t="s">
        <v>31</v>
      </c>
      <c r="C184" t="s">
        <v>57</v>
      </c>
      <c r="D184" t="s">
        <v>22</v>
      </c>
      <c r="E184" t="s">
        <v>13</v>
      </c>
      <c r="F184" t="s">
        <v>23</v>
      </c>
      <c r="G184" t="s">
        <v>24</v>
      </c>
      <c r="H184">
        <v>9</v>
      </c>
      <c r="I184">
        <v>2210.8000000000002</v>
      </c>
      <c r="J184">
        <v>17907.48</v>
      </c>
      <c r="K184">
        <v>1989.7200000000003</v>
      </c>
      <c r="L184">
        <v>19897.2</v>
      </c>
      <c r="M184">
        <v>3581.4960000000001</v>
      </c>
      <c r="N184">
        <v>23478.696</v>
      </c>
      <c r="O184" t="s">
        <v>87</v>
      </c>
      <c r="P184" t="s">
        <v>99</v>
      </c>
    </row>
    <row r="185" spans="1:16" x14ac:dyDescent="0.25">
      <c r="A185" s="2">
        <v>44928</v>
      </c>
      <c r="B185" t="s">
        <v>21</v>
      </c>
      <c r="C185" t="s">
        <v>56</v>
      </c>
      <c r="D185" t="s">
        <v>12</v>
      </c>
      <c r="E185" t="s">
        <v>18</v>
      </c>
      <c r="F185" t="s">
        <v>14</v>
      </c>
      <c r="G185" t="s">
        <v>53</v>
      </c>
      <c r="H185">
        <v>3</v>
      </c>
      <c r="I185">
        <v>4359.8999999999996</v>
      </c>
      <c r="J185">
        <v>11771.730000000001</v>
      </c>
      <c r="K185">
        <v>1307.9700000000003</v>
      </c>
      <c r="L185">
        <v>13079.7</v>
      </c>
      <c r="M185">
        <v>2354.346</v>
      </c>
      <c r="N185">
        <v>15434.046</v>
      </c>
      <c r="O185" t="s">
        <v>87</v>
      </c>
      <c r="P185" t="s">
        <v>100</v>
      </c>
    </row>
    <row r="186" spans="1:16" x14ac:dyDescent="0.25">
      <c r="A186" s="2">
        <v>45012</v>
      </c>
      <c r="B186" t="s">
        <v>38</v>
      </c>
      <c r="C186" t="s">
        <v>54</v>
      </c>
      <c r="D186" t="s">
        <v>12</v>
      </c>
      <c r="E186" t="s">
        <v>18</v>
      </c>
      <c r="F186" t="s">
        <v>14</v>
      </c>
      <c r="G186" t="s">
        <v>15</v>
      </c>
      <c r="H186">
        <v>7</v>
      </c>
      <c r="I186">
        <v>3836.77</v>
      </c>
      <c r="J186">
        <v>24171.651000000002</v>
      </c>
      <c r="K186">
        <v>2685.739</v>
      </c>
      <c r="L186">
        <v>26857.39</v>
      </c>
      <c r="M186">
        <v>4834.3301999999994</v>
      </c>
      <c r="N186">
        <v>31691.7202</v>
      </c>
      <c r="O186" t="s">
        <v>87</v>
      </c>
      <c r="P186" t="s">
        <v>100</v>
      </c>
    </row>
    <row r="187" spans="1:16" x14ac:dyDescent="0.25">
      <c r="A187" s="2">
        <v>45217</v>
      </c>
      <c r="B187" t="s">
        <v>34</v>
      </c>
      <c r="C187" t="s">
        <v>60</v>
      </c>
      <c r="D187" t="s">
        <v>12</v>
      </c>
      <c r="E187" t="s">
        <v>18</v>
      </c>
      <c r="F187" t="s">
        <v>19</v>
      </c>
      <c r="G187" t="s">
        <v>48</v>
      </c>
      <c r="H187">
        <v>7</v>
      </c>
      <c r="I187">
        <v>560.58000000000004</v>
      </c>
      <c r="J187">
        <v>3531.654</v>
      </c>
      <c r="K187">
        <v>392.40600000000001</v>
      </c>
      <c r="L187">
        <v>3924.06</v>
      </c>
      <c r="M187">
        <v>706.33079999999995</v>
      </c>
      <c r="N187">
        <v>4630.3908000000001</v>
      </c>
      <c r="O187" t="s">
        <v>87</v>
      </c>
      <c r="P187" t="s">
        <v>100</v>
      </c>
    </row>
    <row r="188" spans="1:16" x14ac:dyDescent="0.25">
      <c r="A188" s="2">
        <v>45089</v>
      </c>
      <c r="B188" t="s">
        <v>29</v>
      </c>
      <c r="C188" t="s">
        <v>58</v>
      </c>
      <c r="D188" t="s">
        <v>12</v>
      </c>
      <c r="E188" t="s">
        <v>18</v>
      </c>
      <c r="F188" t="s">
        <v>32</v>
      </c>
      <c r="G188" t="s">
        <v>33</v>
      </c>
      <c r="H188">
        <v>17</v>
      </c>
      <c r="I188">
        <v>1574.45</v>
      </c>
      <c r="J188">
        <v>24089.085000000003</v>
      </c>
      <c r="K188">
        <v>2676.5650000000005</v>
      </c>
      <c r="L188">
        <v>26765.65</v>
      </c>
      <c r="M188">
        <v>4817.817</v>
      </c>
      <c r="N188">
        <v>31583.467000000001</v>
      </c>
      <c r="O188" t="s">
        <v>87</v>
      </c>
      <c r="P188" t="s">
        <v>100</v>
      </c>
    </row>
    <row r="189" spans="1:16" x14ac:dyDescent="0.25">
      <c r="A189" s="2">
        <v>44987</v>
      </c>
      <c r="B189" t="s">
        <v>25</v>
      </c>
      <c r="C189" t="s">
        <v>58</v>
      </c>
      <c r="D189" t="s">
        <v>12</v>
      </c>
      <c r="E189" t="s">
        <v>18</v>
      </c>
      <c r="F189" t="s">
        <v>14</v>
      </c>
      <c r="G189" t="s">
        <v>15</v>
      </c>
      <c r="H189">
        <v>17</v>
      </c>
      <c r="I189">
        <v>578.66999999999996</v>
      </c>
      <c r="J189">
        <v>8853.6509999999998</v>
      </c>
      <c r="K189">
        <v>983.73900000000003</v>
      </c>
      <c r="L189">
        <v>9837.39</v>
      </c>
      <c r="M189">
        <v>1770.7301999999997</v>
      </c>
      <c r="N189">
        <v>11608.120199999999</v>
      </c>
      <c r="O189" t="s">
        <v>87</v>
      </c>
      <c r="P189" t="s">
        <v>100</v>
      </c>
    </row>
    <row r="190" spans="1:16" x14ac:dyDescent="0.25">
      <c r="A190" s="2">
        <v>45286</v>
      </c>
      <c r="B190" t="s">
        <v>34</v>
      </c>
      <c r="C190" t="s">
        <v>17</v>
      </c>
      <c r="D190" t="s">
        <v>65</v>
      </c>
      <c r="E190" t="s">
        <v>64</v>
      </c>
      <c r="F190" t="s">
        <v>27</v>
      </c>
      <c r="G190" t="s">
        <v>28</v>
      </c>
      <c r="H190">
        <v>19</v>
      </c>
      <c r="I190">
        <v>1441.02</v>
      </c>
      <c r="J190">
        <v>24641.442000000003</v>
      </c>
      <c r="K190">
        <v>2737.9380000000001</v>
      </c>
      <c r="L190">
        <v>27379.38</v>
      </c>
      <c r="M190">
        <v>4928.2884000000004</v>
      </c>
      <c r="N190">
        <v>32307.668400000002</v>
      </c>
      <c r="O190" t="s">
        <v>87</v>
      </c>
      <c r="P190" t="s">
        <v>101</v>
      </c>
    </row>
    <row r="191" spans="1:16" x14ac:dyDescent="0.25">
      <c r="A191" s="2">
        <v>45187</v>
      </c>
      <c r="B191" t="s">
        <v>10</v>
      </c>
      <c r="C191" t="s">
        <v>56</v>
      </c>
      <c r="D191" t="s">
        <v>12</v>
      </c>
      <c r="E191" t="s">
        <v>18</v>
      </c>
      <c r="F191" t="s">
        <v>14</v>
      </c>
      <c r="G191" t="s">
        <v>51</v>
      </c>
      <c r="H191">
        <v>19</v>
      </c>
      <c r="I191">
        <v>618.02</v>
      </c>
      <c r="J191">
        <v>10568.142</v>
      </c>
      <c r="K191">
        <v>1174.2380000000001</v>
      </c>
      <c r="L191">
        <v>11742.38</v>
      </c>
      <c r="M191">
        <v>2113.6283999999996</v>
      </c>
      <c r="N191">
        <v>13856.008399999999</v>
      </c>
      <c r="O191" t="s">
        <v>87</v>
      </c>
      <c r="P191" t="s">
        <v>100</v>
      </c>
    </row>
    <row r="192" spans="1:16" x14ac:dyDescent="0.25">
      <c r="A192" s="2">
        <v>44971</v>
      </c>
      <c r="B192" t="s">
        <v>38</v>
      </c>
      <c r="C192" t="s">
        <v>63</v>
      </c>
      <c r="D192" t="s">
        <v>65</v>
      </c>
      <c r="E192" t="s">
        <v>64</v>
      </c>
      <c r="F192" t="s">
        <v>19</v>
      </c>
      <c r="G192" t="s">
        <v>30</v>
      </c>
      <c r="H192">
        <v>15</v>
      </c>
      <c r="I192">
        <v>4093.93</v>
      </c>
      <c r="J192">
        <v>55268.055</v>
      </c>
      <c r="K192">
        <v>6140.8950000000004</v>
      </c>
      <c r="L192">
        <v>61408.95</v>
      </c>
      <c r="M192">
        <v>11053.610999999999</v>
      </c>
      <c r="N192">
        <v>72462.561000000002</v>
      </c>
      <c r="O192" t="s">
        <v>87</v>
      </c>
      <c r="P192" t="s">
        <v>101</v>
      </c>
    </row>
    <row r="193" spans="1:16" x14ac:dyDescent="0.25">
      <c r="A193" s="2">
        <v>44956</v>
      </c>
      <c r="B193" t="s">
        <v>16</v>
      </c>
      <c r="C193" t="s">
        <v>35</v>
      </c>
      <c r="D193" t="s">
        <v>65</v>
      </c>
      <c r="E193" t="s">
        <v>64</v>
      </c>
      <c r="F193" t="s">
        <v>14</v>
      </c>
      <c r="G193" t="s">
        <v>45</v>
      </c>
      <c r="H193">
        <v>16</v>
      </c>
      <c r="I193">
        <v>2714.37</v>
      </c>
      <c r="J193">
        <v>39086.928</v>
      </c>
      <c r="K193">
        <v>4342.9920000000002</v>
      </c>
      <c r="L193">
        <v>43429.919999999998</v>
      </c>
      <c r="M193">
        <v>7817.3855999999996</v>
      </c>
      <c r="N193">
        <v>51247.3056</v>
      </c>
      <c r="O193" t="s">
        <v>87</v>
      </c>
      <c r="P193" t="s">
        <v>101</v>
      </c>
    </row>
    <row r="194" spans="1:16" x14ac:dyDescent="0.25">
      <c r="A194" s="2">
        <v>45098</v>
      </c>
      <c r="B194" t="s">
        <v>31</v>
      </c>
      <c r="C194" t="s">
        <v>63</v>
      </c>
      <c r="D194" t="s">
        <v>65</v>
      </c>
      <c r="E194" t="s">
        <v>64</v>
      </c>
      <c r="F194" t="s">
        <v>23</v>
      </c>
      <c r="G194" t="s">
        <v>24</v>
      </c>
      <c r="H194">
        <v>8</v>
      </c>
      <c r="I194">
        <v>4658.57</v>
      </c>
      <c r="J194">
        <v>33541.703999999998</v>
      </c>
      <c r="K194">
        <v>3726.8559999999998</v>
      </c>
      <c r="L194">
        <v>37268.559999999998</v>
      </c>
      <c r="M194">
        <v>6708.340799999999</v>
      </c>
      <c r="N194">
        <v>43976.900799999996</v>
      </c>
      <c r="O194" t="s">
        <v>87</v>
      </c>
      <c r="P194" t="s">
        <v>101</v>
      </c>
    </row>
    <row r="195" spans="1:16" x14ac:dyDescent="0.25">
      <c r="A195" s="2">
        <v>45150</v>
      </c>
      <c r="B195" t="s">
        <v>34</v>
      </c>
      <c r="C195" t="s">
        <v>11</v>
      </c>
      <c r="D195" t="s">
        <v>22</v>
      </c>
      <c r="E195" t="s">
        <v>13</v>
      </c>
      <c r="F195" t="s">
        <v>19</v>
      </c>
      <c r="G195" t="s">
        <v>52</v>
      </c>
      <c r="H195">
        <v>20</v>
      </c>
      <c r="I195">
        <v>3203.76</v>
      </c>
      <c r="J195">
        <v>57667.68</v>
      </c>
      <c r="K195">
        <v>6407.52</v>
      </c>
      <c r="L195">
        <v>64075.199999999997</v>
      </c>
      <c r="M195">
        <v>11533.535999999998</v>
      </c>
      <c r="N195">
        <v>75608.73599999999</v>
      </c>
      <c r="O195" t="s">
        <v>87</v>
      </c>
      <c r="P195" t="s">
        <v>99</v>
      </c>
    </row>
    <row r="196" spans="1:16" x14ac:dyDescent="0.25">
      <c r="A196" s="2">
        <v>45258</v>
      </c>
      <c r="B196" t="s">
        <v>34</v>
      </c>
      <c r="C196" t="s">
        <v>61</v>
      </c>
      <c r="D196" t="s">
        <v>65</v>
      </c>
      <c r="E196" t="s">
        <v>64</v>
      </c>
      <c r="F196" t="s">
        <v>32</v>
      </c>
      <c r="G196" t="s">
        <v>49</v>
      </c>
      <c r="H196">
        <v>5</v>
      </c>
      <c r="I196">
        <v>3572.02</v>
      </c>
      <c r="J196">
        <v>16074.089999999998</v>
      </c>
      <c r="K196">
        <v>1786.01</v>
      </c>
      <c r="L196">
        <v>17860.099999999999</v>
      </c>
      <c r="M196">
        <v>3214.8179999999998</v>
      </c>
      <c r="N196">
        <v>21074.917999999998</v>
      </c>
      <c r="O196" t="s">
        <v>87</v>
      </c>
      <c r="P196" t="s">
        <v>101</v>
      </c>
    </row>
    <row r="197" spans="1:16" x14ac:dyDescent="0.25">
      <c r="A197" s="2">
        <v>44951</v>
      </c>
      <c r="B197" t="s">
        <v>10</v>
      </c>
      <c r="C197" t="s">
        <v>60</v>
      </c>
      <c r="D197" t="s">
        <v>12</v>
      </c>
      <c r="E197" t="s">
        <v>18</v>
      </c>
      <c r="F197" t="s">
        <v>27</v>
      </c>
      <c r="G197" t="s">
        <v>46</v>
      </c>
      <c r="H197">
        <v>4</v>
      </c>
      <c r="I197">
        <v>328.82</v>
      </c>
      <c r="J197">
        <v>1183.752</v>
      </c>
      <c r="K197">
        <v>131.52799999999999</v>
      </c>
      <c r="L197">
        <v>1315.28</v>
      </c>
      <c r="M197">
        <v>236.75039999999998</v>
      </c>
      <c r="N197">
        <v>1552.0303999999999</v>
      </c>
      <c r="O197" t="s">
        <v>87</v>
      </c>
      <c r="P197" t="s">
        <v>100</v>
      </c>
    </row>
    <row r="198" spans="1:16" x14ac:dyDescent="0.25">
      <c r="A198" s="2">
        <v>45083</v>
      </c>
      <c r="B198" t="s">
        <v>10</v>
      </c>
      <c r="C198" t="s">
        <v>26</v>
      </c>
      <c r="D198" t="s">
        <v>12</v>
      </c>
      <c r="E198" t="s">
        <v>18</v>
      </c>
      <c r="F198" t="s">
        <v>19</v>
      </c>
      <c r="G198" t="s">
        <v>30</v>
      </c>
      <c r="H198">
        <v>10</v>
      </c>
      <c r="I198">
        <v>4210.63</v>
      </c>
      <c r="J198">
        <v>37895.670000000006</v>
      </c>
      <c r="K198">
        <v>4210.63</v>
      </c>
      <c r="L198">
        <v>42106.3</v>
      </c>
      <c r="M198">
        <v>7579.134</v>
      </c>
      <c r="N198">
        <v>49685.434000000001</v>
      </c>
      <c r="O198" t="s">
        <v>87</v>
      </c>
      <c r="P198" t="s">
        <v>100</v>
      </c>
    </row>
    <row r="199" spans="1:16" x14ac:dyDescent="0.25">
      <c r="A199" s="2">
        <v>45007</v>
      </c>
      <c r="B199" t="s">
        <v>25</v>
      </c>
      <c r="C199" t="s">
        <v>54</v>
      </c>
      <c r="D199" t="s">
        <v>12</v>
      </c>
      <c r="E199" t="s">
        <v>18</v>
      </c>
      <c r="F199" t="s">
        <v>23</v>
      </c>
      <c r="G199" t="s">
        <v>24</v>
      </c>
      <c r="H199">
        <v>15</v>
      </c>
      <c r="I199">
        <v>211.9</v>
      </c>
      <c r="J199">
        <v>2860.65</v>
      </c>
      <c r="K199">
        <v>317.85000000000002</v>
      </c>
      <c r="L199">
        <v>3178.5</v>
      </c>
      <c r="M199">
        <v>572.13</v>
      </c>
      <c r="N199">
        <v>3750.63</v>
      </c>
      <c r="O199" t="s">
        <v>87</v>
      </c>
      <c r="P199" t="s">
        <v>100</v>
      </c>
    </row>
    <row r="200" spans="1:16" x14ac:dyDescent="0.25">
      <c r="A200" s="2">
        <v>44943</v>
      </c>
      <c r="B200" t="s">
        <v>43</v>
      </c>
      <c r="C200" t="s">
        <v>61</v>
      </c>
      <c r="D200" t="s">
        <v>65</v>
      </c>
      <c r="E200" t="s">
        <v>64</v>
      </c>
      <c r="F200" t="s">
        <v>14</v>
      </c>
      <c r="G200" t="s">
        <v>15</v>
      </c>
      <c r="H200">
        <v>6</v>
      </c>
      <c r="I200">
        <v>1847.42</v>
      </c>
      <c r="J200">
        <v>9976.0680000000011</v>
      </c>
      <c r="K200">
        <v>1108.452</v>
      </c>
      <c r="L200">
        <v>11084.52</v>
      </c>
      <c r="M200">
        <v>1995.2136</v>
      </c>
      <c r="N200">
        <v>13079.7336</v>
      </c>
      <c r="O200" t="s">
        <v>87</v>
      </c>
      <c r="P200" t="s">
        <v>101</v>
      </c>
    </row>
    <row r="201" spans="1:16" x14ac:dyDescent="0.25">
      <c r="A201" s="2">
        <v>45279</v>
      </c>
      <c r="B201" t="s">
        <v>16</v>
      </c>
      <c r="C201" t="s">
        <v>61</v>
      </c>
      <c r="D201" t="s">
        <v>65</v>
      </c>
      <c r="E201" t="s">
        <v>64</v>
      </c>
      <c r="F201" t="s">
        <v>27</v>
      </c>
      <c r="G201" t="s">
        <v>42</v>
      </c>
      <c r="H201">
        <v>15</v>
      </c>
      <c r="I201">
        <v>3875.6</v>
      </c>
      <c r="J201">
        <v>52320.6</v>
      </c>
      <c r="K201">
        <v>5813.4000000000005</v>
      </c>
      <c r="L201">
        <v>58134</v>
      </c>
      <c r="M201">
        <v>10464.119999999999</v>
      </c>
      <c r="N201">
        <v>68598.12</v>
      </c>
      <c r="O201" t="s">
        <v>87</v>
      </c>
      <c r="P201" t="s">
        <v>101</v>
      </c>
    </row>
    <row r="202" spans="1:16" x14ac:dyDescent="0.25">
      <c r="A202" s="2">
        <v>45124</v>
      </c>
      <c r="B202" t="s">
        <v>31</v>
      </c>
      <c r="C202" t="s">
        <v>61</v>
      </c>
      <c r="D202" t="s">
        <v>65</v>
      </c>
      <c r="E202" t="s">
        <v>64</v>
      </c>
      <c r="F202" t="s">
        <v>19</v>
      </c>
      <c r="G202" t="s">
        <v>30</v>
      </c>
      <c r="H202">
        <v>1</v>
      </c>
      <c r="I202">
        <v>1323.63</v>
      </c>
      <c r="J202">
        <v>1191.2670000000001</v>
      </c>
      <c r="K202">
        <v>132.36300000000003</v>
      </c>
      <c r="L202">
        <v>1323.63</v>
      </c>
      <c r="M202">
        <v>238.2534</v>
      </c>
      <c r="N202">
        <v>1561.8834000000002</v>
      </c>
      <c r="O202" t="s">
        <v>87</v>
      </c>
      <c r="P202" t="s">
        <v>101</v>
      </c>
    </row>
    <row r="203" spans="1:16" x14ac:dyDescent="0.25">
      <c r="A203" s="2">
        <v>44988</v>
      </c>
      <c r="B203" t="s">
        <v>40</v>
      </c>
      <c r="C203" t="s">
        <v>60</v>
      </c>
      <c r="D203" t="s">
        <v>12</v>
      </c>
      <c r="E203" t="s">
        <v>18</v>
      </c>
      <c r="F203" t="s">
        <v>32</v>
      </c>
      <c r="G203" t="s">
        <v>49</v>
      </c>
      <c r="H203">
        <v>18</v>
      </c>
      <c r="I203">
        <v>3916.11</v>
      </c>
      <c r="J203">
        <v>63440.981999999996</v>
      </c>
      <c r="K203">
        <v>7048.9979999999996</v>
      </c>
      <c r="L203">
        <v>70489.98</v>
      </c>
      <c r="M203">
        <v>12688.196399999999</v>
      </c>
      <c r="N203">
        <v>83178.176399999997</v>
      </c>
      <c r="O203" t="s">
        <v>87</v>
      </c>
      <c r="P203" t="s">
        <v>100</v>
      </c>
    </row>
    <row r="204" spans="1:16" x14ac:dyDescent="0.25">
      <c r="A204" s="2">
        <v>45002</v>
      </c>
      <c r="B204" t="s">
        <v>21</v>
      </c>
      <c r="C204" t="s">
        <v>35</v>
      </c>
      <c r="D204" t="s">
        <v>65</v>
      </c>
      <c r="E204" t="s">
        <v>64</v>
      </c>
      <c r="F204" t="s">
        <v>14</v>
      </c>
      <c r="G204" t="s">
        <v>51</v>
      </c>
      <c r="H204">
        <v>16</v>
      </c>
      <c r="I204">
        <v>4624.91</v>
      </c>
      <c r="J204">
        <v>66598.703999999998</v>
      </c>
      <c r="K204">
        <v>7399.8559999999998</v>
      </c>
      <c r="L204">
        <v>73998.559999999998</v>
      </c>
      <c r="M204">
        <v>13319.7408</v>
      </c>
      <c r="N204">
        <v>87318.300799999997</v>
      </c>
      <c r="O204" t="s">
        <v>87</v>
      </c>
      <c r="P204" t="s">
        <v>101</v>
      </c>
    </row>
    <row r="205" spans="1:16" x14ac:dyDescent="0.25">
      <c r="A205" s="2">
        <v>45037</v>
      </c>
      <c r="B205" t="s">
        <v>21</v>
      </c>
      <c r="C205" t="s">
        <v>11</v>
      </c>
      <c r="D205" t="s">
        <v>22</v>
      </c>
      <c r="E205" t="s">
        <v>13</v>
      </c>
      <c r="F205" t="s">
        <v>19</v>
      </c>
      <c r="G205" t="s">
        <v>52</v>
      </c>
      <c r="H205">
        <v>8</v>
      </c>
      <c r="I205">
        <v>4091.1</v>
      </c>
      <c r="J205">
        <v>29455.919999999998</v>
      </c>
      <c r="K205">
        <v>3272.88</v>
      </c>
      <c r="L205">
        <v>32728.799999999999</v>
      </c>
      <c r="M205">
        <v>5891.1839999999993</v>
      </c>
      <c r="N205">
        <v>38619.983999999997</v>
      </c>
      <c r="O205" t="s">
        <v>87</v>
      </c>
      <c r="P205" t="s">
        <v>99</v>
      </c>
    </row>
    <row r="206" spans="1:16" x14ac:dyDescent="0.25">
      <c r="A206" s="2">
        <v>45157</v>
      </c>
      <c r="B206" t="s">
        <v>10</v>
      </c>
      <c r="C206" t="s">
        <v>11</v>
      </c>
      <c r="D206" t="s">
        <v>22</v>
      </c>
      <c r="E206" t="s">
        <v>13</v>
      </c>
      <c r="F206" t="s">
        <v>14</v>
      </c>
      <c r="G206" t="s">
        <v>51</v>
      </c>
      <c r="H206">
        <v>16</v>
      </c>
      <c r="I206">
        <v>3369.55</v>
      </c>
      <c r="J206">
        <v>48521.520000000004</v>
      </c>
      <c r="K206">
        <v>5391.2800000000007</v>
      </c>
      <c r="L206">
        <v>53912.800000000003</v>
      </c>
      <c r="M206">
        <v>9704.3040000000001</v>
      </c>
      <c r="N206">
        <v>63617.104000000007</v>
      </c>
      <c r="O206" t="s">
        <v>87</v>
      </c>
      <c r="P206" t="s">
        <v>99</v>
      </c>
    </row>
    <row r="207" spans="1:16" x14ac:dyDescent="0.25">
      <c r="A207" s="2">
        <v>45209</v>
      </c>
      <c r="B207" t="s">
        <v>29</v>
      </c>
      <c r="C207" t="s">
        <v>62</v>
      </c>
      <c r="D207" t="s">
        <v>65</v>
      </c>
      <c r="E207" t="s">
        <v>64</v>
      </c>
      <c r="F207" t="s">
        <v>14</v>
      </c>
      <c r="G207" t="s">
        <v>45</v>
      </c>
      <c r="H207">
        <v>3</v>
      </c>
      <c r="I207">
        <v>3591.92</v>
      </c>
      <c r="J207">
        <v>9698.1840000000011</v>
      </c>
      <c r="K207">
        <v>1077.576</v>
      </c>
      <c r="L207">
        <v>10775.76</v>
      </c>
      <c r="M207">
        <v>1939.6368</v>
      </c>
      <c r="N207">
        <v>12715.3968</v>
      </c>
      <c r="O207" t="s">
        <v>87</v>
      </c>
      <c r="P207" t="s">
        <v>101</v>
      </c>
    </row>
    <row r="208" spans="1:16" x14ac:dyDescent="0.25">
      <c r="A208" s="2">
        <v>45154</v>
      </c>
      <c r="B208" t="s">
        <v>38</v>
      </c>
      <c r="C208" t="s">
        <v>26</v>
      </c>
      <c r="D208" t="s">
        <v>12</v>
      </c>
      <c r="E208" t="s">
        <v>18</v>
      </c>
      <c r="F208" t="s">
        <v>23</v>
      </c>
      <c r="G208" t="s">
        <v>24</v>
      </c>
      <c r="H208">
        <v>4</v>
      </c>
      <c r="I208">
        <v>4298.3500000000004</v>
      </c>
      <c r="J208">
        <v>15474.060000000001</v>
      </c>
      <c r="K208">
        <v>1719.3400000000001</v>
      </c>
      <c r="L208">
        <v>17193.400000000001</v>
      </c>
      <c r="M208">
        <v>3094.8120000000004</v>
      </c>
      <c r="N208">
        <v>20288.212000000003</v>
      </c>
      <c r="O208" t="s">
        <v>87</v>
      </c>
      <c r="P208" t="s">
        <v>100</v>
      </c>
    </row>
    <row r="209" spans="1:16" x14ac:dyDescent="0.25">
      <c r="A209" s="2">
        <v>45145</v>
      </c>
      <c r="B209" t="s">
        <v>10</v>
      </c>
      <c r="C209" t="s">
        <v>60</v>
      </c>
      <c r="D209" t="s">
        <v>12</v>
      </c>
      <c r="E209" t="s">
        <v>18</v>
      </c>
      <c r="F209" t="s">
        <v>19</v>
      </c>
      <c r="G209" t="s">
        <v>48</v>
      </c>
      <c r="H209">
        <v>11</v>
      </c>
      <c r="I209">
        <v>3687.73</v>
      </c>
      <c r="J209">
        <v>36508.527000000002</v>
      </c>
      <c r="K209">
        <v>4056.5030000000002</v>
      </c>
      <c r="L209">
        <v>40565.03</v>
      </c>
      <c r="M209">
        <v>7301.7053999999998</v>
      </c>
      <c r="N209">
        <v>47866.735399999998</v>
      </c>
      <c r="O209" t="s">
        <v>87</v>
      </c>
      <c r="P209" t="s">
        <v>100</v>
      </c>
    </row>
    <row r="210" spans="1:16" x14ac:dyDescent="0.25">
      <c r="A210" s="2">
        <v>45218</v>
      </c>
      <c r="B210" t="s">
        <v>16</v>
      </c>
      <c r="C210" t="s">
        <v>35</v>
      </c>
      <c r="D210" t="s">
        <v>65</v>
      </c>
      <c r="E210" t="s">
        <v>64</v>
      </c>
      <c r="F210" t="s">
        <v>27</v>
      </c>
      <c r="G210" t="s">
        <v>46</v>
      </c>
      <c r="H210">
        <v>12</v>
      </c>
      <c r="I210">
        <v>548.36</v>
      </c>
      <c r="J210">
        <v>5922.2879999999996</v>
      </c>
      <c r="K210">
        <v>658.03200000000004</v>
      </c>
      <c r="L210">
        <v>6580.32</v>
      </c>
      <c r="M210">
        <v>1184.4576</v>
      </c>
      <c r="N210">
        <v>7764.7775999999994</v>
      </c>
      <c r="O210" t="s">
        <v>87</v>
      </c>
      <c r="P210" t="s">
        <v>101</v>
      </c>
    </row>
    <row r="211" spans="1:16" x14ac:dyDescent="0.25">
      <c r="A211" s="2">
        <v>45086</v>
      </c>
      <c r="B211" t="s">
        <v>34</v>
      </c>
      <c r="C211" t="s">
        <v>54</v>
      </c>
      <c r="D211" t="s">
        <v>12</v>
      </c>
      <c r="E211" t="s">
        <v>18</v>
      </c>
      <c r="F211" t="s">
        <v>23</v>
      </c>
      <c r="G211" t="s">
        <v>24</v>
      </c>
      <c r="H211">
        <v>6</v>
      </c>
      <c r="I211">
        <v>3931.61</v>
      </c>
      <c r="J211">
        <v>21230.694</v>
      </c>
      <c r="K211">
        <v>2358.9659999999999</v>
      </c>
      <c r="L211">
        <v>23589.66</v>
      </c>
      <c r="M211">
        <v>4246.1387999999997</v>
      </c>
      <c r="N211">
        <v>27835.7988</v>
      </c>
      <c r="O211" t="s">
        <v>87</v>
      </c>
      <c r="P211" t="s">
        <v>100</v>
      </c>
    </row>
    <row r="212" spans="1:16" x14ac:dyDescent="0.25">
      <c r="A212" s="2">
        <v>45118</v>
      </c>
      <c r="B212" t="s">
        <v>10</v>
      </c>
      <c r="C212" t="s">
        <v>11</v>
      </c>
      <c r="D212" t="s">
        <v>22</v>
      </c>
      <c r="E212" t="s">
        <v>13</v>
      </c>
      <c r="F212" t="s">
        <v>23</v>
      </c>
      <c r="G212" t="s">
        <v>37</v>
      </c>
      <c r="H212">
        <v>18</v>
      </c>
      <c r="I212">
        <v>1120.0999999999999</v>
      </c>
      <c r="J212">
        <v>18145.62</v>
      </c>
      <c r="K212">
        <v>2016.18</v>
      </c>
      <c r="L212">
        <v>20161.8</v>
      </c>
      <c r="M212">
        <v>3629.1239999999998</v>
      </c>
      <c r="N212">
        <v>23790.923999999999</v>
      </c>
      <c r="O212" t="s">
        <v>87</v>
      </c>
      <c r="P212" t="s">
        <v>99</v>
      </c>
    </row>
    <row r="213" spans="1:16" x14ac:dyDescent="0.25">
      <c r="A213" s="2">
        <v>44970</v>
      </c>
      <c r="B213" t="s">
        <v>40</v>
      </c>
      <c r="C213" t="s">
        <v>57</v>
      </c>
      <c r="D213" t="s">
        <v>22</v>
      </c>
      <c r="E213" t="s">
        <v>13</v>
      </c>
      <c r="F213" t="s">
        <v>19</v>
      </c>
      <c r="G213" t="s">
        <v>52</v>
      </c>
      <c r="H213">
        <v>11</v>
      </c>
      <c r="I213">
        <v>1473.35</v>
      </c>
      <c r="J213">
        <v>14586.165000000001</v>
      </c>
      <c r="K213">
        <v>1620.6850000000002</v>
      </c>
      <c r="L213">
        <v>16206.85</v>
      </c>
      <c r="M213">
        <v>2917.2330000000002</v>
      </c>
      <c r="N213">
        <v>19124.082999999999</v>
      </c>
      <c r="O213" t="s">
        <v>87</v>
      </c>
      <c r="P213" t="s">
        <v>99</v>
      </c>
    </row>
    <row r="214" spans="1:16" x14ac:dyDescent="0.25">
      <c r="A214" s="2">
        <v>45185</v>
      </c>
      <c r="B214" t="s">
        <v>25</v>
      </c>
      <c r="C214" t="s">
        <v>60</v>
      </c>
      <c r="D214" t="s">
        <v>12</v>
      </c>
      <c r="E214" t="s">
        <v>18</v>
      </c>
      <c r="F214" t="s">
        <v>32</v>
      </c>
      <c r="G214" t="s">
        <v>36</v>
      </c>
      <c r="H214">
        <v>6</v>
      </c>
      <c r="I214">
        <v>297.27</v>
      </c>
      <c r="J214">
        <v>1605.258</v>
      </c>
      <c r="K214">
        <v>178.36199999999999</v>
      </c>
      <c r="L214">
        <v>1783.62</v>
      </c>
      <c r="M214">
        <v>321.05159999999995</v>
      </c>
      <c r="N214">
        <v>2104.6715999999997</v>
      </c>
      <c r="O214" t="s">
        <v>87</v>
      </c>
      <c r="P214" t="s">
        <v>100</v>
      </c>
    </row>
    <row r="215" spans="1:16" x14ac:dyDescent="0.25">
      <c r="A215" s="2">
        <v>45285</v>
      </c>
      <c r="B215" t="s">
        <v>10</v>
      </c>
      <c r="C215" t="s">
        <v>26</v>
      </c>
      <c r="D215" t="s">
        <v>12</v>
      </c>
      <c r="E215" t="s">
        <v>18</v>
      </c>
      <c r="F215" t="s">
        <v>27</v>
      </c>
      <c r="G215" t="s">
        <v>42</v>
      </c>
      <c r="H215">
        <v>5</v>
      </c>
      <c r="I215">
        <v>4872.8900000000003</v>
      </c>
      <c r="J215">
        <v>21928.005000000001</v>
      </c>
      <c r="K215">
        <v>2436.4450000000002</v>
      </c>
      <c r="L215">
        <v>24364.45</v>
      </c>
      <c r="M215">
        <v>4385.6009999999997</v>
      </c>
      <c r="N215">
        <v>28750.050999999999</v>
      </c>
      <c r="O215" t="s">
        <v>87</v>
      </c>
      <c r="P215" t="s">
        <v>100</v>
      </c>
    </row>
    <row r="216" spans="1:16" x14ac:dyDescent="0.25">
      <c r="A216" s="2">
        <v>45122</v>
      </c>
      <c r="B216" t="s">
        <v>31</v>
      </c>
      <c r="C216" t="s">
        <v>58</v>
      </c>
      <c r="D216" t="s">
        <v>12</v>
      </c>
      <c r="E216" t="s">
        <v>18</v>
      </c>
      <c r="F216" t="s">
        <v>27</v>
      </c>
      <c r="G216" t="s">
        <v>44</v>
      </c>
      <c r="H216">
        <v>20</v>
      </c>
      <c r="I216">
        <v>4711.51</v>
      </c>
      <c r="J216">
        <v>84807.18</v>
      </c>
      <c r="K216">
        <v>9423.02</v>
      </c>
      <c r="L216">
        <v>94230.2</v>
      </c>
      <c r="M216">
        <v>16961.435999999998</v>
      </c>
      <c r="N216">
        <v>111191.636</v>
      </c>
      <c r="O216" t="s">
        <v>87</v>
      </c>
      <c r="P216" t="s">
        <v>100</v>
      </c>
    </row>
    <row r="217" spans="1:16" x14ac:dyDescent="0.25">
      <c r="A217" s="2">
        <v>45244</v>
      </c>
      <c r="B217" t="s">
        <v>43</v>
      </c>
      <c r="C217" t="s">
        <v>60</v>
      </c>
      <c r="D217" t="s">
        <v>12</v>
      </c>
      <c r="E217" t="s">
        <v>18</v>
      </c>
      <c r="F217" t="s">
        <v>32</v>
      </c>
      <c r="G217" t="s">
        <v>36</v>
      </c>
      <c r="H217">
        <v>5</v>
      </c>
      <c r="I217">
        <v>4096.54</v>
      </c>
      <c r="J217">
        <v>18434.43</v>
      </c>
      <c r="K217">
        <v>2048.27</v>
      </c>
      <c r="L217">
        <v>20482.7</v>
      </c>
      <c r="M217">
        <v>3686.886</v>
      </c>
      <c r="N217">
        <v>24169.585999999999</v>
      </c>
      <c r="O217" t="s">
        <v>87</v>
      </c>
      <c r="P217" t="s">
        <v>100</v>
      </c>
    </row>
    <row r="218" spans="1:16" x14ac:dyDescent="0.25">
      <c r="A218" s="2">
        <v>45214</v>
      </c>
      <c r="B218" t="s">
        <v>34</v>
      </c>
      <c r="C218" t="s">
        <v>58</v>
      </c>
      <c r="D218" t="s">
        <v>12</v>
      </c>
      <c r="E218" t="s">
        <v>18</v>
      </c>
      <c r="F218" t="s">
        <v>27</v>
      </c>
      <c r="G218" t="s">
        <v>44</v>
      </c>
      <c r="H218">
        <v>6</v>
      </c>
      <c r="I218">
        <v>830.82</v>
      </c>
      <c r="J218">
        <v>4486.4279999999999</v>
      </c>
      <c r="K218">
        <v>498.49200000000002</v>
      </c>
      <c r="L218">
        <v>4984.92</v>
      </c>
      <c r="M218">
        <v>897.28559999999993</v>
      </c>
      <c r="N218">
        <v>5882.2056000000002</v>
      </c>
      <c r="O218" t="s">
        <v>87</v>
      </c>
      <c r="P218" t="s">
        <v>100</v>
      </c>
    </row>
    <row r="219" spans="1:16" x14ac:dyDescent="0.25">
      <c r="A219" s="2">
        <v>45110</v>
      </c>
      <c r="B219" t="s">
        <v>38</v>
      </c>
      <c r="C219" t="s">
        <v>61</v>
      </c>
      <c r="D219" t="s">
        <v>65</v>
      </c>
      <c r="E219" t="s">
        <v>64</v>
      </c>
      <c r="F219" t="s">
        <v>27</v>
      </c>
      <c r="G219" t="s">
        <v>28</v>
      </c>
      <c r="H219">
        <v>3</v>
      </c>
      <c r="I219">
        <v>4637.38</v>
      </c>
      <c r="J219">
        <v>12520.925999999999</v>
      </c>
      <c r="K219">
        <v>1391.2139999999999</v>
      </c>
      <c r="L219">
        <v>13912.14</v>
      </c>
      <c r="M219">
        <v>2504.1851999999999</v>
      </c>
      <c r="N219">
        <v>16416.325199999999</v>
      </c>
      <c r="O219" t="s">
        <v>87</v>
      </c>
      <c r="P219" t="s">
        <v>101</v>
      </c>
    </row>
    <row r="220" spans="1:16" x14ac:dyDescent="0.25">
      <c r="A220" s="2">
        <v>44959</v>
      </c>
      <c r="B220" t="s">
        <v>40</v>
      </c>
      <c r="C220" t="s">
        <v>54</v>
      </c>
      <c r="D220" t="s">
        <v>12</v>
      </c>
      <c r="E220" t="s">
        <v>18</v>
      </c>
      <c r="F220" t="s">
        <v>19</v>
      </c>
      <c r="G220" t="s">
        <v>20</v>
      </c>
      <c r="H220">
        <v>5</v>
      </c>
      <c r="I220">
        <v>3770.1</v>
      </c>
      <c r="J220">
        <v>16965.45</v>
      </c>
      <c r="K220">
        <v>1885.0500000000002</v>
      </c>
      <c r="L220">
        <v>18850.5</v>
      </c>
      <c r="M220">
        <v>3393.0899999999997</v>
      </c>
      <c r="N220">
        <v>22243.59</v>
      </c>
      <c r="O220" t="s">
        <v>87</v>
      </c>
      <c r="P220" t="s">
        <v>100</v>
      </c>
    </row>
    <row r="221" spans="1:16" x14ac:dyDescent="0.25">
      <c r="A221" s="2">
        <v>45260</v>
      </c>
      <c r="B221" t="s">
        <v>29</v>
      </c>
      <c r="C221" t="s">
        <v>62</v>
      </c>
      <c r="D221" t="s">
        <v>65</v>
      </c>
      <c r="E221" t="s">
        <v>64</v>
      </c>
      <c r="F221" t="s">
        <v>27</v>
      </c>
      <c r="G221" t="s">
        <v>42</v>
      </c>
      <c r="H221">
        <v>20</v>
      </c>
      <c r="I221">
        <v>285.95999999999998</v>
      </c>
      <c r="J221">
        <v>5147.28</v>
      </c>
      <c r="K221">
        <v>571.91999999999996</v>
      </c>
      <c r="L221">
        <v>5719.2</v>
      </c>
      <c r="M221">
        <v>1029.4559999999999</v>
      </c>
      <c r="N221">
        <v>6748.6559999999999</v>
      </c>
      <c r="O221" t="s">
        <v>87</v>
      </c>
      <c r="P221" t="s">
        <v>101</v>
      </c>
    </row>
    <row r="222" spans="1:16" x14ac:dyDescent="0.25">
      <c r="A222" s="2">
        <v>45024</v>
      </c>
      <c r="B222" t="s">
        <v>31</v>
      </c>
      <c r="C222" t="s">
        <v>61</v>
      </c>
      <c r="D222" t="s">
        <v>65</v>
      </c>
      <c r="E222" t="s">
        <v>64</v>
      </c>
      <c r="F222" t="s">
        <v>14</v>
      </c>
      <c r="G222" t="s">
        <v>53</v>
      </c>
      <c r="H222">
        <v>6</v>
      </c>
      <c r="I222">
        <v>1912.36</v>
      </c>
      <c r="J222">
        <v>10326.744000000001</v>
      </c>
      <c r="K222">
        <v>1147.4159999999999</v>
      </c>
      <c r="L222">
        <v>11474.16</v>
      </c>
      <c r="M222">
        <v>2065.3487999999998</v>
      </c>
      <c r="N222">
        <v>13539.5088</v>
      </c>
      <c r="O222" t="s">
        <v>87</v>
      </c>
      <c r="P222" t="s">
        <v>101</v>
      </c>
    </row>
    <row r="223" spans="1:16" x14ac:dyDescent="0.25">
      <c r="A223" s="2">
        <v>45099</v>
      </c>
      <c r="B223" t="s">
        <v>16</v>
      </c>
      <c r="C223" t="s">
        <v>63</v>
      </c>
      <c r="D223" t="s">
        <v>65</v>
      </c>
      <c r="E223" t="s">
        <v>64</v>
      </c>
      <c r="F223" t="s">
        <v>23</v>
      </c>
      <c r="G223" t="s">
        <v>24</v>
      </c>
      <c r="H223">
        <v>19</v>
      </c>
      <c r="I223">
        <v>3648.27</v>
      </c>
      <c r="J223">
        <v>62385.417000000009</v>
      </c>
      <c r="K223">
        <v>6931.7130000000006</v>
      </c>
      <c r="L223">
        <v>69317.13</v>
      </c>
      <c r="M223">
        <v>12477.0834</v>
      </c>
      <c r="N223">
        <v>81794.213400000008</v>
      </c>
      <c r="O223" t="s">
        <v>87</v>
      </c>
      <c r="P223" t="s">
        <v>101</v>
      </c>
    </row>
    <row r="224" spans="1:16" x14ac:dyDescent="0.25">
      <c r="A224" s="2">
        <v>45081</v>
      </c>
      <c r="B224" t="s">
        <v>21</v>
      </c>
      <c r="C224" t="s">
        <v>54</v>
      </c>
      <c r="D224" t="s">
        <v>12</v>
      </c>
      <c r="E224" t="s">
        <v>18</v>
      </c>
      <c r="F224" t="s">
        <v>14</v>
      </c>
      <c r="G224" t="s">
        <v>51</v>
      </c>
      <c r="H224">
        <v>20</v>
      </c>
      <c r="I224">
        <v>473.23</v>
      </c>
      <c r="J224">
        <v>8518.1400000000012</v>
      </c>
      <c r="K224">
        <v>946.46</v>
      </c>
      <c r="L224">
        <v>9464.6</v>
      </c>
      <c r="M224">
        <v>1703.6279999999999</v>
      </c>
      <c r="N224">
        <v>11168.228000000001</v>
      </c>
      <c r="O224" t="s">
        <v>87</v>
      </c>
      <c r="P224" t="s">
        <v>100</v>
      </c>
    </row>
    <row r="225" spans="1:16" x14ac:dyDescent="0.25">
      <c r="A225" s="2">
        <v>45254</v>
      </c>
      <c r="B225" t="s">
        <v>10</v>
      </c>
      <c r="C225" t="s">
        <v>55</v>
      </c>
      <c r="D225" t="s">
        <v>66</v>
      </c>
      <c r="E225" t="s">
        <v>41</v>
      </c>
      <c r="F225" t="s">
        <v>32</v>
      </c>
      <c r="G225" t="s">
        <v>33</v>
      </c>
      <c r="H225">
        <v>16</v>
      </c>
      <c r="I225">
        <v>1870.47</v>
      </c>
      <c r="J225">
        <v>26934.768</v>
      </c>
      <c r="K225">
        <v>2992.7520000000004</v>
      </c>
      <c r="L225">
        <v>29927.52</v>
      </c>
      <c r="M225">
        <v>5386.9535999999998</v>
      </c>
      <c r="N225">
        <v>35314.473599999998</v>
      </c>
      <c r="O225" t="s">
        <v>87</v>
      </c>
      <c r="P225" t="s">
        <v>66</v>
      </c>
    </row>
    <row r="226" spans="1:16" x14ac:dyDescent="0.25">
      <c r="A226" s="2">
        <v>45015</v>
      </c>
      <c r="B226" t="s">
        <v>34</v>
      </c>
      <c r="C226" t="s">
        <v>26</v>
      </c>
      <c r="D226" t="s">
        <v>12</v>
      </c>
      <c r="E226" t="s">
        <v>18</v>
      </c>
      <c r="F226" t="s">
        <v>27</v>
      </c>
      <c r="G226" t="s">
        <v>44</v>
      </c>
      <c r="H226">
        <v>18</v>
      </c>
      <c r="I226">
        <v>835.8</v>
      </c>
      <c r="J226">
        <v>13539.96</v>
      </c>
      <c r="K226">
        <v>1504.44</v>
      </c>
      <c r="L226">
        <v>15044.4</v>
      </c>
      <c r="M226">
        <v>2707.9919999999997</v>
      </c>
      <c r="N226">
        <v>17752.392</v>
      </c>
      <c r="O226" t="s">
        <v>87</v>
      </c>
      <c r="P226" t="s">
        <v>100</v>
      </c>
    </row>
    <row r="227" spans="1:16" x14ac:dyDescent="0.25">
      <c r="A227" s="2">
        <v>45110</v>
      </c>
      <c r="B227" t="s">
        <v>43</v>
      </c>
      <c r="C227" t="s">
        <v>11</v>
      </c>
      <c r="D227" t="s">
        <v>22</v>
      </c>
      <c r="E227" t="s">
        <v>13</v>
      </c>
      <c r="F227" t="s">
        <v>19</v>
      </c>
      <c r="G227" t="s">
        <v>48</v>
      </c>
      <c r="H227">
        <v>18</v>
      </c>
      <c r="I227">
        <v>4850.91</v>
      </c>
      <c r="J227">
        <v>78584.742000000013</v>
      </c>
      <c r="K227">
        <v>8731.6380000000008</v>
      </c>
      <c r="L227">
        <v>87316.38</v>
      </c>
      <c r="M227">
        <v>15716.948400000001</v>
      </c>
      <c r="N227">
        <v>103033.3284</v>
      </c>
      <c r="O227" t="s">
        <v>87</v>
      </c>
      <c r="P227" t="s">
        <v>99</v>
      </c>
    </row>
    <row r="228" spans="1:16" x14ac:dyDescent="0.25">
      <c r="A228" s="2">
        <v>45037</v>
      </c>
      <c r="B228" t="s">
        <v>21</v>
      </c>
      <c r="C228" t="s">
        <v>59</v>
      </c>
      <c r="D228" t="s">
        <v>66</v>
      </c>
      <c r="E228" t="s">
        <v>41</v>
      </c>
      <c r="F228" t="s">
        <v>14</v>
      </c>
      <c r="G228" t="s">
        <v>15</v>
      </c>
      <c r="H228">
        <v>10</v>
      </c>
      <c r="I228">
        <v>2200.91</v>
      </c>
      <c r="J228">
        <v>19808.189999999999</v>
      </c>
      <c r="K228">
        <v>2200.91</v>
      </c>
      <c r="L228">
        <v>22009.1</v>
      </c>
      <c r="M228">
        <v>3961.6379999999995</v>
      </c>
      <c r="N228">
        <v>25970.737999999998</v>
      </c>
      <c r="O228" t="s">
        <v>87</v>
      </c>
      <c r="P228" t="s">
        <v>66</v>
      </c>
    </row>
    <row r="229" spans="1:16" x14ac:dyDescent="0.25">
      <c r="A229" s="2">
        <v>45270</v>
      </c>
      <c r="B229" t="s">
        <v>40</v>
      </c>
      <c r="C229" t="s">
        <v>57</v>
      </c>
      <c r="D229" t="s">
        <v>22</v>
      </c>
      <c r="E229" t="s">
        <v>13</v>
      </c>
      <c r="F229" t="s">
        <v>32</v>
      </c>
      <c r="G229" t="s">
        <v>33</v>
      </c>
      <c r="H229">
        <v>9</v>
      </c>
      <c r="I229">
        <v>1694.83</v>
      </c>
      <c r="J229">
        <v>13728.123</v>
      </c>
      <c r="K229">
        <v>1525.347</v>
      </c>
      <c r="L229">
        <v>15253.47</v>
      </c>
      <c r="M229">
        <v>2745.6245999999996</v>
      </c>
      <c r="N229">
        <v>17999.0946</v>
      </c>
      <c r="O229" t="s">
        <v>87</v>
      </c>
      <c r="P229" t="s">
        <v>99</v>
      </c>
    </row>
    <row r="230" spans="1:16" x14ac:dyDescent="0.25">
      <c r="A230" s="2">
        <v>44963</v>
      </c>
      <c r="B230" t="s">
        <v>43</v>
      </c>
      <c r="C230" t="s">
        <v>17</v>
      </c>
      <c r="D230" t="s">
        <v>65</v>
      </c>
      <c r="E230" t="s">
        <v>64</v>
      </c>
      <c r="F230" t="s">
        <v>14</v>
      </c>
      <c r="G230" t="s">
        <v>51</v>
      </c>
      <c r="H230">
        <v>10</v>
      </c>
      <c r="I230">
        <v>1229.56</v>
      </c>
      <c r="J230">
        <v>11066.04</v>
      </c>
      <c r="K230">
        <v>1229.5600000000002</v>
      </c>
      <c r="L230">
        <v>12295.6</v>
      </c>
      <c r="M230">
        <v>2213.2080000000001</v>
      </c>
      <c r="N230">
        <v>14508.808000000001</v>
      </c>
      <c r="O230" t="s">
        <v>87</v>
      </c>
      <c r="P230" t="s">
        <v>101</v>
      </c>
    </row>
    <row r="231" spans="1:16" x14ac:dyDescent="0.25">
      <c r="A231" s="2">
        <v>44952</v>
      </c>
      <c r="B231" t="s">
        <v>43</v>
      </c>
      <c r="C231" t="s">
        <v>60</v>
      </c>
      <c r="D231" t="s">
        <v>12</v>
      </c>
      <c r="E231" t="s">
        <v>18</v>
      </c>
      <c r="F231" t="s">
        <v>27</v>
      </c>
      <c r="G231" t="s">
        <v>28</v>
      </c>
      <c r="H231">
        <v>14</v>
      </c>
      <c r="I231">
        <v>705.15</v>
      </c>
      <c r="J231">
        <v>8884.8900000000012</v>
      </c>
      <c r="K231">
        <v>987.21</v>
      </c>
      <c r="L231">
        <v>9872.1</v>
      </c>
      <c r="M231">
        <v>1776.9780000000001</v>
      </c>
      <c r="N231">
        <v>11649.078000000001</v>
      </c>
      <c r="O231" t="s">
        <v>87</v>
      </c>
      <c r="P231" t="s">
        <v>100</v>
      </c>
    </row>
    <row r="232" spans="1:16" x14ac:dyDescent="0.25">
      <c r="A232" s="2">
        <v>45068</v>
      </c>
      <c r="B232" t="s">
        <v>38</v>
      </c>
      <c r="C232" t="s">
        <v>61</v>
      </c>
      <c r="D232" t="s">
        <v>65</v>
      </c>
      <c r="E232" t="s">
        <v>64</v>
      </c>
      <c r="F232" t="s">
        <v>23</v>
      </c>
      <c r="G232" t="s">
        <v>37</v>
      </c>
      <c r="H232">
        <v>19</v>
      </c>
      <c r="I232">
        <v>3485.85</v>
      </c>
      <c r="J232">
        <v>59608.034999999996</v>
      </c>
      <c r="K232">
        <v>6623.1149999999998</v>
      </c>
      <c r="L232">
        <v>66231.149999999994</v>
      </c>
      <c r="M232">
        <v>11921.606999999998</v>
      </c>
      <c r="N232">
        <v>78152.756999999998</v>
      </c>
      <c r="O232" t="s">
        <v>87</v>
      </c>
      <c r="P232" t="s">
        <v>101</v>
      </c>
    </row>
    <row r="233" spans="1:16" x14ac:dyDescent="0.25">
      <c r="A233" s="2">
        <v>44977</v>
      </c>
      <c r="B233" t="s">
        <v>16</v>
      </c>
      <c r="C233" t="s">
        <v>58</v>
      </c>
      <c r="D233" t="s">
        <v>12</v>
      </c>
      <c r="E233" t="s">
        <v>18</v>
      </c>
      <c r="F233" t="s">
        <v>32</v>
      </c>
      <c r="G233" t="s">
        <v>33</v>
      </c>
      <c r="H233">
        <v>10</v>
      </c>
      <c r="I233">
        <v>3633.26</v>
      </c>
      <c r="J233">
        <v>32699.34</v>
      </c>
      <c r="K233">
        <v>3633.26</v>
      </c>
      <c r="L233">
        <v>36332.6</v>
      </c>
      <c r="M233">
        <v>6539.8679999999995</v>
      </c>
      <c r="N233">
        <v>42872.468000000001</v>
      </c>
      <c r="O233" t="s">
        <v>87</v>
      </c>
      <c r="P233" t="s">
        <v>100</v>
      </c>
    </row>
    <row r="234" spans="1:16" x14ac:dyDescent="0.25">
      <c r="A234" s="2">
        <v>45179</v>
      </c>
      <c r="B234" t="s">
        <v>38</v>
      </c>
      <c r="C234" t="s">
        <v>11</v>
      </c>
      <c r="D234" t="s">
        <v>22</v>
      </c>
      <c r="E234" t="s">
        <v>13</v>
      </c>
      <c r="F234" t="s">
        <v>27</v>
      </c>
      <c r="G234" t="s">
        <v>46</v>
      </c>
      <c r="H234">
        <v>14</v>
      </c>
      <c r="I234">
        <v>1245.9000000000001</v>
      </c>
      <c r="J234">
        <v>15698.339999999998</v>
      </c>
      <c r="K234">
        <v>1744.26</v>
      </c>
      <c r="L234">
        <v>17442.599999999999</v>
      </c>
      <c r="M234">
        <v>3139.6679999999997</v>
      </c>
      <c r="N234">
        <v>20582.267999999996</v>
      </c>
      <c r="O234" t="s">
        <v>87</v>
      </c>
      <c r="P234" t="s">
        <v>99</v>
      </c>
    </row>
    <row r="235" spans="1:16" x14ac:dyDescent="0.25">
      <c r="A235" s="2">
        <v>45257</v>
      </c>
      <c r="B235" t="s">
        <v>25</v>
      </c>
      <c r="C235" t="s">
        <v>58</v>
      </c>
      <c r="D235" t="s">
        <v>12</v>
      </c>
      <c r="E235" t="s">
        <v>18</v>
      </c>
      <c r="F235" t="s">
        <v>14</v>
      </c>
      <c r="G235" t="s">
        <v>15</v>
      </c>
      <c r="H235">
        <v>4</v>
      </c>
      <c r="I235">
        <v>4553.5200000000004</v>
      </c>
      <c r="J235">
        <v>16392.672000000002</v>
      </c>
      <c r="K235">
        <v>1821.4080000000004</v>
      </c>
      <c r="L235">
        <v>18214.080000000002</v>
      </c>
      <c r="M235">
        <v>3278.5344</v>
      </c>
      <c r="N235">
        <v>21492.614400000002</v>
      </c>
      <c r="O235" t="s">
        <v>87</v>
      </c>
      <c r="P235" t="s">
        <v>100</v>
      </c>
    </row>
    <row r="236" spans="1:16" x14ac:dyDescent="0.25">
      <c r="A236" s="2">
        <v>45146</v>
      </c>
      <c r="B236" t="s">
        <v>16</v>
      </c>
      <c r="C236" t="s">
        <v>59</v>
      </c>
      <c r="D236" t="s">
        <v>66</v>
      </c>
      <c r="E236" t="s">
        <v>41</v>
      </c>
      <c r="F236" t="s">
        <v>14</v>
      </c>
      <c r="G236" t="s">
        <v>45</v>
      </c>
      <c r="H236">
        <v>3</v>
      </c>
      <c r="I236">
        <v>1417.18</v>
      </c>
      <c r="J236">
        <v>3826.386</v>
      </c>
      <c r="K236">
        <v>425.154</v>
      </c>
      <c r="L236">
        <v>4251.54</v>
      </c>
      <c r="M236">
        <v>765.27719999999999</v>
      </c>
      <c r="N236">
        <v>5016.8171999999995</v>
      </c>
      <c r="O236" t="s">
        <v>87</v>
      </c>
      <c r="P236" t="s">
        <v>66</v>
      </c>
    </row>
    <row r="237" spans="1:16" x14ac:dyDescent="0.25">
      <c r="A237" s="2">
        <v>45069</v>
      </c>
      <c r="B237" t="s">
        <v>31</v>
      </c>
      <c r="C237" t="s">
        <v>11</v>
      </c>
      <c r="D237" t="s">
        <v>22</v>
      </c>
      <c r="E237" t="s">
        <v>13</v>
      </c>
      <c r="F237" t="s">
        <v>32</v>
      </c>
      <c r="G237" t="s">
        <v>50</v>
      </c>
      <c r="H237">
        <v>7</v>
      </c>
      <c r="I237">
        <v>1249.3599999999999</v>
      </c>
      <c r="J237">
        <v>7870.9680000000008</v>
      </c>
      <c r="K237">
        <v>874.55200000000013</v>
      </c>
      <c r="L237">
        <v>8745.52</v>
      </c>
      <c r="M237">
        <v>1574.1936000000001</v>
      </c>
      <c r="N237">
        <v>10319.713600000001</v>
      </c>
      <c r="O237" t="s">
        <v>87</v>
      </c>
      <c r="P237" t="s">
        <v>99</v>
      </c>
    </row>
    <row r="238" spans="1:16" x14ac:dyDescent="0.25">
      <c r="A238" s="2">
        <v>45098</v>
      </c>
      <c r="B238" t="s">
        <v>29</v>
      </c>
      <c r="C238" t="s">
        <v>17</v>
      </c>
      <c r="D238" t="s">
        <v>65</v>
      </c>
      <c r="E238" t="s">
        <v>64</v>
      </c>
      <c r="F238" t="s">
        <v>23</v>
      </c>
      <c r="G238" t="s">
        <v>47</v>
      </c>
      <c r="H238">
        <v>7</v>
      </c>
      <c r="I238">
        <v>3911.96</v>
      </c>
      <c r="J238">
        <v>24645.348000000002</v>
      </c>
      <c r="K238">
        <v>2738.3720000000003</v>
      </c>
      <c r="L238">
        <v>27383.72</v>
      </c>
      <c r="M238">
        <v>4929.0695999999998</v>
      </c>
      <c r="N238">
        <v>32312.7896</v>
      </c>
      <c r="O238" t="s">
        <v>87</v>
      </c>
      <c r="P238" t="s">
        <v>101</v>
      </c>
    </row>
    <row r="239" spans="1:16" x14ac:dyDescent="0.25">
      <c r="A239" s="2">
        <v>45043</v>
      </c>
      <c r="B239" t="s">
        <v>25</v>
      </c>
      <c r="C239" t="s">
        <v>57</v>
      </c>
      <c r="D239" t="s">
        <v>22</v>
      </c>
      <c r="E239" t="s">
        <v>13</v>
      </c>
      <c r="F239" t="s">
        <v>23</v>
      </c>
      <c r="G239" t="s">
        <v>37</v>
      </c>
      <c r="H239">
        <v>4</v>
      </c>
      <c r="I239">
        <v>3087.87</v>
      </c>
      <c r="J239">
        <v>11116.332</v>
      </c>
      <c r="K239">
        <v>1235.1480000000001</v>
      </c>
      <c r="L239">
        <v>12351.48</v>
      </c>
      <c r="M239">
        <v>2223.2664</v>
      </c>
      <c r="N239">
        <v>14574.7464</v>
      </c>
      <c r="O239" t="s">
        <v>87</v>
      </c>
      <c r="P239" t="s">
        <v>99</v>
      </c>
    </row>
    <row r="240" spans="1:16" x14ac:dyDescent="0.25">
      <c r="A240" s="2">
        <v>45241</v>
      </c>
      <c r="B240" t="s">
        <v>25</v>
      </c>
      <c r="C240" t="s">
        <v>11</v>
      </c>
      <c r="D240" t="s">
        <v>22</v>
      </c>
      <c r="E240" t="s">
        <v>13</v>
      </c>
      <c r="F240" t="s">
        <v>32</v>
      </c>
      <c r="G240" t="s">
        <v>50</v>
      </c>
      <c r="H240">
        <v>16</v>
      </c>
      <c r="I240">
        <v>628.15</v>
      </c>
      <c r="J240">
        <v>9045.36</v>
      </c>
      <c r="K240">
        <v>1005.04</v>
      </c>
      <c r="L240">
        <v>10050.4</v>
      </c>
      <c r="M240">
        <v>1809.0719999999999</v>
      </c>
      <c r="N240">
        <v>11859.472</v>
      </c>
      <c r="O240" t="s">
        <v>87</v>
      </c>
      <c r="P240" t="s">
        <v>99</v>
      </c>
    </row>
    <row r="241" spans="1:16" x14ac:dyDescent="0.25">
      <c r="A241" s="2">
        <v>45137</v>
      </c>
      <c r="B241" t="s">
        <v>31</v>
      </c>
      <c r="C241" t="s">
        <v>54</v>
      </c>
      <c r="D241" t="s">
        <v>12</v>
      </c>
      <c r="E241" t="s">
        <v>18</v>
      </c>
      <c r="F241" t="s">
        <v>27</v>
      </c>
      <c r="G241" t="s">
        <v>46</v>
      </c>
      <c r="H241">
        <v>15</v>
      </c>
      <c r="I241">
        <v>3100.61</v>
      </c>
      <c r="J241">
        <v>41858.235000000001</v>
      </c>
      <c r="K241">
        <v>4650.915</v>
      </c>
      <c r="L241">
        <v>46509.15</v>
      </c>
      <c r="M241">
        <v>8371.6470000000008</v>
      </c>
      <c r="N241">
        <v>54880.797000000006</v>
      </c>
      <c r="O241" t="s">
        <v>87</v>
      </c>
      <c r="P241" t="s">
        <v>100</v>
      </c>
    </row>
    <row r="242" spans="1:16" x14ac:dyDescent="0.25">
      <c r="A242" s="2">
        <v>45064</v>
      </c>
      <c r="B242" t="s">
        <v>16</v>
      </c>
      <c r="C242" t="s">
        <v>57</v>
      </c>
      <c r="D242" t="s">
        <v>22</v>
      </c>
      <c r="E242" t="s">
        <v>13</v>
      </c>
      <c r="F242" t="s">
        <v>23</v>
      </c>
      <c r="G242" t="s">
        <v>37</v>
      </c>
      <c r="H242">
        <v>10</v>
      </c>
      <c r="I242">
        <v>4017.66</v>
      </c>
      <c r="J242">
        <v>36158.94</v>
      </c>
      <c r="K242">
        <v>4017.66</v>
      </c>
      <c r="L242">
        <v>40176.6</v>
      </c>
      <c r="M242">
        <v>7231.7879999999996</v>
      </c>
      <c r="N242">
        <v>47408.387999999999</v>
      </c>
      <c r="O242" t="s">
        <v>87</v>
      </c>
      <c r="P242" t="s">
        <v>99</v>
      </c>
    </row>
    <row r="243" spans="1:16" x14ac:dyDescent="0.25">
      <c r="A243" s="2">
        <v>45152</v>
      </c>
      <c r="B243" t="s">
        <v>16</v>
      </c>
      <c r="C243" t="s">
        <v>62</v>
      </c>
      <c r="D243" t="s">
        <v>65</v>
      </c>
      <c r="E243" t="s">
        <v>64</v>
      </c>
      <c r="F243" t="s">
        <v>14</v>
      </c>
      <c r="G243" t="s">
        <v>45</v>
      </c>
      <c r="H243">
        <v>3</v>
      </c>
      <c r="I243">
        <v>3389.2</v>
      </c>
      <c r="J243">
        <v>9150.84</v>
      </c>
      <c r="K243">
        <v>1016.7600000000001</v>
      </c>
      <c r="L243">
        <v>10167.6</v>
      </c>
      <c r="M243">
        <v>1830.1679999999999</v>
      </c>
      <c r="N243">
        <v>11997.768</v>
      </c>
      <c r="O243" t="s">
        <v>87</v>
      </c>
      <c r="P243" t="s">
        <v>101</v>
      </c>
    </row>
    <row r="244" spans="1:16" x14ac:dyDescent="0.25">
      <c r="A244" s="2">
        <v>45072</v>
      </c>
      <c r="B244" t="s">
        <v>21</v>
      </c>
      <c r="C244" t="s">
        <v>11</v>
      </c>
      <c r="D244" t="s">
        <v>22</v>
      </c>
      <c r="E244" t="s">
        <v>13</v>
      </c>
      <c r="F244" t="s">
        <v>27</v>
      </c>
      <c r="G244" t="s">
        <v>28</v>
      </c>
      <c r="H244">
        <v>20</v>
      </c>
      <c r="I244">
        <v>2441.83</v>
      </c>
      <c r="J244">
        <v>43952.94</v>
      </c>
      <c r="K244">
        <v>4883.66</v>
      </c>
      <c r="L244">
        <v>48836.6</v>
      </c>
      <c r="M244">
        <v>8790.5879999999997</v>
      </c>
      <c r="N244">
        <v>57627.187999999995</v>
      </c>
      <c r="O244" t="s">
        <v>87</v>
      </c>
      <c r="P244" t="s">
        <v>99</v>
      </c>
    </row>
    <row r="245" spans="1:16" x14ac:dyDescent="0.25">
      <c r="A245" s="2">
        <v>45269</v>
      </c>
      <c r="B245" t="s">
        <v>16</v>
      </c>
      <c r="C245" t="s">
        <v>26</v>
      </c>
      <c r="D245" t="s">
        <v>12</v>
      </c>
      <c r="E245" t="s">
        <v>18</v>
      </c>
      <c r="F245" t="s">
        <v>14</v>
      </c>
      <c r="G245" t="s">
        <v>51</v>
      </c>
      <c r="H245">
        <v>17</v>
      </c>
      <c r="I245">
        <v>2655.98</v>
      </c>
      <c r="J245">
        <v>40636.494000000006</v>
      </c>
      <c r="K245">
        <v>4515.1660000000002</v>
      </c>
      <c r="L245">
        <v>45151.66</v>
      </c>
      <c r="M245">
        <v>8127.2988000000005</v>
      </c>
      <c r="N245">
        <v>53278.958800000008</v>
      </c>
      <c r="O245" t="s">
        <v>87</v>
      </c>
      <c r="P245" t="s">
        <v>100</v>
      </c>
    </row>
    <row r="246" spans="1:16" x14ac:dyDescent="0.25">
      <c r="A246" s="2">
        <v>44929</v>
      </c>
      <c r="B246" t="s">
        <v>16</v>
      </c>
      <c r="C246" t="s">
        <v>57</v>
      </c>
      <c r="D246" t="s">
        <v>22</v>
      </c>
      <c r="E246" t="s">
        <v>13</v>
      </c>
      <c r="F246" t="s">
        <v>32</v>
      </c>
      <c r="G246" t="s">
        <v>50</v>
      </c>
      <c r="H246">
        <v>3</v>
      </c>
      <c r="I246">
        <v>4908.74</v>
      </c>
      <c r="J246">
        <v>13253.598</v>
      </c>
      <c r="K246">
        <v>1472.6220000000001</v>
      </c>
      <c r="L246">
        <v>14726.22</v>
      </c>
      <c r="M246">
        <v>2650.7195999999999</v>
      </c>
      <c r="N246">
        <v>17376.939599999998</v>
      </c>
      <c r="O246" t="s">
        <v>87</v>
      </c>
      <c r="P246" t="s">
        <v>99</v>
      </c>
    </row>
    <row r="247" spans="1:16" x14ac:dyDescent="0.25">
      <c r="A247" s="2">
        <v>45192</v>
      </c>
      <c r="B247" t="s">
        <v>38</v>
      </c>
      <c r="C247" t="s">
        <v>61</v>
      </c>
      <c r="D247" t="s">
        <v>65</v>
      </c>
      <c r="E247" t="s">
        <v>64</v>
      </c>
      <c r="F247" t="s">
        <v>32</v>
      </c>
      <c r="G247" t="s">
        <v>50</v>
      </c>
      <c r="H247">
        <v>13</v>
      </c>
      <c r="I247">
        <v>4121.8</v>
      </c>
      <c r="J247">
        <v>48225.060000000005</v>
      </c>
      <c r="K247">
        <v>5358.34</v>
      </c>
      <c r="L247">
        <v>53583.4</v>
      </c>
      <c r="M247">
        <v>9645.0120000000006</v>
      </c>
      <c r="N247">
        <v>63228.412000000004</v>
      </c>
      <c r="O247" t="s">
        <v>87</v>
      </c>
      <c r="P247" t="s">
        <v>101</v>
      </c>
    </row>
    <row r="248" spans="1:16" x14ac:dyDescent="0.25">
      <c r="A248" s="2">
        <v>44991</v>
      </c>
      <c r="B248" t="s">
        <v>43</v>
      </c>
      <c r="C248" t="s">
        <v>11</v>
      </c>
      <c r="D248" t="s">
        <v>22</v>
      </c>
      <c r="E248" t="s">
        <v>13</v>
      </c>
      <c r="F248" t="s">
        <v>32</v>
      </c>
      <c r="G248" t="s">
        <v>50</v>
      </c>
      <c r="H248">
        <v>7</v>
      </c>
      <c r="I248">
        <v>2083.7800000000002</v>
      </c>
      <c r="J248">
        <v>13127.814</v>
      </c>
      <c r="K248">
        <v>1458.646</v>
      </c>
      <c r="L248">
        <v>14586.46</v>
      </c>
      <c r="M248">
        <v>2625.5627999999997</v>
      </c>
      <c r="N248">
        <v>17212.022799999999</v>
      </c>
      <c r="O248" t="s">
        <v>87</v>
      </c>
      <c r="P248" t="s">
        <v>99</v>
      </c>
    </row>
    <row r="249" spans="1:16" x14ac:dyDescent="0.25">
      <c r="A249" s="2">
        <v>44967</v>
      </c>
      <c r="B249" t="s">
        <v>31</v>
      </c>
      <c r="C249" t="s">
        <v>59</v>
      </c>
      <c r="D249" t="s">
        <v>66</v>
      </c>
      <c r="E249" t="s">
        <v>41</v>
      </c>
      <c r="F249" t="s">
        <v>23</v>
      </c>
      <c r="G249" t="s">
        <v>47</v>
      </c>
      <c r="H249">
        <v>4</v>
      </c>
      <c r="I249">
        <v>697.88</v>
      </c>
      <c r="J249">
        <v>2512.3679999999999</v>
      </c>
      <c r="K249">
        <v>279.15199999999999</v>
      </c>
      <c r="L249">
        <v>2791.52</v>
      </c>
      <c r="M249">
        <v>502.47359999999998</v>
      </c>
      <c r="N249">
        <v>3293.9935999999998</v>
      </c>
      <c r="O249" t="s">
        <v>87</v>
      </c>
      <c r="P249" t="s">
        <v>66</v>
      </c>
    </row>
    <row r="250" spans="1:16" x14ac:dyDescent="0.25">
      <c r="A250" s="2">
        <v>45017</v>
      </c>
      <c r="B250" t="s">
        <v>43</v>
      </c>
      <c r="C250" t="s">
        <v>58</v>
      </c>
      <c r="D250" t="s">
        <v>12</v>
      </c>
      <c r="E250" t="s">
        <v>18</v>
      </c>
      <c r="F250" t="s">
        <v>32</v>
      </c>
      <c r="G250" t="s">
        <v>49</v>
      </c>
      <c r="H250">
        <v>3</v>
      </c>
      <c r="I250">
        <v>3754.7</v>
      </c>
      <c r="J250">
        <v>10137.69</v>
      </c>
      <c r="K250">
        <v>1126.4100000000001</v>
      </c>
      <c r="L250">
        <v>11264.1</v>
      </c>
      <c r="M250">
        <v>2027.538</v>
      </c>
      <c r="N250">
        <v>13291.638000000001</v>
      </c>
      <c r="O250" t="s">
        <v>87</v>
      </c>
      <c r="P250" t="s">
        <v>100</v>
      </c>
    </row>
    <row r="251" spans="1:16" x14ac:dyDescent="0.25">
      <c r="A251" s="2">
        <v>45212</v>
      </c>
      <c r="B251" t="s">
        <v>21</v>
      </c>
      <c r="C251" t="s">
        <v>17</v>
      </c>
      <c r="D251" t="s">
        <v>65</v>
      </c>
      <c r="E251" t="s">
        <v>64</v>
      </c>
      <c r="F251" t="s">
        <v>14</v>
      </c>
      <c r="G251" t="s">
        <v>53</v>
      </c>
      <c r="H251">
        <v>20</v>
      </c>
      <c r="I251">
        <v>2449.44</v>
      </c>
      <c r="J251">
        <v>44089.920000000006</v>
      </c>
      <c r="K251">
        <v>4898.88</v>
      </c>
      <c r="L251">
        <v>48988.800000000003</v>
      </c>
      <c r="M251">
        <v>8817.9840000000004</v>
      </c>
      <c r="N251">
        <v>57806.784</v>
      </c>
      <c r="O251" t="s">
        <v>87</v>
      </c>
      <c r="P251" t="s">
        <v>101</v>
      </c>
    </row>
    <row r="252" spans="1:16" x14ac:dyDescent="0.25">
      <c r="A252" s="2">
        <v>45109</v>
      </c>
      <c r="B252" t="s">
        <v>25</v>
      </c>
      <c r="C252" t="s">
        <v>56</v>
      </c>
      <c r="D252" t="s">
        <v>12</v>
      </c>
      <c r="E252" t="s">
        <v>18</v>
      </c>
      <c r="F252" t="s">
        <v>32</v>
      </c>
      <c r="G252" t="s">
        <v>36</v>
      </c>
      <c r="H252">
        <v>6</v>
      </c>
      <c r="I252">
        <v>2862.86</v>
      </c>
      <c r="J252">
        <v>15459.444</v>
      </c>
      <c r="K252">
        <v>1717.7160000000001</v>
      </c>
      <c r="L252">
        <v>17177.16</v>
      </c>
      <c r="M252">
        <v>3091.8887999999997</v>
      </c>
      <c r="N252">
        <v>20269.0488</v>
      </c>
      <c r="O252" t="s">
        <v>87</v>
      </c>
      <c r="P252" t="s">
        <v>100</v>
      </c>
    </row>
    <row r="253" spans="1:16" x14ac:dyDescent="0.25">
      <c r="A253" s="2">
        <v>45092</v>
      </c>
      <c r="B253" t="s">
        <v>34</v>
      </c>
      <c r="C253" t="s">
        <v>56</v>
      </c>
      <c r="D253" t="s">
        <v>12</v>
      </c>
      <c r="E253" t="s">
        <v>18</v>
      </c>
      <c r="F253" t="s">
        <v>19</v>
      </c>
      <c r="G253" t="s">
        <v>20</v>
      </c>
      <c r="H253">
        <v>4</v>
      </c>
      <c r="I253">
        <v>4795.3999999999996</v>
      </c>
      <c r="J253">
        <v>17263.439999999999</v>
      </c>
      <c r="K253">
        <v>1918.1599999999999</v>
      </c>
      <c r="L253">
        <v>19181.599999999999</v>
      </c>
      <c r="M253">
        <v>3452.6879999999996</v>
      </c>
      <c r="N253">
        <v>22634.287999999997</v>
      </c>
      <c r="O253" t="s">
        <v>87</v>
      </c>
      <c r="P253" t="s">
        <v>100</v>
      </c>
    </row>
    <row r="254" spans="1:16" x14ac:dyDescent="0.25">
      <c r="A254" s="2">
        <v>45242</v>
      </c>
      <c r="B254" t="s">
        <v>34</v>
      </c>
      <c r="C254" t="s">
        <v>58</v>
      </c>
      <c r="D254" t="s">
        <v>12</v>
      </c>
      <c r="E254" t="s">
        <v>18</v>
      </c>
      <c r="F254" t="s">
        <v>14</v>
      </c>
      <c r="G254" t="s">
        <v>51</v>
      </c>
      <c r="H254">
        <v>3</v>
      </c>
      <c r="I254">
        <v>672.84</v>
      </c>
      <c r="J254">
        <v>1816.6680000000001</v>
      </c>
      <c r="K254">
        <v>201.852</v>
      </c>
      <c r="L254">
        <v>2018.52</v>
      </c>
      <c r="M254">
        <v>363.33359999999999</v>
      </c>
      <c r="N254">
        <v>2381.8535999999999</v>
      </c>
      <c r="O254" t="s">
        <v>87</v>
      </c>
      <c r="P254" t="s">
        <v>100</v>
      </c>
    </row>
    <row r="255" spans="1:16" x14ac:dyDescent="0.25">
      <c r="A255" s="2">
        <v>45175</v>
      </c>
      <c r="B255" t="s">
        <v>43</v>
      </c>
      <c r="C255" t="s">
        <v>62</v>
      </c>
      <c r="D255" t="s">
        <v>65</v>
      </c>
      <c r="E255" t="s">
        <v>64</v>
      </c>
      <c r="F255" t="s">
        <v>14</v>
      </c>
      <c r="G255" t="s">
        <v>53</v>
      </c>
      <c r="H255">
        <v>5</v>
      </c>
      <c r="I255">
        <v>4423.53</v>
      </c>
      <c r="J255">
        <v>19905.885000000002</v>
      </c>
      <c r="K255">
        <v>2211.7650000000003</v>
      </c>
      <c r="L255">
        <v>22117.65</v>
      </c>
      <c r="M255">
        <v>3981.1770000000001</v>
      </c>
      <c r="N255">
        <v>26098.827000000001</v>
      </c>
      <c r="O255" t="s">
        <v>87</v>
      </c>
      <c r="P255" t="s">
        <v>101</v>
      </c>
    </row>
    <row r="256" spans="1:16" x14ac:dyDescent="0.25">
      <c r="A256" s="2">
        <v>45049</v>
      </c>
      <c r="B256" t="s">
        <v>34</v>
      </c>
      <c r="C256" t="s">
        <v>56</v>
      </c>
      <c r="D256" t="s">
        <v>12</v>
      </c>
      <c r="E256" t="s">
        <v>18</v>
      </c>
      <c r="F256" t="s">
        <v>14</v>
      </c>
      <c r="G256" t="s">
        <v>53</v>
      </c>
      <c r="H256">
        <v>13</v>
      </c>
      <c r="I256">
        <v>1330.85</v>
      </c>
      <c r="J256">
        <v>15570.945</v>
      </c>
      <c r="K256">
        <v>1730.105</v>
      </c>
      <c r="L256">
        <v>17301.05</v>
      </c>
      <c r="M256">
        <v>3114.1889999999999</v>
      </c>
      <c r="N256">
        <v>20415.238999999998</v>
      </c>
      <c r="O256" t="s">
        <v>87</v>
      </c>
      <c r="P256" t="s">
        <v>100</v>
      </c>
    </row>
    <row r="257" spans="1:16" x14ac:dyDescent="0.25">
      <c r="A257" s="2">
        <v>45168</v>
      </c>
      <c r="B257" t="s">
        <v>43</v>
      </c>
      <c r="C257" t="s">
        <v>11</v>
      </c>
      <c r="D257" t="s">
        <v>22</v>
      </c>
      <c r="E257" t="s">
        <v>13</v>
      </c>
      <c r="F257" t="s">
        <v>19</v>
      </c>
      <c r="G257" t="s">
        <v>48</v>
      </c>
      <c r="H257">
        <v>2</v>
      </c>
      <c r="I257">
        <v>1785.76</v>
      </c>
      <c r="J257">
        <v>3214.3679999999999</v>
      </c>
      <c r="K257">
        <v>357.15200000000004</v>
      </c>
      <c r="L257">
        <v>3571.52</v>
      </c>
      <c r="M257">
        <v>642.87360000000001</v>
      </c>
      <c r="N257">
        <v>4214.3936000000003</v>
      </c>
      <c r="O257" t="s">
        <v>87</v>
      </c>
      <c r="P257" t="s">
        <v>99</v>
      </c>
    </row>
    <row r="258" spans="1:16" x14ac:dyDescent="0.25">
      <c r="A258" s="2">
        <v>44948</v>
      </c>
      <c r="B258" t="s">
        <v>21</v>
      </c>
      <c r="C258" t="s">
        <v>58</v>
      </c>
      <c r="D258" t="s">
        <v>12</v>
      </c>
      <c r="E258" t="s">
        <v>18</v>
      </c>
      <c r="F258" t="s">
        <v>14</v>
      </c>
      <c r="G258" t="s">
        <v>51</v>
      </c>
      <c r="H258">
        <v>10</v>
      </c>
      <c r="I258">
        <v>505.39</v>
      </c>
      <c r="J258">
        <v>4548.51</v>
      </c>
      <c r="K258">
        <v>505.39</v>
      </c>
      <c r="L258">
        <v>5053.8999999999996</v>
      </c>
      <c r="M258">
        <v>909.70199999999988</v>
      </c>
      <c r="N258">
        <v>5963.6019999999999</v>
      </c>
      <c r="O258" t="s">
        <v>87</v>
      </c>
      <c r="P258" t="s">
        <v>100</v>
      </c>
    </row>
    <row r="259" spans="1:16" x14ac:dyDescent="0.25">
      <c r="A259" s="2">
        <v>45255</v>
      </c>
      <c r="B259" t="s">
        <v>29</v>
      </c>
      <c r="C259" t="s">
        <v>54</v>
      </c>
      <c r="D259" t="s">
        <v>12</v>
      </c>
      <c r="E259" t="s">
        <v>18</v>
      </c>
      <c r="F259" t="s">
        <v>32</v>
      </c>
      <c r="G259" t="s">
        <v>49</v>
      </c>
      <c r="H259">
        <v>1</v>
      </c>
      <c r="I259">
        <v>4966.8599999999997</v>
      </c>
      <c r="J259">
        <v>4470.174</v>
      </c>
      <c r="K259">
        <v>496.68599999999998</v>
      </c>
      <c r="L259">
        <v>4966.8599999999997</v>
      </c>
      <c r="M259">
        <v>894.0347999999999</v>
      </c>
      <c r="N259">
        <v>5860.8948</v>
      </c>
      <c r="O259" t="s">
        <v>87</v>
      </c>
      <c r="P259" t="s">
        <v>100</v>
      </c>
    </row>
    <row r="260" spans="1:16" x14ac:dyDescent="0.25">
      <c r="A260" s="2">
        <v>45182</v>
      </c>
      <c r="B260" t="s">
        <v>21</v>
      </c>
      <c r="C260" t="s">
        <v>63</v>
      </c>
      <c r="D260" t="s">
        <v>65</v>
      </c>
      <c r="E260" t="s">
        <v>64</v>
      </c>
      <c r="F260" t="s">
        <v>14</v>
      </c>
      <c r="G260" t="s">
        <v>45</v>
      </c>
      <c r="H260">
        <v>5</v>
      </c>
      <c r="I260">
        <v>4988.76</v>
      </c>
      <c r="J260">
        <v>22449.42</v>
      </c>
      <c r="K260">
        <v>2494.38</v>
      </c>
      <c r="L260">
        <v>24943.8</v>
      </c>
      <c r="M260">
        <v>4489.884</v>
      </c>
      <c r="N260">
        <v>29433.684000000001</v>
      </c>
      <c r="O260" t="s">
        <v>87</v>
      </c>
      <c r="P260" t="s">
        <v>101</v>
      </c>
    </row>
    <row r="261" spans="1:16" x14ac:dyDescent="0.25">
      <c r="A261" s="2">
        <v>45067</v>
      </c>
      <c r="B261" t="s">
        <v>31</v>
      </c>
      <c r="C261" t="s">
        <v>57</v>
      </c>
      <c r="D261" t="s">
        <v>22</v>
      </c>
      <c r="E261" t="s">
        <v>13</v>
      </c>
      <c r="F261" t="s">
        <v>32</v>
      </c>
      <c r="G261" t="s">
        <v>49</v>
      </c>
      <c r="H261">
        <v>18</v>
      </c>
      <c r="I261">
        <v>1745.63</v>
      </c>
      <c r="J261">
        <v>28279.206000000002</v>
      </c>
      <c r="K261">
        <v>3142.134</v>
      </c>
      <c r="L261">
        <v>31421.34</v>
      </c>
      <c r="M261">
        <v>5655.8411999999998</v>
      </c>
      <c r="N261">
        <v>37077.181199999999</v>
      </c>
      <c r="O261" t="s">
        <v>87</v>
      </c>
      <c r="P261" t="s">
        <v>99</v>
      </c>
    </row>
    <row r="262" spans="1:16" x14ac:dyDescent="0.25">
      <c r="A262" s="2">
        <v>45274</v>
      </c>
      <c r="B262" t="s">
        <v>21</v>
      </c>
      <c r="C262" t="s">
        <v>26</v>
      </c>
      <c r="D262" t="s">
        <v>12</v>
      </c>
      <c r="E262" t="s">
        <v>18</v>
      </c>
      <c r="F262" t="s">
        <v>23</v>
      </c>
      <c r="G262" t="s">
        <v>47</v>
      </c>
      <c r="H262">
        <v>2</v>
      </c>
      <c r="I262">
        <v>3024.56</v>
      </c>
      <c r="J262">
        <v>5444.2079999999996</v>
      </c>
      <c r="K262">
        <v>604.91200000000003</v>
      </c>
      <c r="L262">
        <v>6049.12</v>
      </c>
      <c r="M262">
        <v>1088.8416</v>
      </c>
      <c r="N262">
        <v>7137.9615999999996</v>
      </c>
      <c r="O262" t="s">
        <v>87</v>
      </c>
      <c r="P262" t="s">
        <v>100</v>
      </c>
    </row>
    <row r="263" spans="1:16" x14ac:dyDescent="0.25">
      <c r="A263" s="2">
        <v>45083</v>
      </c>
      <c r="B263" t="s">
        <v>38</v>
      </c>
      <c r="C263" t="s">
        <v>17</v>
      </c>
      <c r="D263" t="s">
        <v>65</v>
      </c>
      <c r="E263" t="s">
        <v>64</v>
      </c>
      <c r="F263" t="s">
        <v>19</v>
      </c>
      <c r="G263" t="s">
        <v>30</v>
      </c>
      <c r="H263">
        <v>15</v>
      </c>
      <c r="I263">
        <v>4599.74</v>
      </c>
      <c r="J263">
        <v>62096.490000000005</v>
      </c>
      <c r="K263">
        <v>6899.6100000000006</v>
      </c>
      <c r="L263">
        <v>68996.100000000006</v>
      </c>
      <c r="M263">
        <v>12419.298000000001</v>
      </c>
      <c r="N263">
        <v>81415.398000000001</v>
      </c>
      <c r="O263" t="s">
        <v>87</v>
      </c>
      <c r="P263" t="s">
        <v>101</v>
      </c>
    </row>
    <row r="264" spans="1:16" x14ac:dyDescent="0.25">
      <c r="A264" s="2">
        <v>45286</v>
      </c>
      <c r="B264" t="s">
        <v>21</v>
      </c>
      <c r="C264" t="s">
        <v>58</v>
      </c>
      <c r="D264" t="s">
        <v>12</v>
      </c>
      <c r="E264" t="s">
        <v>18</v>
      </c>
      <c r="F264" t="s">
        <v>27</v>
      </c>
      <c r="G264" t="s">
        <v>46</v>
      </c>
      <c r="H264">
        <v>18</v>
      </c>
      <c r="I264">
        <v>330.49</v>
      </c>
      <c r="J264">
        <v>5353.9380000000001</v>
      </c>
      <c r="K264">
        <v>594.88199999999995</v>
      </c>
      <c r="L264">
        <v>5948.82</v>
      </c>
      <c r="M264">
        <v>1070.7875999999999</v>
      </c>
      <c r="N264">
        <v>7019.6075999999994</v>
      </c>
      <c r="O264" t="s">
        <v>87</v>
      </c>
      <c r="P264" t="s">
        <v>100</v>
      </c>
    </row>
    <row r="265" spans="1:16" x14ac:dyDescent="0.25">
      <c r="A265" s="2">
        <v>45284</v>
      </c>
      <c r="B265" t="s">
        <v>25</v>
      </c>
      <c r="C265" t="s">
        <v>62</v>
      </c>
      <c r="D265" t="s">
        <v>65</v>
      </c>
      <c r="E265" t="s">
        <v>64</v>
      </c>
      <c r="F265" t="s">
        <v>23</v>
      </c>
      <c r="G265" t="s">
        <v>24</v>
      </c>
      <c r="H265">
        <v>8</v>
      </c>
      <c r="I265">
        <v>4775.74</v>
      </c>
      <c r="J265">
        <v>34385.328000000001</v>
      </c>
      <c r="K265">
        <v>3820.5920000000001</v>
      </c>
      <c r="L265">
        <v>38205.919999999998</v>
      </c>
      <c r="M265">
        <v>6877.065599999999</v>
      </c>
      <c r="N265">
        <v>45082.9856</v>
      </c>
      <c r="O265" t="s">
        <v>87</v>
      </c>
      <c r="P265" t="s">
        <v>101</v>
      </c>
    </row>
    <row r="266" spans="1:16" x14ac:dyDescent="0.25">
      <c r="A266" s="2">
        <v>45225</v>
      </c>
      <c r="B266" t="s">
        <v>43</v>
      </c>
      <c r="C266" t="s">
        <v>63</v>
      </c>
      <c r="D266" t="s">
        <v>65</v>
      </c>
      <c r="E266" t="s">
        <v>64</v>
      </c>
      <c r="F266" t="s">
        <v>19</v>
      </c>
      <c r="G266" t="s">
        <v>30</v>
      </c>
      <c r="H266">
        <v>16</v>
      </c>
      <c r="I266">
        <v>2329.86</v>
      </c>
      <c r="J266">
        <v>33549.984000000004</v>
      </c>
      <c r="K266">
        <v>3727.7760000000003</v>
      </c>
      <c r="L266">
        <v>37277.760000000002</v>
      </c>
      <c r="M266">
        <v>6709.9967999999999</v>
      </c>
      <c r="N266">
        <v>43987.756800000003</v>
      </c>
      <c r="O266" t="s">
        <v>87</v>
      </c>
      <c r="P266" t="s">
        <v>101</v>
      </c>
    </row>
    <row r="267" spans="1:16" x14ac:dyDescent="0.25">
      <c r="A267" s="2">
        <v>45098</v>
      </c>
      <c r="B267" t="s">
        <v>16</v>
      </c>
      <c r="C267" t="s">
        <v>35</v>
      </c>
      <c r="D267" t="s">
        <v>65</v>
      </c>
      <c r="E267" t="s">
        <v>64</v>
      </c>
      <c r="F267" t="s">
        <v>32</v>
      </c>
      <c r="G267" t="s">
        <v>33</v>
      </c>
      <c r="H267">
        <v>16</v>
      </c>
      <c r="I267">
        <v>1426.64</v>
      </c>
      <c r="J267">
        <v>20543.616000000002</v>
      </c>
      <c r="K267">
        <v>2282.6240000000003</v>
      </c>
      <c r="L267">
        <v>22826.240000000002</v>
      </c>
      <c r="M267">
        <v>4108.7232000000004</v>
      </c>
      <c r="N267">
        <v>26934.963200000002</v>
      </c>
      <c r="O267" t="s">
        <v>87</v>
      </c>
      <c r="P267" t="s">
        <v>101</v>
      </c>
    </row>
    <row r="268" spans="1:16" x14ac:dyDescent="0.25">
      <c r="A268" s="2">
        <v>45070</v>
      </c>
      <c r="B268" t="s">
        <v>29</v>
      </c>
      <c r="C268" t="s">
        <v>63</v>
      </c>
      <c r="D268" t="s">
        <v>65</v>
      </c>
      <c r="E268" t="s">
        <v>64</v>
      </c>
      <c r="F268" t="s">
        <v>23</v>
      </c>
      <c r="G268" t="s">
        <v>39</v>
      </c>
      <c r="H268">
        <v>8</v>
      </c>
      <c r="I268">
        <v>2663.16</v>
      </c>
      <c r="J268">
        <v>19174.752</v>
      </c>
      <c r="K268">
        <v>2130.5279999999998</v>
      </c>
      <c r="L268">
        <v>21305.279999999999</v>
      </c>
      <c r="M268">
        <v>3834.9503999999997</v>
      </c>
      <c r="N268">
        <v>25140.2304</v>
      </c>
      <c r="O268" t="s">
        <v>87</v>
      </c>
      <c r="P268" t="s">
        <v>101</v>
      </c>
    </row>
    <row r="269" spans="1:16" x14ac:dyDescent="0.25">
      <c r="A269" s="2">
        <v>44996</v>
      </c>
      <c r="B269" t="s">
        <v>40</v>
      </c>
      <c r="C269" t="s">
        <v>35</v>
      </c>
      <c r="D269" t="s">
        <v>65</v>
      </c>
      <c r="E269" t="s">
        <v>64</v>
      </c>
      <c r="F269" t="s">
        <v>23</v>
      </c>
      <c r="G269" t="s">
        <v>24</v>
      </c>
      <c r="H269">
        <v>20</v>
      </c>
      <c r="I269">
        <v>1690.56</v>
      </c>
      <c r="J269">
        <v>30430.079999999998</v>
      </c>
      <c r="K269">
        <v>3381.12</v>
      </c>
      <c r="L269">
        <v>33811.199999999997</v>
      </c>
      <c r="M269">
        <v>6086.0159999999996</v>
      </c>
      <c r="N269">
        <v>39897.216</v>
      </c>
      <c r="O269" t="s">
        <v>87</v>
      </c>
      <c r="P269" t="s">
        <v>101</v>
      </c>
    </row>
    <row r="270" spans="1:16" x14ac:dyDescent="0.25">
      <c r="A270" s="2">
        <v>44947</v>
      </c>
      <c r="B270" t="s">
        <v>40</v>
      </c>
      <c r="C270" t="s">
        <v>59</v>
      </c>
      <c r="D270" t="s">
        <v>66</v>
      </c>
      <c r="E270" t="s">
        <v>41</v>
      </c>
      <c r="F270" t="s">
        <v>23</v>
      </c>
      <c r="G270" t="s">
        <v>24</v>
      </c>
      <c r="H270">
        <v>1</v>
      </c>
      <c r="I270">
        <v>776.08</v>
      </c>
      <c r="J270">
        <v>698.47200000000009</v>
      </c>
      <c r="K270">
        <v>77.608000000000004</v>
      </c>
      <c r="L270">
        <v>776.08</v>
      </c>
      <c r="M270">
        <v>139.6944</v>
      </c>
      <c r="N270">
        <v>915.77440000000001</v>
      </c>
      <c r="O270" t="s">
        <v>87</v>
      </c>
      <c r="P270" t="s">
        <v>66</v>
      </c>
    </row>
    <row r="271" spans="1:16" x14ac:dyDescent="0.25">
      <c r="A271" s="2">
        <v>45018</v>
      </c>
      <c r="B271" t="s">
        <v>16</v>
      </c>
      <c r="C271" t="s">
        <v>54</v>
      </c>
      <c r="D271" t="s">
        <v>12</v>
      </c>
      <c r="E271" t="s">
        <v>18</v>
      </c>
      <c r="F271" t="s">
        <v>27</v>
      </c>
      <c r="G271" t="s">
        <v>44</v>
      </c>
      <c r="H271">
        <v>3</v>
      </c>
      <c r="I271">
        <v>1435.01</v>
      </c>
      <c r="J271">
        <v>3874.527</v>
      </c>
      <c r="K271">
        <v>430.50299999999999</v>
      </c>
      <c r="L271">
        <v>4305.03</v>
      </c>
      <c r="M271">
        <v>774.90539999999987</v>
      </c>
      <c r="N271">
        <v>5079.9353999999994</v>
      </c>
      <c r="O271" t="s">
        <v>87</v>
      </c>
      <c r="P271" t="s">
        <v>100</v>
      </c>
    </row>
    <row r="272" spans="1:16" x14ac:dyDescent="0.25">
      <c r="A272" s="2">
        <v>45176</v>
      </c>
      <c r="B272" t="s">
        <v>25</v>
      </c>
      <c r="C272" t="s">
        <v>60</v>
      </c>
      <c r="D272" t="s">
        <v>12</v>
      </c>
      <c r="E272" t="s">
        <v>18</v>
      </c>
      <c r="F272" t="s">
        <v>19</v>
      </c>
      <c r="G272" t="s">
        <v>48</v>
      </c>
      <c r="H272">
        <v>16</v>
      </c>
      <c r="I272">
        <v>1473.98</v>
      </c>
      <c r="J272">
        <v>21225.312000000002</v>
      </c>
      <c r="K272">
        <v>2358.3679999999999</v>
      </c>
      <c r="L272">
        <v>23583.68</v>
      </c>
      <c r="M272">
        <v>4245.0623999999998</v>
      </c>
      <c r="N272">
        <v>27828.742399999999</v>
      </c>
      <c r="O272" t="s">
        <v>87</v>
      </c>
      <c r="P272" t="s">
        <v>100</v>
      </c>
    </row>
    <row r="273" spans="1:16" x14ac:dyDescent="0.25">
      <c r="A273" s="2">
        <v>45235</v>
      </c>
      <c r="B273" t="s">
        <v>40</v>
      </c>
      <c r="C273" t="s">
        <v>26</v>
      </c>
      <c r="D273" t="s">
        <v>12</v>
      </c>
      <c r="E273" t="s">
        <v>18</v>
      </c>
      <c r="F273" t="s">
        <v>14</v>
      </c>
      <c r="G273" t="s">
        <v>45</v>
      </c>
      <c r="H273">
        <v>6</v>
      </c>
      <c r="I273">
        <v>1822.86</v>
      </c>
      <c r="J273">
        <v>9843.4439999999995</v>
      </c>
      <c r="K273">
        <v>1093.7160000000001</v>
      </c>
      <c r="L273">
        <v>10937.16</v>
      </c>
      <c r="M273">
        <v>1968.6887999999999</v>
      </c>
      <c r="N273">
        <v>12905.8488</v>
      </c>
      <c r="O273" t="s">
        <v>87</v>
      </c>
      <c r="P273" t="s">
        <v>100</v>
      </c>
    </row>
    <row r="274" spans="1:16" x14ac:dyDescent="0.25">
      <c r="A274" s="2">
        <v>44963</v>
      </c>
      <c r="B274" t="s">
        <v>40</v>
      </c>
      <c r="C274" t="s">
        <v>55</v>
      </c>
      <c r="D274" t="s">
        <v>66</v>
      </c>
      <c r="E274" t="s">
        <v>41</v>
      </c>
      <c r="F274" t="s">
        <v>23</v>
      </c>
      <c r="G274" t="s">
        <v>37</v>
      </c>
      <c r="H274">
        <v>13</v>
      </c>
      <c r="I274">
        <v>739.6</v>
      </c>
      <c r="J274">
        <v>8653.32</v>
      </c>
      <c r="K274">
        <v>961.48</v>
      </c>
      <c r="L274">
        <v>9614.7999999999993</v>
      </c>
      <c r="M274">
        <v>1730.6639999999998</v>
      </c>
      <c r="N274">
        <v>11345.464</v>
      </c>
      <c r="O274" t="s">
        <v>87</v>
      </c>
      <c r="P274" t="s">
        <v>66</v>
      </c>
    </row>
    <row r="275" spans="1:16" x14ac:dyDescent="0.25">
      <c r="A275" s="2">
        <v>44994</v>
      </c>
      <c r="B275" t="s">
        <v>31</v>
      </c>
      <c r="C275" t="s">
        <v>35</v>
      </c>
      <c r="D275" t="s">
        <v>65</v>
      </c>
      <c r="E275" t="s">
        <v>64</v>
      </c>
      <c r="F275" t="s">
        <v>27</v>
      </c>
      <c r="G275" t="s">
        <v>46</v>
      </c>
      <c r="H275">
        <v>11</v>
      </c>
      <c r="I275">
        <v>4209.66</v>
      </c>
      <c r="J275">
        <v>41675.634000000005</v>
      </c>
      <c r="K275">
        <v>4630.6260000000002</v>
      </c>
      <c r="L275">
        <v>46306.26</v>
      </c>
      <c r="M275">
        <v>8335.1268</v>
      </c>
      <c r="N275">
        <v>54641.3868</v>
      </c>
      <c r="O275" t="s">
        <v>87</v>
      </c>
      <c r="P275" t="s">
        <v>101</v>
      </c>
    </row>
    <row r="276" spans="1:16" x14ac:dyDescent="0.25">
      <c r="A276" s="2">
        <v>44986</v>
      </c>
      <c r="B276" t="s">
        <v>16</v>
      </c>
      <c r="C276" t="s">
        <v>62</v>
      </c>
      <c r="D276" t="s">
        <v>65</v>
      </c>
      <c r="E276" t="s">
        <v>64</v>
      </c>
      <c r="F276" t="s">
        <v>32</v>
      </c>
      <c r="G276" t="s">
        <v>36</v>
      </c>
      <c r="H276">
        <v>8</v>
      </c>
      <c r="I276">
        <v>4105.17</v>
      </c>
      <c r="J276">
        <v>29557.224000000002</v>
      </c>
      <c r="K276">
        <v>3284.1360000000004</v>
      </c>
      <c r="L276">
        <v>32841.360000000001</v>
      </c>
      <c r="M276">
        <v>5911.4448000000002</v>
      </c>
      <c r="N276">
        <v>38752.804799999998</v>
      </c>
      <c r="O276" t="s">
        <v>87</v>
      </c>
      <c r="P276" t="s">
        <v>101</v>
      </c>
    </row>
    <row r="277" spans="1:16" x14ac:dyDescent="0.25">
      <c r="A277" s="2">
        <v>45072</v>
      </c>
      <c r="B277" t="s">
        <v>31</v>
      </c>
      <c r="C277" t="s">
        <v>58</v>
      </c>
      <c r="D277" t="s">
        <v>12</v>
      </c>
      <c r="E277" t="s">
        <v>18</v>
      </c>
      <c r="F277" t="s">
        <v>14</v>
      </c>
      <c r="G277" t="s">
        <v>15</v>
      </c>
      <c r="H277">
        <v>2</v>
      </c>
      <c r="I277">
        <v>4100.3999999999996</v>
      </c>
      <c r="J277">
        <v>7380.7199999999993</v>
      </c>
      <c r="K277">
        <v>820.07999999999993</v>
      </c>
      <c r="L277">
        <v>8200.7999999999993</v>
      </c>
      <c r="M277">
        <v>1476.1439999999998</v>
      </c>
      <c r="N277">
        <v>9676.9439999999995</v>
      </c>
      <c r="O277" t="s">
        <v>87</v>
      </c>
      <c r="P277" t="s">
        <v>100</v>
      </c>
    </row>
    <row r="278" spans="1:16" x14ac:dyDescent="0.25">
      <c r="A278" s="2">
        <v>45221</v>
      </c>
      <c r="B278" t="s">
        <v>16</v>
      </c>
      <c r="C278" t="s">
        <v>17</v>
      </c>
      <c r="D278" t="s">
        <v>65</v>
      </c>
      <c r="E278" t="s">
        <v>64</v>
      </c>
      <c r="F278" t="s">
        <v>27</v>
      </c>
      <c r="G278" t="s">
        <v>28</v>
      </c>
      <c r="H278">
        <v>20</v>
      </c>
      <c r="I278">
        <v>2295.08</v>
      </c>
      <c r="J278">
        <v>41311.440000000002</v>
      </c>
      <c r="K278">
        <v>4590.16</v>
      </c>
      <c r="L278">
        <v>45901.599999999999</v>
      </c>
      <c r="M278">
        <v>8262.2879999999986</v>
      </c>
      <c r="N278">
        <v>54163.887999999999</v>
      </c>
      <c r="O278" t="s">
        <v>87</v>
      </c>
      <c r="P278" t="s">
        <v>101</v>
      </c>
    </row>
    <row r="279" spans="1:16" x14ac:dyDescent="0.25">
      <c r="A279" s="2">
        <v>45241</v>
      </c>
      <c r="B279" t="s">
        <v>40</v>
      </c>
      <c r="C279" t="s">
        <v>26</v>
      </c>
      <c r="D279" t="s">
        <v>12</v>
      </c>
      <c r="E279" t="s">
        <v>18</v>
      </c>
      <c r="F279" t="s">
        <v>27</v>
      </c>
      <c r="G279" t="s">
        <v>42</v>
      </c>
      <c r="H279">
        <v>20</v>
      </c>
      <c r="I279">
        <v>4970.33</v>
      </c>
      <c r="J279">
        <v>89465.94</v>
      </c>
      <c r="K279">
        <v>9940.6600000000017</v>
      </c>
      <c r="L279">
        <v>99406.6</v>
      </c>
      <c r="M279">
        <v>17893.188000000002</v>
      </c>
      <c r="N279">
        <v>117299.788</v>
      </c>
      <c r="O279" t="s">
        <v>87</v>
      </c>
      <c r="P279" t="s">
        <v>100</v>
      </c>
    </row>
    <row r="280" spans="1:16" x14ac:dyDescent="0.25">
      <c r="A280" s="2">
        <v>45272</v>
      </c>
      <c r="B280" t="s">
        <v>31</v>
      </c>
      <c r="C280" t="s">
        <v>63</v>
      </c>
      <c r="D280" t="s">
        <v>65</v>
      </c>
      <c r="E280" t="s">
        <v>64</v>
      </c>
      <c r="F280" t="s">
        <v>14</v>
      </c>
      <c r="G280" t="s">
        <v>45</v>
      </c>
      <c r="H280">
        <v>12</v>
      </c>
      <c r="I280">
        <v>3939.5</v>
      </c>
      <c r="J280">
        <v>42546.6</v>
      </c>
      <c r="K280">
        <v>4727.4000000000005</v>
      </c>
      <c r="L280">
        <v>47274</v>
      </c>
      <c r="M280">
        <v>8509.32</v>
      </c>
      <c r="N280">
        <v>55783.32</v>
      </c>
      <c r="O280" t="s">
        <v>87</v>
      </c>
      <c r="P280" t="s">
        <v>101</v>
      </c>
    </row>
    <row r="281" spans="1:16" x14ac:dyDescent="0.25">
      <c r="A281" s="2">
        <v>45224</v>
      </c>
      <c r="B281" t="s">
        <v>34</v>
      </c>
      <c r="C281" t="s">
        <v>57</v>
      </c>
      <c r="D281" t="s">
        <v>22</v>
      </c>
      <c r="E281" t="s">
        <v>13</v>
      </c>
      <c r="F281" t="s">
        <v>32</v>
      </c>
      <c r="G281" t="s">
        <v>49</v>
      </c>
      <c r="H281">
        <v>15</v>
      </c>
      <c r="I281">
        <v>1450.75</v>
      </c>
      <c r="J281">
        <v>19585.125</v>
      </c>
      <c r="K281">
        <v>2176.125</v>
      </c>
      <c r="L281">
        <v>21761.25</v>
      </c>
      <c r="M281">
        <v>3917.0249999999996</v>
      </c>
      <c r="N281">
        <v>25678.275000000001</v>
      </c>
      <c r="O281" t="s">
        <v>87</v>
      </c>
      <c r="P281" t="s">
        <v>99</v>
      </c>
    </row>
    <row r="282" spans="1:16" x14ac:dyDescent="0.25">
      <c r="A282" s="2">
        <v>45235</v>
      </c>
      <c r="B282" t="s">
        <v>34</v>
      </c>
      <c r="C282" t="s">
        <v>55</v>
      </c>
      <c r="D282" t="s">
        <v>66</v>
      </c>
      <c r="E282" t="s">
        <v>41</v>
      </c>
      <c r="F282" t="s">
        <v>14</v>
      </c>
      <c r="G282" t="s">
        <v>15</v>
      </c>
      <c r="H282">
        <v>8</v>
      </c>
      <c r="I282">
        <v>3279.33</v>
      </c>
      <c r="J282">
        <v>23611.175999999999</v>
      </c>
      <c r="K282">
        <v>2623.4639999999999</v>
      </c>
      <c r="L282">
        <v>26234.639999999999</v>
      </c>
      <c r="M282">
        <v>4722.2352000000001</v>
      </c>
      <c r="N282">
        <v>30956.875199999999</v>
      </c>
      <c r="O282" t="s">
        <v>87</v>
      </c>
      <c r="P282" t="s">
        <v>66</v>
      </c>
    </row>
    <row r="283" spans="1:16" x14ac:dyDescent="0.25">
      <c r="A283" s="2">
        <v>44953</v>
      </c>
      <c r="B283" t="s">
        <v>40</v>
      </c>
      <c r="C283" t="s">
        <v>59</v>
      </c>
      <c r="D283" t="s">
        <v>66</v>
      </c>
      <c r="E283" t="s">
        <v>41</v>
      </c>
      <c r="F283" t="s">
        <v>23</v>
      </c>
      <c r="G283" t="s">
        <v>39</v>
      </c>
      <c r="H283">
        <v>7</v>
      </c>
      <c r="I283">
        <v>579.91999999999996</v>
      </c>
      <c r="J283">
        <v>3653.4960000000001</v>
      </c>
      <c r="K283">
        <v>405.94400000000002</v>
      </c>
      <c r="L283">
        <v>4059.44</v>
      </c>
      <c r="M283">
        <v>730.69920000000002</v>
      </c>
      <c r="N283">
        <v>4790.1391999999996</v>
      </c>
      <c r="O283" t="s">
        <v>87</v>
      </c>
      <c r="P283" t="s">
        <v>66</v>
      </c>
    </row>
    <row r="284" spans="1:16" x14ac:dyDescent="0.25">
      <c r="A284" s="2">
        <v>44962</v>
      </c>
      <c r="B284" t="s">
        <v>34</v>
      </c>
      <c r="C284" t="s">
        <v>55</v>
      </c>
      <c r="D284" t="s">
        <v>66</v>
      </c>
      <c r="E284" t="s">
        <v>41</v>
      </c>
      <c r="F284" t="s">
        <v>32</v>
      </c>
      <c r="G284" t="s">
        <v>33</v>
      </c>
      <c r="H284">
        <v>10</v>
      </c>
      <c r="I284">
        <v>2515.54</v>
      </c>
      <c r="J284">
        <v>22639.86</v>
      </c>
      <c r="K284">
        <v>2515.5400000000004</v>
      </c>
      <c r="L284">
        <v>25155.4</v>
      </c>
      <c r="M284">
        <v>4527.9719999999998</v>
      </c>
      <c r="N284">
        <v>29683.372000000003</v>
      </c>
      <c r="O284" t="s">
        <v>87</v>
      </c>
      <c r="P284" t="s">
        <v>66</v>
      </c>
    </row>
    <row r="285" spans="1:16" x14ac:dyDescent="0.25">
      <c r="A285" s="2">
        <v>45005</v>
      </c>
      <c r="B285" t="s">
        <v>25</v>
      </c>
      <c r="C285" t="s">
        <v>59</v>
      </c>
      <c r="D285" t="s">
        <v>66</v>
      </c>
      <c r="E285" t="s">
        <v>41</v>
      </c>
      <c r="F285" t="s">
        <v>27</v>
      </c>
      <c r="G285" t="s">
        <v>42</v>
      </c>
      <c r="H285">
        <v>10</v>
      </c>
      <c r="I285">
        <v>2976.69</v>
      </c>
      <c r="J285">
        <v>26790.210000000003</v>
      </c>
      <c r="K285">
        <v>2976.6900000000005</v>
      </c>
      <c r="L285">
        <v>29766.9</v>
      </c>
      <c r="M285">
        <v>5358.0420000000004</v>
      </c>
      <c r="N285">
        <v>35124.942000000003</v>
      </c>
      <c r="O285" t="s">
        <v>87</v>
      </c>
      <c r="P285" t="s">
        <v>66</v>
      </c>
    </row>
    <row r="286" spans="1:16" x14ac:dyDescent="0.25">
      <c r="A286" s="2">
        <v>45044</v>
      </c>
      <c r="B286" t="s">
        <v>25</v>
      </c>
      <c r="C286" t="s">
        <v>17</v>
      </c>
      <c r="D286" t="s">
        <v>65</v>
      </c>
      <c r="E286" t="s">
        <v>64</v>
      </c>
      <c r="F286" t="s">
        <v>27</v>
      </c>
      <c r="G286" t="s">
        <v>46</v>
      </c>
      <c r="H286">
        <v>16</v>
      </c>
      <c r="I286">
        <v>4047.21</v>
      </c>
      <c r="J286">
        <v>58279.824000000001</v>
      </c>
      <c r="K286">
        <v>6475.5360000000001</v>
      </c>
      <c r="L286">
        <v>64755.360000000001</v>
      </c>
      <c r="M286">
        <v>11655.9648</v>
      </c>
      <c r="N286">
        <v>76411.324800000002</v>
      </c>
      <c r="O286" t="s">
        <v>87</v>
      </c>
      <c r="P286" t="s">
        <v>101</v>
      </c>
    </row>
    <row r="287" spans="1:16" x14ac:dyDescent="0.25">
      <c r="A287" s="2">
        <v>45026</v>
      </c>
      <c r="B287" t="s">
        <v>29</v>
      </c>
      <c r="C287" t="s">
        <v>60</v>
      </c>
      <c r="D287" t="s">
        <v>12</v>
      </c>
      <c r="E287" t="s">
        <v>18</v>
      </c>
      <c r="F287" t="s">
        <v>27</v>
      </c>
      <c r="G287" t="s">
        <v>44</v>
      </c>
      <c r="H287">
        <v>18</v>
      </c>
      <c r="I287">
        <v>2825.07</v>
      </c>
      <c r="J287">
        <v>45766.134000000005</v>
      </c>
      <c r="K287">
        <v>5085.1260000000002</v>
      </c>
      <c r="L287">
        <v>50851.26</v>
      </c>
      <c r="M287">
        <v>9153.2268000000004</v>
      </c>
      <c r="N287">
        <v>60004.486799999999</v>
      </c>
      <c r="O287" t="s">
        <v>87</v>
      </c>
      <c r="P287" t="s">
        <v>100</v>
      </c>
    </row>
    <row r="288" spans="1:16" x14ac:dyDescent="0.25">
      <c r="A288" s="2">
        <v>45067</v>
      </c>
      <c r="B288" t="s">
        <v>31</v>
      </c>
      <c r="C288" t="s">
        <v>56</v>
      </c>
      <c r="D288" t="s">
        <v>12</v>
      </c>
      <c r="E288" t="s">
        <v>18</v>
      </c>
      <c r="F288" t="s">
        <v>23</v>
      </c>
      <c r="G288" t="s">
        <v>47</v>
      </c>
      <c r="H288">
        <v>13</v>
      </c>
      <c r="I288">
        <v>1406.82</v>
      </c>
      <c r="J288">
        <v>16459.794000000002</v>
      </c>
      <c r="K288">
        <v>1828.866</v>
      </c>
      <c r="L288">
        <v>18288.66</v>
      </c>
      <c r="M288">
        <v>3291.9587999999999</v>
      </c>
      <c r="N288">
        <v>21580.6188</v>
      </c>
      <c r="O288" t="s">
        <v>87</v>
      </c>
      <c r="P288" t="s">
        <v>100</v>
      </c>
    </row>
    <row r="289" spans="1:16" x14ac:dyDescent="0.25">
      <c r="A289" s="2">
        <v>45038</v>
      </c>
      <c r="B289" t="s">
        <v>43</v>
      </c>
      <c r="C289" t="s">
        <v>11</v>
      </c>
      <c r="D289" t="s">
        <v>22</v>
      </c>
      <c r="E289" t="s">
        <v>13</v>
      </c>
      <c r="F289" t="s">
        <v>19</v>
      </c>
      <c r="G289" t="s">
        <v>52</v>
      </c>
      <c r="H289">
        <v>16</v>
      </c>
      <c r="I289">
        <v>1090.18</v>
      </c>
      <c r="J289">
        <v>15698.592000000001</v>
      </c>
      <c r="K289">
        <v>1744.2880000000002</v>
      </c>
      <c r="L289">
        <v>17442.88</v>
      </c>
      <c r="M289">
        <v>3139.7184000000002</v>
      </c>
      <c r="N289">
        <v>20582.598400000003</v>
      </c>
      <c r="O289" t="s">
        <v>87</v>
      </c>
      <c r="P289" t="s">
        <v>99</v>
      </c>
    </row>
    <row r="290" spans="1:16" x14ac:dyDescent="0.25">
      <c r="A290" s="2">
        <v>44960</v>
      </c>
      <c r="B290" t="s">
        <v>38</v>
      </c>
      <c r="C290" t="s">
        <v>26</v>
      </c>
      <c r="D290" t="s">
        <v>12</v>
      </c>
      <c r="E290" t="s">
        <v>18</v>
      </c>
      <c r="F290" t="s">
        <v>32</v>
      </c>
      <c r="G290" t="s">
        <v>49</v>
      </c>
      <c r="H290">
        <v>12</v>
      </c>
      <c r="I290">
        <v>3696.43</v>
      </c>
      <c r="J290">
        <v>39921.444000000003</v>
      </c>
      <c r="K290">
        <v>4435.7160000000003</v>
      </c>
      <c r="L290">
        <v>44357.16</v>
      </c>
      <c r="M290">
        <v>7984.2888000000003</v>
      </c>
      <c r="N290">
        <v>52341.448800000006</v>
      </c>
      <c r="O290" t="s">
        <v>87</v>
      </c>
      <c r="P290" t="s">
        <v>100</v>
      </c>
    </row>
    <row r="291" spans="1:16" x14ac:dyDescent="0.25">
      <c r="A291" s="2">
        <v>45239</v>
      </c>
      <c r="B291" t="s">
        <v>25</v>
      </c>
      <c r="C291" t="s">
        <v>62</v>
      </c>
      <c r="D291" t="s">
        <v>65</v>
      </c>
      <c r="E291" t="s">
        <v>64</v>
      </c>
      <c r="F291" t="s">
        <v>32</v>
      </c>
      <c r="G291" t="s">
        <v>49</v>
      </c>
      <c r="H291">
        <v>7</v>
      </c>
      <c r="I291">
        <v>4535.1400000000003</v>
      </c>
      <c r="J291">
        <v>28571.382000000001</v>
      </c>
      <c r="K291">
        <v>3174.598</v>
      </c>
      <c r="L291">
        <v>31745.98</v>
      </c>
      <c r="M291">
        <v>5714.2763999999997</v>
      </c>
      <c r="N291">
        <v>37460.256399999998</v>
      </c>
      <c r="O291" t="s">
        <v>87</v>
      </c>
      <c r="P291" t="s">
        <v>101</v>
      </c>
    </row>
    <row r="292" spans="1:16" x14ac:dyDescent="0.25">
      <c r="A292" s="2">
        <v>45232</v>
      </c>
      <c r="B292" t="s">
        <v>29</v>
      </c>
      <c r="C292" t="s">
        <v>17</v>
      </c>
      <c r="D292" t="s">
        <v>65</v>
      </c>
      <c r="E292" t="s">
        <v>64</v>
      </c>
      <c r="F292" t="s">
        <v>27</v>
      </c>
      <c r="G292" t="s">
        <v>46</v>
      </c>
      <c r="H292">
        <v>3</v>
      </c>
      <c r="I292">
        <v>4931.6899999999996</v>
      </c>
      <c r="J292">
        <v>13315.563</v>
      </c>
      <c r="K292">
        <v>1479.5070000000001</v>
      </c>
      <c r="L292">
        <v>14795.07</v>
      </c>
      <c r="M292">
        <v>2663.1125999999999</v>
      </c>
      <c r="N292">
        <v>17458.1826</v>
      </c>
      <c r="O292" t="s">
        <v>87</v>
      </c>
      <c r="P292" t="s">
        <v>101</v>
      </c>
    </row>
    <row r="293" spans="1:16" x14ac:dyDescent="0.25">
      <c r="A293" s="2">
        <v>45037</v>
      </c>
      <c r="B293" t="s">
        <v>43</v>
      </c>
      <c r="C293" t="s">
        <v>61</v>
      </c>
      <c r="D293" t="s">
        <v>65</v>
      </c>
      <c r="E293" t="s">
        <v>64</v>
      </c>
      <c r="F293" t="s">
        <v>27</v>
      </c>
      <c r="G293" t="s">
        <v>28</v>
      </c>
      <c r="H293">
        <v>16</v>
      </c>
      <c r="I293">
        <v>3263.65</v>
      </c>
      <c r="J293">
        <v>46996.560000000005</v>
      </c>
      <c r="K293">
        <v>5221.84</v>
      </c>
      <c r="L293">
        <v>52218.400000000001</v>
      </c>
      <c r="M293">
        <v>9399.3119999999999</v>
      </c>
      <c r="N293">
        <v>61617.712</v>
      </c>
      <c r="O293" t="s">
        <v>87</v>
      </c>
      <c r="P293" t="s">
        <v>101</v>
      </c>
    </row>
    <row r="294" spans="1:16" x14ac:dyDescent="0.25">
      <c r="A294" s="2">
        <v>45046</v>
      </c>
      <c r="B294" t="s">
        <v>21</v>
      </c>
      <c r="C294" t="s">
        <v>26</v>
      </c>
      <c r="D294" t="s">
        <v>12</v>
      </c>
      <c r="E294" t="s">
        <v>18</v>
      </c>
      <c r="F294" t="s">
        <v>19</v>
      </c>
      <c r="G294" t="s">
        <v>48</v>
      </c>
      <c r="H294">
        <v>17</v>
      </c>
      <c r="I294">
        <v>4083.07</v>
      </c>
      <c r="J294">
        <v>62470.971000000005</v>
      </c>
      <c r="K294">
        <v>6941.219000000001</v>
      </c>
      <c r="L294">
        <v>69412.19</v>
      </c>
      <c r="M294">
        <v>12494.1942</v>
      </c>
      <c r="N294">
        <v>81906.3842</v>
      </c>
      <c r="O294" t="s">
        <v>87</v>
      </c>
      <c r="P294" t="s">
        <v>100</v>
      </c>
    </row>
    <row r="295" spans="1:16" x14ac:dyDescent="0.25">
      <c r="A295" s="2">
        <v>44975</v>
      </c>
      <c r="B295" t="s">
        <v>34</v>
      </c>
      <c r="C295" t="s">
        <v>59</v>
      </c>
      <c r="D295" t="s">
        <v>66</v>
      </c>
      <c r="E295" t="s">
        <v>41</v>
      </c>
      <c r="F295" t="s">
        <v>19</v>
      </c>
      <c r="G295" t="s">
        <v>20</v>
      </c>
      <c r="H295">
        <v>12</v>
      </c>
      <c r="I295">
        <v>528.69000000000005</v>
      </c>
      <c r="J295">
        <v>5709.8519999999999</v>
      </c>
      <c r="K295">
        <v>634.428</v>
      </c>
      <c r="L295">
        <v>6344.28</v>
      </c>
      <c r="M295">
        <v>1141.9703999999999</v>
      </c>
      <c r="N295">
        <v>7486.2503999999999</v>
      </c>
      <c r="O295" t="s">
        <v>87</v>
      </c>
      <c r="P295" t="s">
        <v>66</v>
      </c>
    </row>
    <row r="296" spans="1:16" x14ac:dyDescent="0.25">
      <c r="A296" s="2">
        <v>45142</v>
      </c>
      <c r="B296" t="s">
        <v>40</v>
      </c>
      <c r="C296" t="s">
        <v>55</v>
      </c>
      <c r="D296" t="s">
        <v>66</v>
      </c>
      <c r="E296" t="s">
        <v>41</v>
      </c>
      <c r="F296" t="s">
        <v>32</v>
      </c>
      <c r="G296" t="s">
        <v>50</v>
      </c>
      <c r="H296">
        <v>8</v>
      </c>
      <c r="I296">
        <v>528.92999999999995</v>
      </c>
      <c r="J296">
        <v>3808.2959999999998</v>
      </c>
      <c r="K296">
        <v>423.14400000000001</v>
      </c>
      <c r="L296">
        <v>4231.4399999999996</v>
      </c>
      <c r="M296">
        <v>761.65919999999994</v>
      </c>
      <c r="N296">
        <v>4993.0991999999997</v>
      </c>
      <c r="O296" t="s">
        <v>87</v>
      </c>
      <c r="P296" t="s">
        <v>66</v>
      </c>
    </row>
    <row r="297" spans="1:16" x14ac:dyDescent="0.25">
      <c r="A297" s="2">
        <v>45150</v>
      </c>
      <c r="B297" t="s">
        <v>10</v>
      </c>
      <c r="C297" t="s">
        <v>26</v>
      </c>
      <c r="D297" t="s">
        <v>12</v>
      </c>
      <c r="E297" t="s">
        <v>18</v>
      </c>
      <c r="F297" t="s">
        <v>27</v>
      </c>
      <c r="G297" t="s">
        <v>28</v>
      </c>
      <c r="H297">
        <v>11</v>
      </c>
      <c r="I297">
        <v>1749.31</v>
      </c>
      <c r="J297">
        <v>17318.169000000002</v>
      </c>
      <c r="K297">
        <v>1924.241</v>
      </c>
      <c r="L297">
        <v>19242.41</v>
      </c>
      <c r="M297">
        <v>3463.6338000000001</v>
      </c>
      <c r="N297">
        <v>22706.043799999999</v>
      </c>
      <c r="O297" t="s">
        <v>87</v>
      </c>
      <c r="P297" t="s">
        <v>100</v>
      </c>
    </row>
    <row r="298" spans="1:16" x14ac:dyDescent="0.25">
      <c r="A298" s="2">
        <v>45262</v>
      </c>
      <c r="B298" t="s">
        <v>10</v>
      </c>
      <c r="C298" t="s">
        <v>11</v>
      </c>
      <c r="D298" t="s">
        <v>22</v>
      </c>
      <c r="E298" t="s">
        <v>13</v>
      </c>
      <c r="F298" t="s">
        <v>19</v>
      </c>
      <c r="G298" t="s">
        <v>20</v>
      </c>
      <c r="H298">
        <v>11</v>
      </c>
      <c r="I298">
        <v>2635.95</v>
      </c>
      <c r="J298">
        <v>26095.905000000002</v>
      </c>
      <c r="K298">
        <v>2899.5450000000001</v>
      </c>
      <c r="L298">
        <v>28995.45</v>
      </c>
      <c r="M298">
        <v>5219.1809999999996</v>
      </c>
      <c r="N298">
        <v>34214.631000000001</v>
      </c>
      <c r="O298" t="s">
        <v>87</v>
      </c>
      <c r="P298" t="s">
        <v>99</v>
      </c>
    </row>
    <row r="299" spans="1:16" x14ac:dyDescent="0.25">
      <c r="A299" s="2">
        <v>45275</v>
      </c>
      <c r="B299" t="s">
        <v>31</v>
      </c>
      <c r="C299" t="s">
        <v>11</v>
      </c>
      <c r="D299" t="s">
        <v>22</v>
      </c>
      <c r="E299" t="s">
        <v>13</v>
      </c>
      <c r="F299" t="s">
        <v>27</v>
      </c>
      <c r="G299" t="s">
        <v>28</v>
      </c>
      <c r="H299">
        <v>6</v>
      </c>
      <c r="I299">
        <v>2850.31</v>
      </c>
      <c r="J299">
        <v>15391.674000000001</v>
      </c>
      <c r="K299">
        <v>1710.1860000000001</v>
      </c>
      <c r="L299">
        <v>17101.86</v>
      </c>
      <c r="M299">
        <v>3078.3348000000001</v>
      </c>
      <c r="N299">
        <v>20180.194800000001</v>
      </c>
      <c r="O299" t="s">
        <v>87</v>
      </c>
      <c r="P299" t="s">
        <v>99</v>
      </c>
    </row>
    <row r="300" spans="1:16" x14ac:dyDescent="0.25">
      <c r="A300" s="2">
        <v>45029</v>
      </c>
      <c r="B300" t="s">
        <v>43</v>
      </c>
      <c r="C300" t="s">
        <v>54</v>
      </c>
      <c r="D300" t="s">
        <v>12</v>
      </c>
      <c r="E300" t="s">
        <v>18</v>
      </c>
      <c r="F300" t="s">
        <v>32</v>
      </c>
      <c r="G300" t="s">
        <v>36</v>
      </c>
      <c r="H300">
        <v>5</v>
      </c>
      <c r="I300">
        <v>1413.03</v>
      </c>
      <c r="J300">
        <v>6358.6350000000002</v>
      </c>
      <c r="K300">
        <v>706.51499999999999</v>
      </c>
      <c r="L300">
        <v>7065.15</v>
      </c>
      <c r="M300">
        <v>1271.7269999999999</v>
      </c>
      <c r="N300">
        <v>8336.8770000000004</v>
      </c>
      <c r="O300" t="s">
        <v>87</v>
      </c>
      <c r="P300" t="s">
        <v>100</v>
      </c>
    </row>
    <row r="301" spans="1:16" x14ac:dyDescent="0.25">
      <c r="A301" s="2">
        <v>45291</v>
      </c>
      <c r="B301" t="s">
        <v>29</v>
      </c>
      <c r="C301" t="s">
        <v>59</v>
      </c>
      <c r="D301" t="s">
        <v>66</v>
      </c>
      <c r="E301" t="s">
        <v>41</v>
      </c>
      <c r="F301" t="s">
        <v>32</v>
      </c>
      <c r="G301" t="s">
        <v>49</v>
      </c>
      <c r="H301">
        <v>14</v>
      </c>
      <c r="I301">
        <v>4541.87</v>
      </c>
      <c r="J301">
        <v>57227.561999999998</v>
      </c>
      <c r="K301">
        <v>6358.6180000000004</v>
      </c>
      <c r="L301">
        <v>63586.18</v>
      </c>
      <c r="M301">
        <v>11445.5124</v>
      </c>
      <c r="N301">
        <v>75031.6924</v>
      </c>
      <c r="O301" t="s">
        <v>87</v>
      </c>
      <c r="P301" t="s">
        <v>66</v>
      </c>
    </row>
    <row r="302" spans="1:16" x14ac:dyDescent="0.25">
      <c r="A302" s="2">
        <v>45076</v>
      </c>
      <c r="B302" t="s">
        <v>29</v>
      </c>
      <c r="C302" t="s">
        <v>58</v>
      </c>
      <c r="D302" t="s">
        <v>12</v>
      </c>
      <c r="E302" t="s">
        <v>18</v>
      </c>
      <c r="F302" t="s">
        <v>23</v>
      </c>
      <c r="G302" t="s">
        <v>39</v>
      </c>
      <c r="H302">
        <v>5</v>
      </c>
      <c r="I302">
        <v>3395.71</v>
      </c>
      <c r="J302">
        <v>15280.695</v>
      </c>
      <c r="K302">
        <v>1697.855</v>
      </c>
      <c r="L302">
        <v>16978.55</v>
      </c>
      <c r="M302">
        <v>3056.1389999999997</v>
      </c>
      <c r="N302">
        <v>20034.688999999998</v>
      </c>
      <c r="O302" t="s">
        <v>87</v>
      </c>
      <c r="P302" t="s">
        <v>100</v>
      </c>
    </row>
    <row r="303" spans="1:16" x14ac:dyDescent="0.25">
      <c r="A303" s="2">
        <v>45237</v>
      </c>
      <c r="B303" t="s">
        <v>25</v>
      </c>
      <c r="C303" t="s">
        <v>35</v>
      </c>
      <c r="D303" t="s">
        <v>65</v>
      </c>
      <c r="E303" t="s">
        <v>64</v>
      </c>
      <c r="F303" t="s">
        <v>19</v>
      </c>
      <c r="G303" t="s">
        <v>48</v>
      </c>
      <c r="H303">
        <v>2</v>
      </c>
      <c r="I303">
        <v>4050.46</v>
      </c>
      <c r="J303">
        <v>7290.8280000000004</v>
      </c>
      <c r="K303">
        <v>810.0920000000001</v>
      </c>
      <c r="L303">
        <v>8100.92</v>
      </c>
      <c r="M303">
        <v>1458.1656</v>
      </c>
      <c r="N303">
        <v>9559.0856000000003</v>
      </c>
      <c r="O303" t="s">
        <v>87</v>
      </c>
      <c r="P303" t="s">
        <v>101</v>
      </c>
    </row>
    <row r="304" spans="1:16" x14ac:dyDescent="0.25">
      <c r="A304" s="2">
        <v>45141</v>
      </c>
      <c r="B304" t="s">
        <v>38</v>
      </c>
      <c r="C304" t="s">
        <v>63</v>
      </c>
      <c r="D304" t="s">
        <v>65</v>
      </c>
      <c r="E304" t="s">
        <v>64</v>
      </c>
      <c r="F304" t="s">
        <v>23</v>
      </c>
      <c r="G304" t="s">
        <v>24</v>
      </c>
      <c r="H304">
        <v>6</v>
      </c>
      <c r="I304">
        <v>3617.81</v>
      </c>
      <c r="J304">
        <v>19536.174000000003</v>
      </c>
      <c r="K304">
        <v>2170.6860000000001</v>
      </c>
      <c r="L304">
        <v>21706.86</v>
      </c>
      <c r="M304">
        <v>3907.2348000000002</v>
      </c>
      <c r="N304">
        <v>25614.094799999999</v>
      </c>
      <c r="O304" t="s">
        <v>87</v>
      </c>
      <c r="P304" t="s">
        <v>101</v>
      </c>
    </row>
    <row r="305" spans="1:16" x14ac:dyDescent="0.25">
      <c r="A305" s="2">
        <v>45158</v>
      </c>
      <c r="B305" t="s">
        <v>25</v>
      </c>
      <c r="C305" t="s">
        <v>17</v>
      </c>
      <c r="D305" t="s">
        <v>65</v>
      </c>
      <c r="E305" t="s">
        <v>64</v>
      </c>
      <c r="F305" t="s">
        <v>27</v>
      </c>
      <c r="G305" t="s">
        <v>42</v>
      </c>
      <c r="H305">
        <v>11</v>
      </c>
      <c r="I305">
        <v>1527.71</v>
      </c>
      <c r="J305">
        <v>15124.329000000002</v>
      </c>
      <c r="K305">
        <v>1680.4810000000002</v>
      </c>
      <c r="L305">
        <v>16804.810000000001</v>
      </c>
      <c r="M305">
        <v>3024.8658</v>
      </c>
      <c r="N305">
        <v>19829.675800000001</v>
      </c>
      <c r="O305" t="s">
        <v>87</v>
      </c>
      <c r="P305" t="s">
        <v>101</v>
      </c>
    </row>
    <row r="306" spans="1:16" x14ac:dyDescent="0.25">
      <c r="A306" s="2">
        <v>44963</v>
      </c>
      <c r="B306" t="s">
        <v>38</v>
      </c>
      <c r="C306" t="s">
        <v>26</v>
      </c>
      <c r="D306" t="s">
        <v>12</v>
      </c>
      <c r="E306" t="s">
        <v>18</v>
      </c>
      <c r="F306" t="s">
        <v>32</v>
      </c>
      <c r="G306" t="s">
        <v>50</v>
      </c>
      <c r="H306">
        <v>7</v>
      </c>
      <c r="I306">
        <v>1420.32</v>
      </c>
      <c r="J306">
        <v>8948.0159999999996</v>
      </c>
      <c r="K306">
        <v>994.22400000000005</v>
      </c>
      <c r="L306">
        <v>9942.24</v>
      </c>
      <c r="M306">
        <v>1789.6031999999998</v>
      </c>
      <c r="N306">
        <v>11731.843199999999</v>
      </c>
      <c r="O306" t="s">
        <v>87</v>
      </c>
      <c r="P306" t="s">
        <v>100</v>
      </c>
    </row>
    <row r="307" spans="1:16" x14ac:dyDescent="0.25">
      <c r="A307" s="2">
        <v>44952</v>
      </c>
      <c r="B307" t="s">
        <v>29</v>
      </c>
      <c r="C307" t="s">
        <v>55</v>
      </c>
      <c r="D307" t="s">
        <v>66</v>
      </c>
      <c r="E307" t="s">
        <v>41</v>
      </c>
      <c r="F307" t="s">
        <v>32</v>
      </c>
      <c r="G307" t="s">
        <v>33</v>
      </c>
      <c r="H307">
        <v>17</v>
      </c>
      <c r="I307">
        <v>1336.86</v>
      </c>
      <c r="J307">
        <v>20453.957999999999</v>
      </c>
      <c r="K307">
        <v>2272.6619999999998</v>
      </c>
      <c r="L307">
        <v>22726.62</v>
      </c>
      <c r="M307">
        <v>4090.7915999999996</v>
      </c>
      <c r="N307">
        <v>26817.411599999999</v>
      </c>
      <c r="O307" t="s">
        <v>87</v>
      </c>
      <c r="P307" t="s">
        <v>66</v>
      </c>
    </row>
    <row r="308" spans="1:16" x14ac:dyDescent="0.25">
      <c r="A308" s="2">
        <v>44936</v>
      </c>
      <c r="B308" t="s">
        <v>10</v>
      </c>
      <c r="C308" t="s">
        <v>63</v>
      </c>
      <c r="D308" t="s">
        <v>65</v>
      </c>
      <c r="E308" t="s">
        <v>64</v>
      </c>
      <c r="F308" t="s">
        <v>23</v>
      </c>
      <c r="G308" t="s">
        <v>24</v>
      </c>
      <c r="H308">
        <v>15</v>
      </c>
      <c r="I308">
        <v>359.4</v>
      </c>
      <c r="J308">
        <v>4851.9000000000005</v>
      </c>
      <c r="K308">
        <v>539.1</v>
      </c>
      <c r="L308">
        <v>5391</v>
      </c>
      <c r="M308">
        <v>970.38</v>
      </c>
      <c r="N308">
        <v>6361.38</v>
      </c>
      <c r="O308" t="s">
        <v>87</v>
      </c>
      <c r="P308" t="s">
        <v>101</v>
      </c>
    </row>
    <row r="309" spans="1:16" x14ac:dyDescent="0.25">
      <c r="A309" s="2">
        <v>45192</v>
      </c>
      <c r="B309" t="s">
        <v>40</v>
      </c>
      <c r="C309" t="s">
        <v>26</v>
      </c>
      <c r="D309" t="s">
        <v>12</v>
      </c>
      <c r="E309" t="s">
        <v>18</v>
      </c>
      <c r="F309" t="s">
        <v>14</v>
      </c>
      <c r="G309" t="s">
        <v>53</v>
      </c>
      <c r="H309">
        <v>6</v>
      </c>
      <c r="I309">
        <v>4109.0200000000004</v>
      </c>
      <c r="J309">
        <v>22188.707999999999</v>
      </c>
      <c r="K309">
        <v>2465.4120000000003</v>
      </c>
      <c r="L309">
        <v>24654.12</v>
      </c>
      <c r="M309">
        <v>4437.7415999999994</v>
      </c>
      <c r="N309">
        <v>29091.861599999997</v>
      </c>
      <c r="O309" t="s">
        <v>87</v>
      </c>
      <c r="P309" t="s">
        <v>100</v>
      </c>
    </row>
    <row r="310" spans="1:16" x14ac:dyDescent="0.25">
      <c r="A310" s="2">
        <v>44965</v>
      </c>
      <c r="B310" t="s">
        <v>21</v>
      </c>
      <c r="C310" t="s">
        <v>54</v>
      </c>
      <c r="D310" t="s">
        <v>12</v>
      </c>
      <c r="E310" t="s">
        <v>18</v>
      </c>
      <c r="F310" t="s">
        <v>14</v>
      </c>
      <c r="G310" t="s">
        <v>15</v>
      </c>
      <c r="H310">
        <v>12</v>
      </c>
      <c r="I310">
        <v>3700.23</v>
      </c>
      <c r="J310">
        <v>39962.484000000004</v>
      </c>
      <c r="K310">
        <v>4440.2760000000007</v>
      </c>
      <c r="L310">
        <v>44402.76</v>
      </c>
      <c r="M310">
        <v>7992.4967999999999</v>
      </c>
      <c r="N310">
        <v>52395.256800000003</v>
      </c>
      <c r="O310" t="s">
        <v>87</v>
      </c>
      <c r="P310" t="s">
        <v>100</v>
      </c>
    </row>
    <row r="311" spans="1:16" x14ac:dyDescent="0.25">
      <c r="A311" s="2">
        <v>45015</v>
      </c>
      <c r="B311" t="s">
        <v>25</v>
      </c>
      <c r="C311" t="s">
        <v>55</v>
      </c>
      <c r="D311" t="s">
        <v>66</v>
      </c>
      <c r="E311" t="s">
        <v>41</v>
      </c>
      <c r="F311" t="s">
        <v>14</v>
      </c>
      <c r="G311" t="s">
        <v>53</v>
      </c>
      <c r="H311">
        <v>5</v>
      </c>
      <c r="I311">
        <v>221.41</v>
      </c>
      <c r="J311">
        <v>996.34500000000003</v>
      </c>
      <c r="K311">
        <v>110.705</v>
      </c>
      <c r="L311">
        <v>1107.05</v>
      </c>
      <c r="M311">
        <v>199.26899999999998</v>
      </c>
      <c r="N311">
        <v>1306.319</v>
      </c>
      <c r="O311" t="s">
        <v>87</v>
      </c>
      <c r="P311" t="s">
        <v>66</v>
      </c>
    </row>
    <row r="312" spans="1:16" x14ac:dyDescent="0.25">
      <c r="A312" s="2">
        <v>45075</v>
      </c>
      <c r="B312" t="s">
        <v>40</v>
      </c>
      <c r="C312" t="s">
        <v>62</v>
      </c>
      <c r="D312" t="s">
        <v>65</v>
      </c>
      <c r="E312" t="s">
        <v>64</v>
      </c>
      <c r="F312" t="s">
        <v>23</v>
      </c>
      <c r="G312" t="s">
        <v>24</v>
      </c>
      <c r="H312">
        <v>12</v>
      </c>
      <c r="I312">
        <v>4446.1499999999996</v>
      </c>
      <c r="J312">
        <v>48018.420000000006</v>
      </c>
      <c r="K312">
        <v>5335.380000000001</v>
      </c>
      <c r="L312">
        <v>53353.8</v>
      </c>
      <c r="M312">
        <v>9603.6839999999993</v>
      </c>
      <c r="N312">
        <v>62957.484000000004</v>
      </c>
      <c r="O312" t="s">
        <v>87</v>
      </c>
      <c r="P312" t="s">
        <v>101</v>
      </c>
    </row>
    <row r="313" spans="1:16" x14ac:dyDescent="0.25">
      <c r="A313" s="2">
        <v>45115</v>
      </c>
      <c r="B313" t="s">
        <v>29</v>
      </c>
      <c r="C313" t="s">
        <v>62</v>
      </c>
      <c r="D313" t="s">
        <v>65</v>
      </c>
      <c r="E313" t="s">
        <v>64</v>
      </c>
      <c r="F313" t="s">
        <v>27</v>
      </c>
      <c r="G313" t="s">
        <v>28</v>
      </c>
      <c r="H313">
        <v>12</v>
      </c>
      <c r="I313">
        <v>2393.9699999999998</v>
      </c>
      <c r="J313">
        <v>25854.876</v>
      </c>
      <c r="K313">
        <v>2872.7640000000001</v>
      </c>
      <c r="L313">
        <v>28727.64</v>
      </c>
      <c r="M313">
        <v>5170.9751999999999</v>
      </c>
      <c r="N313">
        <v>33898.6152</v>
      </c>
      <c r="O313" t="s">
        <v>87</v>
      </c>
      <c r="P313" t="s">
        <v>101</v>
      </c>
    </row>
    <row r="314" spans="1:16" x14ac:dyDescent="0.25">
      <c r="A314" s="2">
        <v>45089</v>
      </c>
      <c r="B314" t="s">
        <v>31</v>
      </c>
      <c r="C314" t="s">
        <v>58</v>
      </c>
      <c r="D314" t="s">
        <v>12</v>
      </c>
      <c r="E314" t="s">
        <v>18</v>
      </c>
      <c r="F314" t="s">
        <v>27</v>
      </c>
      <c r="G314" t="s">
        <v>44</v>
      </c>
      <c r="H314">
        <v>7</v>
      </c>
      <c r="I314">
        <v>256.57</v>
      </c>
      <c r="J314">
        <v>1616.3910000000001</v>
      </c>
      <c r="K314">
        <v>179.59900000000002</v>
      </c>
      <c r="L314">
        <v>1795.99</v>
      </c>
      <c r="M314">
        <v>323.27819999999997</v>
      </c>
      <c r="N314">
        <v>2119.2682</v>
      </c>
      <c r="O314" t="s">
        <v>87</v>
      </c>
      <c r="P314" t="s">
        <v>100</v>
      </c>
    </row>
    <row r="315" spans="1:16" x14ac:dyDescent="0.25">
      <c r="A315" s="2">
        <v>45071</v>
      </c>
      <c r="B315" t="s">
        <v>40</v>
      </c>
      <c r="C315" t="s">
        <v>56</v>
      </c>
      <c r="D315" t="s">
        <v>12</v>
      </c>
      <c r="E315" t="s">
        <v>18</v>
      </c>
      <c r="F315" t="s">
        <v>23</v>
      </c>
      <c r="G315" t="s">
        <v>47</v>
      </c>
      <c r="H315">
        <v>9</v>
      </c>
      <c r="I315">
        <v>4218.3599999999997</v>
      </c>
      <c r="J315">
        <v>34168.716</v>
      </c>
      <c r="K315">
        <v>3796.5239999999999</v>
      </c>
      <c r="L315">
        <v>37965.24</v>
      </c>
      <c r="M315">
        <v>6833.743199999999</v>
      </c>
      <c r="N315">
        <v>44798.983199999995</v>
      </c>
      <c r="O315" t="s">
        <v>87</v>
      </c>
      <c r="P315" t="s">
        <v>100</v>
      </c>
    </row>
    <row r="316" spans="1:16" x14ac:dyDescent="0.25">
      <c r="A316" s="2">
        <v>45121</v>
      </c>
      <c r="B316" t="s">
        <v>29</v>
      </c>
      <c r="C316" t="s">
        <v>58</v>
      </c>
      <c r="D316" t="s">
        <v>12</v>
      </c>
      <c r="E316" t="s">
        <v>18</v>
      </c>
      <c r="F316" t="s">
        <v>23</v>
      </c>
      <c r="G316" t="s">
        <v>37</v>
      </c>
      <c r="H316">
        <v>8</v>
      </c>
      <c r="I316">
        <v>4930.67</v>
      </c>
      <c r="J316">
        <v>35500.824000000001</v>
      </c>
      <c r="K316">
        <v>3944.5360000000001</v>
      </c>
      <c r="L316">
        <v>39445.360000000001</v>
      </c>
      <c r="M316">
        <v>7100.1647999999996</v>
      </c>
      <c r="N316">
        <v>46545.524799999999</v>
      </c>
      <c r="O316" t="s">
        <v>87</v>
      </c>
      <c r="P316" t="s">
        <v>100</v>
      </c>
    </row>
    <row r="317" spans="1:16" x14ac:dyDescent="0.25">
      <c r="A317" s="2">
        <v>45186</v>
      </c>
      <c r="B317" t="s">
        <v>16</v>
      </c>
      <c r="C317" t="s">
        <v>55</v>
      </c>
      <c r="D317" t="s">
        <v>66</v>
      </c>
      <c r="E317" t="s">
        <v>41</v>
      </c>
      <c r="F317" t="s">
        <v>23</v>
      </c>
      <c r="G317" t="s">
        <v>37</v>
      </c>
      <c r="H317">
        <v>2</v>
      </c>
      <c r="I317">
        <v>1264.68</v>
      </c>
      <c r="J317">
        <v>2276.424</v>
      </c>
      <c r="K317">
        <v>252.93600000000004</v>
      </c>
      <c r="L317">
        <v>2529.36</v>
      </c>
      <c r="M317">
        <v>455.28480000000002</v>
      </c>
      <c r="N317">
        <v>2984.6448</v>
      </c>
      <c r="O317" t="s">
        <v>87</v>
      </c>
      <c r="P317" t="s">
        <v>66</v>
      </c>
    </row>
    <row r="318" spans="1:16" x14ac:dyDescent="0.25">
      <c r="A318" s="2">
        <v>45084</v>
      </c>
      <c r="B318" t="s">
        <v>10</v>
      </c>
      <c r="C318" t="s">
        <v>59</v>
      </c>
      <c r="D318" t="s">
        <v>66</v>
      </c>
      <c r="E318" t="s">
        <v>41</v>
      </c>
      <c r="F318" t="s">
        <v>19</v>
      </c>
      <c r="G318" t="s">
        <v>30</v>
      </c>
      <c r="H318">
        <v>16</v>
      </c>
      <c r="I318">
        <v>2192.7399999999998</v>
      </c>
      <c r="J318">
        <v>31575.455999999998</v>
      </c>
      <c r="K318">
        <v>3508.384</v>
      </c>
      <c r="L318">
        <v>35083.839999999997</v>
      </c>
      <c r="M318">
        <v>6315.0911999999989</v>
      </c>
      <c r="N318">
        <v>41398.931199999992</v>
      </c>
      <c r="O318" t="s">
        <v>87</v>
      </c>
      <c r="P318" t="s">
        <v>66</v>
      </c>
    </row>
    <row r="319" spans="1:16" x14ac:dyDescent="0.25">
      <c r="A319" s="2">
        <v>45258</v>
      </c>
      <c r="B319" t="s">
        <v>16</v>
      </c>
      <c r="C319" t="s">
        <v>59</v>
      </c>
      <c r="D319" t="s">
        <v>66</v>
      </c>
      <c r="E319" t="s">
        <v>41</v>
      </c>
      <c r="F319" t="s">
        <v>27</v>
      </c>
      <c r="G319" t="s">
        <v>42</v>
      </c>
      <c r="H319">
        <v>14</v>
      </c>
      <c r="I319">
        <v>3943.42</v>
      </c>
      <c r="J319">
        <v>49687.091999999997</v>
      </c>
      <c r="K319">
        <v>5520.7880000000005</v>
      </c>
      <c r="L319">
        <v>55207.88</v>
      </c>
      <c r="M319">
        <v>9937.4183999999987</v>
      </c>
      <c r="N319">
        <v>65145.2984</v>
      </c>
      <c r="O319" t="s">
        <v>87</v>
      </c>
      <c r="P319" t="s">
        <v>66</v>
      </c>
    </row>
    <row r="320" spans="1:16" x14ac:dyDescent="0.25">
      <c r="A320" s="2">
        <v>45172</v>
      </c>
      <c r="B320" t="s">
        <v>38</v>
      </c>
      <c r="C320" t="s">
        <v>60</v>
      </c>
      <c r="D320" t="s">
        <v>12</v>
      </c>
      <c r="E320" t="s">
        <v>18</v>
      </c>
      <c r="F320" t="s">
        <v>27</v>
      </c>
      <c r="G320" t="s">
        <v>46</v>
      </c>
      <c r="H320">
        <v>11</v>
      </c>
      <c r="I320">
        <v>2951.18</v>
      </c>
      <c r="J320">
        <v>29216.682000000001</v>
      </c>
      <c r="K320">
        <v>3246.2980000000002</v>
      </c>
      <c r="L320">
        <v>32462.98</v>
      </c>
      <c r="M320">
        <v>5843.3364000000001</v>
      </c>
      <c r="N320">
        <v>38306.316399999996</v>
      </c>
      <c r="O320" t="s">
        <v>87</v>
      </c>
      <c r="P320" t="s">
        <v>100</v>
      </c>
    </row>
    <row r="321" spans="1:16" x14ac:dyDescent="0.25">
      <c r="A321" s="2">
        <v>45216</v>
      </c>
      <c r="B321" t="s">
        <v>34</v>
      </c>
      <c r="C321" t="s">
        <v>55</v>
      </c>
      <c r="D321" t="s">
        <v>66</v>
      </c>
      <c r="E321" t="s">
        <v>41</v>
      </c>
      <c r="F321" t="s">
        <v>27</v>
      </c>
      <c r="G321" t="s">
        <v>44</v>
      </c>
      <c r="H321">
        <v>11</v>
      </c>
      <c r="I321">
        <v>4325.83</v>
      </c>
      <c r="J321">
        <v>42825.716999999997</v>
      </c>
      <c r="K321">
        <v>4758.4129999999996</v>
      </c>
      <c r="L321">
        <v>47584.13</v>
      </c>
      <c r="M321">
        <v>8565.143399999999</v>
      </c>
      <c r="N321">
        <v>56149.273399999998</v>
      </c>
      <c r="O321" t="s">
        <v>87</v>
      </c>
      <c r="P321" t="s">
        <v>66</v>
      </c>
    </row>
    <row r="322" spans="1:16" x14ac:dyDescent="0.25">
      <c r="A322" s="2">
        <v>45033</v>
      </c>
      <c r="B322" t="s">
        <v>34</v>
      </c>
      <c r="C322" t="s">
        <v>60</v>
      </c>
      <c r="D322" t="s">
        <v>12</v>
      </c>
      <c r="E322" t="s">
        <v>18</v>
      </c>
      <c r="F322" t="s">
        <v>32</v>
      </c>
      <c r="G322" t="s">
        <v>50</v>
      </c>
      <c r="H322">
        <v>2</v>
      </c>
      <c r="I322">
        <v>1417.87</v>
      </c>
      <c r="J322">
        <v>2552.1659999999997</v>
      </c>
      <c r="K322">
        <v>283.57400000000001</v>
      </c>
      <c r="L322">
        <v>2835.74</v>
      </c>
      <c r="M322">
        <v>510.43319999999994</v>
      </c>
      <c r="N322">
        <v>3346.1731999999997</v>
      </c>
      <c r="O322" t="s">
        <v>87</v>
      </c>
      <c r="P322" t="s">
        <v>100</v>
      </c>
    </row>
    <row r="323" spans="1:16" x14ac:dyDescent="0.25">
      <c r="A323" s="2">
        <v>45219</v>
      </c>
      <c r="B323" t="s">
        <v>34</v>
      </c>
      <c r="C323" t="s">
        <v>26</v>
      </c>
      <c r="D323" t="s">
        <v>12</v>
      </c>
      <c r="E323" t="s">
        <v>18</v>
      </c>
      <c r="F323" t="s">
        <v>19</v>
      </c>
      <c r="G323" t="s">
        <v>20</v>
      </c>
      <c r="H323">
        <v>13</v>
      </c>
      <c r="I323">
        <v>2511.64</v>
      </c>
      <c r="J323">
        <v>29386.188000000002</v>
      </c>
      <c r="K323">
        <v>3265.1320000000001</v>
      </c>
      <c r="L323">
        <v>32651.32</v>
      </c>
      <c r="M323">
        <v>5877.2375999999995</v>
      </c>
      <c r="N323">
        <v>38528.5576</v>
      </c>
      <c r="O323" t="s">
        <v>87</v>
      </c>
      <c r="P323" t="s">
        <v>100</v>
      </c>
    </row>
    <row r="324" spans="1:16" x14ac:dyDescent="0.25">
      <c r="A324" s="2">
        <v>45047</v>
      </c>
      <c r="B324" t="s">
        <v>38</v>
      </c>
      <c r="C324" t="s">
        <v>26</v>
      </c>
      <c r="D324" t="s">
        <v>12</v>
      </c>
      <c r="E324" t="s">
        <v>18</v>
      </c>
      <c r="F324" t="s">
        <v>14</v>
      </c>
      <c r="G324" t="s">
        <v>15</v>
      </c>
      <c r="H324">
        <v>7</v>
      </c>
      <c r="I324">
        <v>862.76</v>
      </c>
      <c r="J324">
        <v>5435.3879999999999</v>
      </c>
      <c r="K324">
        <v>603.93200000000002</v>
      </c>
      <c r="L324">
        <v>6039.32</v>
      </c>
      <c r="M324">
        <v>1087.0775999999998</v>
      </c>
      <c r="N324">
        <v>7126.3975999999993</v>
      </c>
      <c r="O324" t="s">
        <v>87</v>
      </c>
      <c r="P324" t="s">
        <v>100</v>
      </c>
    </row>
    <row r="325" spans="1:16" x14ac:dyDescent="0.25">
      <c r="A325" s="2">
        <v>45200</v>
      </c>
      <c r="B325" t="s">
        <v>16</v>
      </c>
      <c r="C325" t="s">
        <v>57</v>
      </c>
      <c r="D325" t="s">
        <v>22</v>
      </c>
      <c r="E325" t="s">
        <v>13</v>
      </c>
      <c r="F325" t="s">
        <v>23</v>
      </c>
      <c r="G325" t="s">
        <v>47</v>
      </c>
      <c r="H325">
        <v>18</v>
      </c>
      <c r="I325">
        <v>1412.15</v>
      </c>
      <c r="J325">
        <v>22876.83</v>
      </c>
      <c r="K325">
        <v>2541.8700000000003</v>
      </c>
      <c r="L325">
        <v>25418.7</v>
      </c>
      <c r="M325">
        <v>4575.366</v>
      </c>
      <c r="N325">
        <v>29994.065999999999</v>
      </c>
      <c r="O325" t="s">
        <v>87</v>
      </c>
      <c r="P325" t="s">
        <v>99</v>
      </c>
    </row>
    <row r="326" spans="1:16" x14ac:dyDescent="0.25">
      <c r="A326" s="2">
        <v>44938</v>
      </c>
      <c r="B326" t="s">
        <v>38</v>
      </c>
      <c r="C326" t="s">
        <v>63</v>
      </c>
      <c r="D326" t="s">
        <v>65</v>
      </c>
      <c r="E326" t="s">
        <v>64</v>
      </c>
      <c r="F326" t="s">
        <v>19</v>
      </c>
      <c r="G326" t="s">
        <v>20</v>
      </c>
      <c r="H326">
        <v>6</v>
      </c>
      <c r="I326">
        <v>3295.29</v>
      </c>
      <c r="J326">
        <v>17794.566000000003</v>
      </c>
      <c r="K326">
        <v>1977.1740000000002</v>
      </c>
      <c r="L326">
        <v>19771.740000000002</v>
      </c>
      <c r="M326">
        <v>3558.9132</v>
      </c>
      <c r="N326">
        <v>23330.653200000001</v>
      </c>
      <c r="O326" t="s">
        <v>87</v>
      </c>
      <c r="P326" t="s">
        <v>101</v>
      </c>
    </row>
    <row r="327" spans="1:16" x14ac:dyDescent="0.25">
      <c r="A327" s="2">
        <v>45120</v>
      </c>
      <c r="B327" t="s">
        <v>43</v>
      </c>
      <c r="C327" t="s">
        <v>17</v>
      </c>
      <c r="D327" t="s">
        <v>65</v>
      </c>
      <c r="E327" t="s">
        <v>64</v>
      </c>
      <c r="F327" t="s">
        <v>19</v>
      </c>
      <c r="G327" t="s">
        <v>48</v>
      </c>
      <c r="H327">
        <v>18</v>
      </c>
      <c r="I327">
        <v>4132.6899999999996</v>
      </c>
      <c r="J327">
        <v>66949.577999999994</v>
      </c>
      <c r="K327">
        <v>7438.8420000000006</v>
      </c>
      <c r="L327">
        <v>74388.42</v>
      </c>
      <c r="M327">
        <v>13389.915599999998</v>
      </c>
      <c r="N327">
        <v>87778.335599999991</v>
      </c>
      <c r="O327" t="s">
        <v>87</v>
      </c>
      <c r="P327" t="s">
        <v>101</v>
      </c>
    </row>
    <row r="328" spans="1:16" x14ac:dyDescent="0.25">
      <c r="A328" s="2">
        <v>45208</v>
      </c>
      <c r="B328" t="s">
        <v>21</v>
      </c>
      <c r="C328" t="s">
        <v>55</v>
      </c>
      <c r="D328" t="s">
        <v>66</v>
      </c>
      <c r="E328" t="s">
        <v>41</v>
      </c>
      <c r="F328" t="s">
        <v>32</v>
      </c>
      <c r="G328" t="s">
        <v>49</v>
      </c>
      <c r="H328">
        <v>7</v>
      </c>
      <c r="I328">
        <v>1557.83</v>
      </c>
      <c r="J328">
        <v>9814.3289999999997</v>
      </c>
      <c r="K328">
        <v>1090.481</v>
      </c>
      <c r="L328">
        <v>10904.81</v>
      </c>
      <c r="M328">
        <v>1962.8657999999998</v>
      </c>
      <c r="N328">
        <v>12867.675799999999</v>
      </c>
      <c r="O328" t="s">
        <v>87</v>
      </c>
      <c r="P328" t="s">
        <v>66</v>
      </c>
    </row>
    <row r="329" spans="1:16" x14ac:dyDescent="0.25">
      <c r="A329" s="2">
        <v>45280</v>
      </c>
      <c r="B329" t="s">
        <v>40</v>
      </c>
      <c r="C329" t="s">
        <v>58</v>
      </c>
      <c r="D329" t="s">
        <v>12</v>
      </c>
      <c r="E329" t="s">
        <v>18</v>
      </c>
      <c r="F329" t="s">
        <v>19</v>
      </c>
      <c r="G329" t="s">
        <v>30</v>
      </c>
      <c r="H329">
        <v>7</v>
      </c>
      <c r="I329">
        <v>4673.3100000000004</v>
      </c>
      <c r="J329">
        <v>29441.852999999999</v>
      </c>
      <c r="K329">
        <v>3271.317</v>
      </c>
      <c r="L329">
        <v>32713.17</v>
      </c>
      <c r="M329">
        <v>5888.3705999999993</v>
      </c>
      <c r="N329">
        <v>38601.5406</v>
      </c>
      <c r="O329" t="s">
        <v>87</v>
      </c>
      <c r="P329" t="s">
        <v>100</v>
      </c>
    </row>
    <row r="330" spans="1:16" x14ac:dyDescent="0.25">
      <c r="A330" s="2">
        <v>45002</v>
      </c>
      <c r="B330" t="s">
        <v>21</v>
      </c>
      <c r="C330" t="s">
        <v>26</v>
      </c>
      <c r="D330" t="s">
        <v>12</v>
      </c>
      <c r="E330" t="s">
        <v>18</v>
      </c>
      <c r="F330" t="s">
        <v>27</v>
      </c>
      <c r="G330" t="s">
        <v>46</v>
      </c>
      <c r="H330">
        <v>5</v>
      </c>
      <c r="I330">
        <v>3775.72</v>
      </c>
      <c r="J330">
        <v>16990.739999999998</v>
      </c>
      <c r="K330">
        <v>1887.86</v>
      </c>
      <c r="L330">
        <v>18878.599999999999</v>
      </c>
      <c r="M330">
        <v>3398.1479999999997</v>
      </c>
      <c r="N330">
        <v>22276.748</v>
      </c>
      <c r="O330" t="s">
        <v>87</v>
      </c>
      <c r="P330" t="s">
        <v>100</v>
      </c>
    </row>
    <row r="331" spans="1:16" x14ac:dyDescent="0.25">
      <c r="A331" s="2">
        <v>45228</v>
      </c>
      <c r="B331" t="s">
        <v>38</v>
      </c>
      <c r="C331" t="s">
        <v>26</v>
      </c>
      <c r="D331" t="s">
        <v>12</v>
      </c>
      <c r="E331" t="s">
        <v>18</v>
      </c>
      <c r="F331" t="s">
        <v>14</v>
      </c>
      <c r="G331" t="s">
        <v>45</v>
      </c>
      <c r="H331">
        <v>6</v>
      </c>
      <c r="I331">
        <v>3524.48</v>
      </c>
      <c r="J331">
        <v>19032.192000000003</v>
      </c>
      <c r="K331">
        <v>2114.6880000000001</v>
      </c>
      <c r="L331">
        <v>21146.880000000001</v>
      </c>
      <c r="M331">
        <v>3806.4384</v>
      </c>
      <c r="N331">
        <v>24953.3184</v>
      </c>
      <c r="O331" t="s">
        <v>87</v>
      </c>
      <c r="P331" t="s">
        <v>100</v>
      </c>
    </row>
    <row r="332" spans="1:16" x14ac:dyDescent="0.25">
      <c r="A332" s="2">
        <v>45243</v>
      </c>
      <c r="B332" t="s">
        <v>25</v>
      </c>
      <c r="C332" t="s">
        <v>60</v>
      </c>
      <c r="D332" t="s">
        <v>12</v>
      </c>
      <c r="E332" t="s">
        <v>18</v>
      </c>
      <c r="F332" t="s">
        <v>32</v>
      </c>
      <c r="G332" t="s">
        <v>36</v>
      </c>
      <c r="H332">
        <v>1</v>
      </c>
      <c r="I332">
        <v>2961.1</v>
      </c>
      <c r="J332">
        <v>2664.99</v>
      </c>
      <c r="K332">
        <v>296.11</v>
      </c>
      <c r="L332">
        <v>2961.1</v>
      </c>
      <c r="M332">
        <v>532.99799999999993</v>
      </c>
      <c r="N332">
        <v>3494.098</v>
      </c>
      <c r="O332" t="s">
        <v>87</v>
      </c>
      <c r="P332" t="s">
        <v>100</v>
      </c>
    </row>
    <row r="333" spans="1:16" x14ac:dyDescent="0.25">
      <c r="A333" s="2">
        <v>45017</v>
      </c>
      <c r="B333" t="s">
        <v>21</v>
      </c>
      <c r="C333" t="s">
        <v>54</v>
      </c>
      <c r="D333" t="s">
        <v>12</v>
      </c>
      <c r="E333" t="s">
        <v>18</v>
      </c>
      <c r="F333" t="s">
        <v>19</v>
      </c>
      <c r="G333" t="s">
        <v>52</v>
      </c>
      <c r="H333">
        <v>13</v>
      </c>
      <c r="I333">
        <v>513.05999999999995</v>
      </c>
      <c r="J333">
        <v>6002.8019999999997</v>
      </c>
      <c r="K333">
        <v>666.97800000000007</v>
      </c>
      <c r="L333">
        <v>6669.78</v>
      </c>
      <c r="M333">
        <v>1200.5603999999998</v>
      </c>
      <c r="N333">
        <v>7870.3403999999991</v>
      </c>
      <c r="O333" t="s">
        <v>87</v>
      </c>
      <c r="P333" t="s">
        <v>100</v>
      </c>
    </row>
    <row r="334" spans="1:16" x14ac:dyDescent="0.25">
      <c r="A334" s="2">
        <v>45064</v>
      </c>
      <c r="B334" t="s">
        <v>21</v>
      </c>
      <c r="C334" t="s">
        <v>54</v>
      </c>
      <c r="D334" t="s">
        <v>12</v>
      </c>
      <c r="E334" t="s">
        <v>18</v>
      </c>
      <c r="F334" t="s">
        <v>14</v>
      </c>
      <c r="G334" t="s">
        <v>51</v>
      </c>
      <c r="H334">
        <v>3</v>
      </c>
      <c r="I334">
        <v>953.26</v>
      </c>
      <c r="J334">
        <v>2573.8020000000001</v>
      </c>
      <c r="K334">
        <v>285.97800000000001</v>
      </c>
      <c r="L334">
        <v>2859.78</v>
      </c>
      <c r="M334">
        <v>514.7604</v>
      </c>
      <c r="N334">
        <v>3374.5404000000003</v>
      </c>
      <c r="O334" t="s">
        <v>87</v>
      </c>
      <c r="P334" t="s">
        <v>100</v>
      </c>
    </row>
    <row r="335" spans="1:16" x14ac:dyDescent="0.25">
      <c r="A335" s="2">
        <v>44971</v>
      </c>
      <c r="B335" t="s">
        <v>10</v>
      </c>
      <c r="C335" t="s">
        <v>61</v>
      </c>
      <c r="D335" t="s">
        <v>65</v>
      </c>
      <c r="E335" t="s">
        <v>64</v>
      </c>
      <c r="F335" t="s">
        <v>19</v>
      </c>
      <c r="G335" t="s">
        <v>30</v>
      </c>
      <c r="H335">
        <v>2</v>
      </c>
      <c r="I335">
        <v>1189.6500000000001</v>
      </c>
      <c r="J335">
        <v>2141.3700000000003</v>
      </c>
      <c r="K335">
        <v>237.93000000000004</v>
      </c>
      <c r="L335">
        <v>2379.3000000000002</v>
      </c>
      <c r="M335">
        <v>428.274</v>
      </c>
      <c r="N335">
        <v>2807.5740000000001</v>
      </c>
      <c r="O335" t="s">
        <v>87</v>
      </c>
      <c r="P335" t="s">
        <v>101</v>
      </c>
    </row>
    <row r="336" spans="1:16" x14ac:dyDescent="0.25">
      <c r="A336" s="2">
        <v>45108</v>
      </c>
      <c r="B336" t="s">
        <v>40</v>
      </c>
      <c r="C336" t="s">
        <v>54</v>
      </c>
      <c r="D336" t="s">
        <v>12</v>
      </c>
      <c r="E336" t="s">
        <v>18</v>
      </c>
      <c r="F336" t="s">
        <v>19</v>
      </c>
      <c r="G336" t="s">
        <v>30</v>
      </c>
      <c r="H336">
        <v>1</v>
      </c>
      <c r="I336">
        <v>1915.3</v>
      </c>
      <c r="J336">
        <v>1723.77</v>
      </c>
      <c r="K336">
        <v>191.53</v>
      </c>
      <c r="L336">
        <v>1915.3</v>
      </c>
      <c r="M336">
        <v>344.75399999999996</v>
      </c>
      <c r="N336">
        <v>2260.0540000000001</v>
      </c>
      <c r="O336" t="s">
        <v>87</v>
      </c>
      <c r="P336" t="s">
        <v>100</v>
      </c>
    </row>
    <row r="337" spans="1:16" x14ac:dyDescent="0.25">
      <c r="A337" s="2">
        <v>45178</v>
      </c>
      <c r="B337" t="s">
        <v>38</v>
      </c>
      <c r="C337" t="s">
        <v>56</v>
      </c>
      <c r="D337" t="s">
        <v>12</v>
      </c>
      <c r="E337" t="s">
        <v>18</v>
      </c>
      <c r="F337" t="s">
        <v>19</v>
      </c>
      <c r="G337" t="s">
        <v>48</v>
      </c>
      <c r="H337">
        <v>8</v>
      </c>
      <c r="I337">
        <v>3927.74</v>
      </c>
      <c r="J337">
        <v>28279.727999999999</v>
      </c>
      <c r="K337">
        <v>3142.192</v>
      </c>
      <c r="L337">
        <v>31421.919999999998</v>
      </c>
      <c r="M337">
        <v>5655.9455999999991</v>
      </c>
      <c r="N337">
        <v>37077.865599999997</v>
      </c>
      <c r="O337" t="s">
        <v>87</v>
      </c>
      <c r="P337" t="s">
        <v>100</v>
      </c>
    </row>
    <row r="338" spans="1:16" x14ac:dyDescent="0.25">
      <c r="A338" s="2">
        <v>45046</v>
      </c>
      <c r="B338" t="s">
        <v>43</v>
      </c>
      <c r="C338" t="s">
        <v>26</v>
      </c>
      <c r="D338" t="s">
        <v>12</v>
      </c>
      <c r="E338" t="s">
        <v>18</v>
      </c>
      <c r="F338" t="s">
        <v>23</v>
      </c>
      <c r="G338" t="s">
        <v>47</v>
      </c>
      <c r="H338">
        <v>10</v>
      </c>
      <c r="I338">
        <v>2682.33</v>
      </c>
      <c r="J338">
        <v>24140.97</v>
      </c>
      <c r="K338">
        <v>2682.33</v>
      </c>
      <c r="L338">
        <v>26823.3</v>
      </c>
      <c r="M338">
        <v>4828.1939999999995</v>
      </c>
      <c r="N338">
        <v>31651.493999999999</v>
      </c>
      <c r="O338" t="s">
        <v>87</v>
      </c>
      <c r="P338" t="s">
        <v>100</v>
      </c>
    </row>
    <row r="339" spans="1:16" x14ac:dyDescent="0.25">
      <c r="A339" s="2">
        <v>45202</v>
      </c>
      <c r="B339" t="s">
        <v>40</v>
      </c>
      <c r="C339" t="s">
        <v>55</v>
      </c>
      <c r="D339" t="s">
        <v>66</v>
      </c>
      <c r="E339" t="s">
        <v>41</v>
      </c>
      <c r="F339" t="s">
        <v>32</v>
      </c>
      <c r="G339" t="s">
        <v>49</v>
      </c>
      <c r="H339">
        <v>6</v>
      </c>
      <c r="I339">
        <v>4086.27</v>
      </c>
      <c r="J339">
        <v>22065.858</v>
      </c>
      <c r="K339">
        <v>2451.7620000000002</v>
      </c>
      <c r="L339">
        <v>24517.62</v>
      </c>
      <c r="M339">
        <v>4413.1715999999997</v>
      </c>
      <c r="N339">
        <v>28930.791599999997</v>
      </c>
      <c r="O339" t="s">
        <v>87</v>
      </c>
      <c r="P339" t="s">
        <v>66</v>
      </c>
    </row>
    <row r="340" spans="1:16" x14ac:dyDescent="0.25">
      <c r="A340" s="2">
        <v>45003</v>
      </c>
      <c r="B340" t="s">
        <v>40</v>
      </c>
      <c r="C340" t="s">
        <v>55</v>
      </c>
      <c r="D340" t="s">
        <v>66</v>
      </c>
      <c r="E340" t="s">
        <v>41</v>
      </c>
      <c r="F340" t="s">
        <v>32</v>
      </c>
      <c r="G340" t="s">
        <v>33</v>
      </c>
      <c r="H340">
        <v>8</v>
      </c>
      <c r="I340">
        <v>827.02</v>
      </c>
      <c r="J340">
        <v>5954.5439999999999</v>
      </c>
      <c r="K340">
        <v>661.61599999999999</v>
      </c>
      <c r="L340">
        <v>6616.16</v>
      </c>
      <c r="M340">
        <v>1190.9087999999999</v>
      </c>
      <c r="N340">
        <v>7807.0688</v>
      </c>
      <c r="O340" t="s">
        <v>87</v>
      </c>
      <c r="P340" t="s">
        <v>66</v>
      </c>
    </row>
    <row r="341" spans="1:16" x14ac:dyDescent="0.25">
      <c r="A341" s="2">
        <v>45051</v>
      </c>
      <c r="B341" t="s">
        <v>43</v>
      </c>
      <c r="C341" t="s">
        <v>61</v>
      </c>
      <c r="D341" t="s">
        <v>65</v>
      </c>
      <c r="E341" t="s">
        <v>64</v>
      </c>
      <c r="F341" t="s">
        <v>27</v>
      </c>
      <c r="G341" t="s">
        <v>42</v>
      </c>
      <c r="H341">
        <v>14</v>
      </c>
      <c r="I341">
        <v>4728.4399999999996</v>
      </c>
      <c r="J341">
        <v>59578.344000000005</v>
      </c>
      <c r="K341">
        <v>6619.8160000000007</v>
      </c>
      <c r="L341">
        <v>66198.16</v>
      </c>
      <c r="M341">
        <v>11915.668799999999</v>
      </c>
      <c r="N341">
        <v>78113.828800000003</v>
      </c>
      <c r="O341" t="s">
        <v>87</v>
      </c>
      <c r="P341" t="s">
        <v>101</v>
      </c>
    </row>
    <row r="342" spans="1:16" x14ac:dyDescent="0.25">
      <c r="A342" s="2">
        <v>44979</v>
      </c>
      <c r="B342" t="s">
        <v>25</v>
      </c>
      <c r="C342" t="s">
        <v>35</v>
      </c>
      <c r="D342" t="s">
        <v>65</v>
      </c>
      <c r="E342" t="s">
        <v>64</v>
      </c>
      <c r="F342" t="s">
        <v>14</v>
      </c>
      <c r="G342" t="s">
        <v>45</v>
      </c>
      <c r="H342">
        <v>11</v>
      </c>
      <c r="I342">
        <v>575.73</v>
      </c>
      <c r="J342">
        <v>5699.7269999999999</v>
      </c>
      <c r="K342">
        <v>633.303</v>
      </c>
      <c r="L342">
        <v>6333.03</v>
      </c>
      <c r="M342">
        <v>1139.9453999999998</v>
      </c>
      <c r="N342">
        <v>7472.9753999999994</v>
      </c>
      <c r="O342" t="s">
        <v>87</v>
      </c>
      <c r="P342" t="s">
        <v>101</v>
      </c>
    </row>
    <row r="343" spans="1:16" x14ac:dyDescent="0.25">
      <c r="A343" s="2">
        <v>45093</v>
      </c>
      <c r="B343" t="s">
        <v>21</v>
      </c>
      <c r="C343" t="s">
        <v>59</v>
      </c>
      <c r="D343" t="s">
        <v>66</v>
      </c>
      <c r="E343" t="s">
        <v>41</v>
      </c>
      <c r="F343" t="s">
        <v>14</v>
      </c>
      <c r="G343" t="s">
        <v>45</v>
      </c>
      <c r="H343">
        <v>4</v>
      </c>
      <c r="I343">
        <v>578.35</v>
      </c>
      <c r="J343">
        <v>2082.06</v>
      </c>
      <c r="K343">
        <v>231.34000000000003</v>
      </c>
      <c r="L343">
        <v>2313.4</v>
      </c>
      <c r="M343">
        <v>416.41199999999998</v>
      </c>
      <c r="N343">
        <v>2729.8119999999999</v>
      </c>
      <c r="O343" t="s">
        <v>87</v>
      </c>
      <c r="P343" t="s">
        <v>66</v>
      </c>
    </row>
    <row r="344" spans="1:16" x14ac:dyDescent="0.25">
      <c r="A344" s="2">
        <v>45160</v>
      </c>
      <c r="B344" t="s">
        <v>38</v>
      </c>
      <c r="C344" t="s">
        <v>55</v>
      </c>
      <c r="D344" t="s">
        <v>66</v>
      </c>
      <c r="E344" t="s">
        <v>41</v>
      </c>
      <c r="F344" t="s">
        <v>19</v>
      </c>
      <c r="G344" t="s">
        <v>20</v>
      </c>
      <c r="H344">
        <v>8</v>
      </c>
      <c r="I344">
        <v>3043.72</v>
      </c>
      <c r="J344">
        <v>21914.784</v>
      </c>
      <c r="K344">
        <v>2434.9760000000001</v>
      </c>
      <c r="L344">
        <v>24349.759999999998</v>
      </c>
      <c r="M344">
        <v>4382.9567999999999</v>
      </c>
      <c r="N344">
        <v>28732.716799999998</v>
      </c>
      <c r="O344" t="s">
        <v>87</v>
      </c>
      <c r="P344" t="s">
        <v>66</v>
      </c>
    </row>
    <row r="345" spans="1:16" x14ac:dyDescent="0.25">
      <c r="A345" s="2">
        <v>45071</v>
      </c>
      <c r="B345" t="s">
        <v>29</v>
      </c>
      <c r="C345" t="s">
        <v>57</v>
      </c>
      <c r="D345" t="s">
        <v>22</v>
      </c>
      <c r="E345" t="s">
        <v>13</v>
      </c>
      <c r="F345" t="s">
        <v>14</v>
      </c>
      <c r="G345" t="s">
        <v>15</v>
      </c>
      <c r="H345">
        <v>10</v>
      </c>
      <c r="I345">
        <v>3339.72</v>
      </c>
      <c r="J345">
        <v>30057.48</v>
      </c>
      <c r="K345">
        <v>3339.72</v>
      </c>
      <c r="L345">
        <v>33397.199999999997</v>
      </c>
      <c r="M345">
        <v>6011.4959999999992</v>
      </c>
      <c r="N345">
        <v>39408.695999999996</v>
      </c>
      <c r="O345" t="s">
        <v>87</v>
      </c>
      <c r="P345" t="s">
        <v>99</v>
      </c>
    </row>
    <row r="346" spans="1:16" x14ac:dyDescent="0.25">
      <c r="A346" s="2">
        <v>45181</v>
      </c>
      <c r="B346" t="s">
        <v>10</v>
      </c>
      <c r="C346" t="s">
        <v>61</v>
      </c>
      <c r="D346" t="s">
        <v>65</v>
      </c>
      <c r="E346" t="s">
        <v>64</v>
      </c>
      <c r="F346" t="s">
        <v>14</v>
      </c>
      <c r="G346" t="s">
        <v>15</v>
      </c>
      <c r="H346">
        <v>7</v>
      </c>
      <c r="I346">
        <v>2286.4</v>
      </c>
      <c r="J346">
        <v>14404.32</v>
      </c>
      <c r="K346">
        <v>1600.48</v>
      </c>
      <c r="L346">
        <v>16004.8</v>
      </c>
      <c r="M346">
        <v>2880.8639999999996</v>
      </c>
      <c r="N346">
        <v>18885.663999999997</v>
      </c>
      <c r="O346" t="s">
        <v>87</v>
      </c>
      <c r="P346" t="s">
        <v>101</v>
      </c>
    </row>
    <row r="347" spans="1:16" x14ac:dyDescent="0.25">
      <c r="A347" s="2">
        <v>44942</v>
      </c>
      <c r="B347" t="s">
        <v>40</v>
      </c>
      <c r="C347" t="s">
        <v>56</v>
      </c>
      <c r="D347" t="s">
        <v>12</v>
      </c>
      <c r="E347" t="s">
        <v>18</v>
      </c>
      <c r="F347" t="s">
        <v>19</v>
      </c>
      <c r="G347" t="s">
        <v>48</v>
      </c>
      <c r="H347">
        <v>6</v>
      </c>
      <c r="I347">
        <v>4862.26</v>
      </c>
      <c r="J347">
        <v>26256.204000000002</v>
      </c>
      <c r="K347">
        <v>2917.3560000000002</v>
      </c>
      <c r="L347">
        <v>29173.56</v>
      </c>
      <c r="M347">
        <v>5251.2408000000005</v>
      </c>
      <c r="N347">
        <v>34424.800800000005</v>
      </c>
      <c r="O347" t="s">
        <v>87</v>
      </c>
      <c r="P347" t="s">
        <v>100</v>
      </c>
    </row>
    <row r="348" spans="1:16" x14ac:dyDescent="0.25">
      <c r="A348" s="2">
        <v>45257</v>
      </c>
      <c r="B348" t="s">
        <v>34</v>
      </c>
      <c r="C348" t="s">
        <v>62</v>
      </c>
      <c r="D348" t="s">
        <v>65</v>
      </c>
      <c r="E348" t="s">
        <v>64</v>
      </c>
      <c r="F348" t="s">
        <v>32</v>
      </c>
      <c r="G348" t="s">
        <v>36</v>
      </c>
      <c r="H348">
        <v>6</v>
      </c>
      <c r="I348">
        <v>3470.44</v>
      </c>
      <c r="J348">
        <v>18740.376</v>
      </c>
      <c r="K348">
        <v>2082.2640000000001</v>
      </c>
      <c r="L348">
        <v>20822.64</v>
      </c>
      <c r="M348">
        <v>3748.0751999999998</v>
      </c>
      <c r="N348">
        <v>24570.715199999999</v>
      </c>
      <c r="O348" t="s">
        <v>87</v>
      </c>
      <c r="P348" t="s">
        <v>101</v>
      </c>
    </row>
    <row r="349" spans="1:16" x14ac:dyDescent="0.25">
      <c r="A349" s="2">
        <v>45106</v>
      </c>
      <c r="B349" t="s">
        <v>31</v>
      </c>
      <c r="C349" t="s">
        <v>11</v>
      </c>
      <c r="D349" t="s">
        <v>22</v>
      </c>
      <c r="E349" t="s">
        <v>13</v>
      </c>
      <c r="F349" t="s">
        <v>23</v>
      </c>
      <c r="G349" t="s">
        <v>37</v>
      </c>
      <c r="H349">
        <v>5</v>
      </c>
      <c r="I349">
        <v>4175.13</v>
      </c>
      <c r="J349">
        <v>18788.085000000003</v>
      </c>
      <c r="K349">
        <v>2087.5650000000001</v>
      </c>
      <c r="L349">
        <v>20875.650000000001</v>
      </c>
      <c r="M349">
        <v>3757.6170000000002</v>
      </c>
      <c r="N349">
        <v>24633.267</v>
      </c>
      <c r="O349" t="s">
        <v>87</v>
      </c>
      <c r="P349" t="s">
        <v>99</v>
      </c>
    </row>
    <row r="350" spans="1:16" x14ac:dyDescent="0.25">
      <c r="A350" s="2">
        <v>45204</v>
      </c>
      <c r="B350" t="s">
        <v>38</v>
      </c>
      <c r="C350" t="s">
        <v>54</v>
      </c>
      <c r="D350" t="s">
        <v>12</v>
      </c>
      <c r="E350" t="s">
        <v>18</v>
      </c>
      <c r="F350" t="s">
        <v>27</v>
      </c>
      <c r="G350" t="s">
        <v>42</v>
      </c>
      <c r="H350">
        <v>16</v>
      </c>
      <c r="I350">
        <v>1880.67</v>
      </c>
      <c r="J350">
        <v>27081.648000000001</v>
      </c>
      <c r="K350">
        <v>3009.0720000000001</v>
      </c>
      <c r="L350">
        <v>30090.720000000001</v>
      </c>
      <c r="M350">
        <v>5416.3296</v>
      </c>
      <c r="N350">
        <v>35507.049599999998</v>
      </c>
      <c r="O350" t="s">
        <v>87</v>
      </c>
      <c r="P350" t="s">
        <v>100</v>
      </c>
    </row>
    <row r="351" spans="1:16" x14ac:dyDescent="0.25">
      <c r="A351" s="2">
        <v>45149</v>
      </c>
      <c r="B351" t="s">
        <v>34</v>
      </c>
      <c r="C351" t="s">
        <v>26</v>
      </c>
      <c r="D351" t="s">
        <v>12</v>
      </c>
      <c r="E351" t="s">
        <v>18</v>
      </c>
      <c r="F351" t="s">
        <v>32</v>
      </c>
      <c r="G351" t="s">
        <v>49</v>
      </c>
      <c r="H351">
        <v>7</v>
      </c>
      <c r="I351">
        <v>2187.71</v>
      </c>
      <c r="J351">
        <v>13782.573</v>
      </c>
      <c r="K351">
        <v>1531.3969999999999</v>
      </c>
      <c r="L351">
        <v>15313.97</v>
      </c>
      <c r="M351">
        <v>2756.5146</v>
      </c>
      <c r="N351">
        <v>18070.4846</v>
      </c>
      <c r="O351" t="s">
        <v>87</v>
      </c>
      <c r="P351" t="s">
        <v>100</v>
      </c>
    </row>
    <row r="352" spans="1:16" x14ac:dyDescent="0.25">
      <c r="A352" s="2">
        <v>45190</v>
      </c>
      <c r="B352" t="s">
        <v>21</v>
      </c>
      <c r="C352" t="s">
        <v>62</v>
      </c>
      <c r="D352" t="s">
        <v>65</v>
      </c>
      <c r="E352" t="s">
        <v>64</v>
      </c>
      <c r="F352" t="s">
        <v>23</v>
      </c>
      <c r="G352" t="s">
        <v>39</v>
      </c>
      <c r="H352">
        <v>14</v>
      </c>
      <c r="I352">
        <v>1024.22</v>
      </c>
      <c r="J352">
        <v>12905.172</v>
      </c>
      <c r="K352">
        <v>1433.9080000000001</v>
      </c>
      <c r="L352">
        <v>14339.08</v>
      </c>
      <c r="M352">
        <v>2581.0344</v>
      </c>
      <c r="N352">
        <v>16920.114399999999</v>
      </c>
      <c r="O352" t="s">
        <v>87</v>
      </c>
      <c r="P352" t="s">
        <v>101</v>
      </c>
    </row>
    <row r="353" spans="1:16" x14ac:dyDescent="0.25">
      <c r="A353" s="2">
        <v>45260</v>
      </c>
      <c r="B353" t="s">
        <v>40</v>
      </c>
      <c r="C353" t="s">
        <v>55</v>
      </c>
      <c r="D353" t="s">
        <v>66</v>
      </c>
      <c r="E353" t="s">
        <v>41</v>
      </c>
      <c r="F353" t="s">
        <v>23</v>
      </c>
      <c r="G353" t="s">
        <v>37</v>
      </c>
      <c r="H353">
        <v>17</v>
      </c>
      <c r="I353">
        <v>544.41999999999996</v>
      </c>
      <c r="J353">
        <v>8329.6260000000002</v>
      </c>
      <c r="K353">
        <v>925.51400000000001</v>
      </c>
      <c r="L353">
        <v>9255.14</v>
      </c>
      <c r="M353">
        <v>1665.9251999999999</v>
      </c>
      <c r="N353">
        <v>10921.065199999999</v>
      </c>
      <c r="O353" t="s">
        <v>87</v>
      </c>
      <c r="P353" t="s">
        <v>66</v>
      </c>
    </row>
    <row r="354" spans="1:16" x14ac:dyDescent="0.25">
      <c r="A354" s="2">
        <v>45014</v>
      </c>
      <c r="B354" t="s">
        <v>29</v>
      </c>
      <c r="C354" t="s">
        <v>26</v>
      </c>
      <c r="D354" t="s">
        <v>12</v>
      </c>
      <c r="E354" t="s">
        <v>18</v>
      </c>
      <c r="F354" t="s">
        <v>19</v>
      </c>
      <c r="G354" t="s">
        <v>48</v>
      </c>
      <c r="H354">
        <v>4</v>
      </c>
      <c r="I354">
        <v>942.96</v>
      </c>
      <c r="J354">
        <v>3394.6560000000004</v>
      </c>
      <c r="K354">
        <v>377.18400000000003</v>
      </c>
      <c r="L354">
        <v>3771.84</v>
      </c>
      <c r="M354">
        <v>678.93119999999999</v>
      </c>
      <c r="N354">
        <v>4450.7712000000001</v>
      </c>
      <c r="O354" t="s">
        <v>87</v>
      </c>
      <c r="P354" t="s">
        <v>100</v>
      </c>
    </row>
    <row r="355" spans="1:16" x14ac:dyDescent="0.25">
      <c r="A355" s="2">
        <v>45270</v>
      </c>
      <c r="B355" t="s">
        <v>40</v>
      </c>
      <c r="C355" t="s">
        <v>56</v>
      </c>
      <c r="D355" t="s">
        <v>12</v>
      </c>
      <c r="E355" t="s">
        <v>18</v>
      </c>
      <c r="F355" t="s">
        <v>14</v>
      </c>
      <c r="G355" t="s">
        <v>53</v>
      </c>
      <c r="H355">
        <v>12</v>
      </c>
      <c r="I355">
        <v>1799.38</v>
      </c>
      <c r="J355">
        <v>19433.304</v>
      </c>
      <c r="K355">
        <v>2159.2560000000003</v>
      </c>
      <c r="L355">
        <v>21592.560000000001</v>
      </c>
      <c r="M355">
        <v>3886.6608000000001</v>
      </c>
      <c r="N355">
        <v>25479.220800000003</v>
      </c>
      <c r="O355" t="s">
        <v>87</v>
      </c>
      <c r="P355" t="s">
        <v>100</v>
      </c>
    </row>
    <row r="356" spans="1:16" x14ac:dyDescent="0.25">
      <c r="A356" s="2">
        <v>44972</v>
      </c>
      <c r="B356" t="s">
        <v>25</v>
      </c>
      <c r="C356" t="s">
        <v>56</v>
      </c>
      <c r="D356" t="s">
        <v>12</v>
      </c>
      <c r="E356" t="s">
        <v>18</v>
      </c>
      <c r="F356" t="s">
        <v>23</v>
      </c>
      <c r="G356" t="s">
        <v>39</v>
      </c>
      <c r="H356">
        <v>11</v>
      </c>
      <c r="I356">
        <v>1634.39</v>
      </c>
      <c r="J356">
        <v>16180.461000000001</v>
      </c>
      <c r="K356">
        <v>1797.8290000000002</v>
      </c>
      <c r="L356">
        <v>17978.29</v>
      </c>
      <c r="M356">
        <v>3236.0922</v>
      </c>
      <c r="N356">
        <v>21214.3822</v>
      </c>
      <c r="O356" t="s">
        <v>87</v>
      </c>
      <c r="P356" t="s">
        <v>100</v>
      </c>
    </row>
    <row r="357" spans="1:16" x14ac:dyDescent="0.25">
      <c r="A357" s="2">
        <v>45207</v>
      </c>
      <c r="B357" t="s">
        <v>43</v>
      </c>
      <c r="C357" t="s">
        <v>26</v>
      </c>
      <c r="D357" t="s">
        <v>12</v>
      </c>
      <c r="E357" t="s">
        <v>18</v>
      </c>
      <c r="F357" t="s">
        <v>14</v>
      </c>
      <c r="G357" t="s">
        <v>51</v>
      </c>
      <c r="H357">
        <v>3</v>
      </c>
      <c r="I357">
        <v>2950.28</v>
      </c>
      <c r="J357">
        <v>7965.7560000000003</v>
      </c>
      <c r="K357">
        <v>885.08400000000006</v>
      </c>
      <c r="L357">
        <v>8850.84</v>
      </c>
      <c r="M357">
        <v>1593.1512</v>
      </c>
      <c r="N357">
        <v>10443.9912</v>
      </c>
      <c r="O357" t="s">
        <v>87</v>
      </c>
      <c r="P357" t="s">
        <v>100</v>
      </c>
    </row>
    <row r="358" spans="1:16" x14ac:dyDescent="0.25">
      <c r="A358" s="2">
        <v>45196</v>
      </c>
      <c r="B358" t="s">
        <v>25</v>
      </c>
      <c r="C358" t="s">
        <v>59</v>
      </c>
      <c r="D358" t="s">
        <v>66</v>
      </c>
      <c r="E358" t="s">
        <v>41</v>
      </c>
      <c r="F358" t="s">
        <v>27</v>
      </c>
      <c r="G358" t="s">
        <v>46</v>
      </c>
      <c r="H358">
        <v>10</v>
      </c>
      <c r="I358">
        <v>4788</v>
      </c>
      <c r="J358">
        <v>43092</v>
      </c>
      <c r="K358">
        <v>4788</v>
      </c>
      <c r="L358">
        <v>47880</v>
      </c>
      <c r="M358">
        <v>8618.4</v>
      </c>
      <c r="N358">
        <v>56498.400000000001</v>
      </c>
      <c r="O358" t="s">
        <v>87</v>
      </c>
      <c r="P358" t="s">
        <v>66</v>
      </c>
    </row>
    <row r="359" spans="1:16" x14ac:dyDescent="0.25">
      <c r="A359" s="2">
        <v>45014</v>
      </c>
      <c r="B359" t="s">
        <v>16</v>
      </c>
      <c r="C359" t="s">
        <v>17</v>
      </c>
      <c r="D359" t="s">
        <v>65</v>
      </c>
      <c r="E359" t="s">
        <v>64</v>
      </c>
      <c r="F359" t="s">
        <v>14</v>
      </c>
      <c r="G359" t="s">
        <v>45</v>
      </c>
      <c r="H359">
        <v>8</v>
      </c>
      <c r="I359">
        <v>1807.67</v>
      </c>
      <c r="J359">
        <v>13015.224</v>
      </c>
      <c r="K359">
        <v>1446.1360000000002</v>
      </c>
      <c r="L359">
        <v>14461.36</v>
      </c>
      <c r="M359">
        <v>2603.0448000000001</v>
      </c>
      <c r="N359">
        <v>17064.4048</v>
      </c>
      <c r="O359" t="s">
        <v>87</v>
      </c>
      <c r="P359" t="s">
        <v>101</v>
      </c>
    </row>
    <row r="360" spans="1:16" x14ac:dyDescent="0.25">
      <c r="A360" s="2">
        <v>45201</v>
      </c>
      <c r="B360" t="s">
        <v>31</v>
      </c>
      <c r="C360" t="s">
        <v>54</v>
      </c>
      <c r="D360" t="s">
        <v>12</v>
      </c>
      <c r="E360" t="s">
        <v>18</v>
      </c>
      <c r="F360" t="s">
        <v>27</v>
      </c>
      <c r="G360" t="s">
        <v>46</v>
      </c>
      <c r="H360">
        <v>19</v>
      </c>
      <c r="I360">
        <v>797.02</v>
      </c>
      <c r="J360">
        <v>13629.041999999999</v>
      </c>
      <c r="K360">
        <v>1514.338</v>
      </c>
      <c r="L360">
        <v>15143.38</v>
      </c>
      <c r="M360">
        <v>2725.8083999999999</v>
      </c>
      <c r="N360">
        <v>17869.188399999999</v>
      </c>
      <c r="O360" t="s">
        <v>87</v>
      </c>
      <c r="P360" t="s">
        <v>100</v>
      </c>
    </row>
    <row r="361" spans="1:16" x14ac:dyDescent="0.25">
      <c r="A361" s="2">
        <v>45255</v>
      </c>
      <c r="B361" t="s">
        <v>16</v>
      </c>
      <c r="C361" t="s">
        <v>17</v>
      </c>
      <c r="D361" t="s">
        <v>65</v>
      </c>
      <c r="E361" t="s">
        <v>64</v>
      </c>
      <c r="F361" t="s">
        <v>32</v>
      </c>
      <c r="G361" t="s">
        <v>49</v>
      </c>
      <c r="H361">
        <v>2</v>
      </c>
      <c r="I361">
        <v>1195.99</v>
      </c>
      <c r="J361">
        <v>2152.7820000000002</v>
      </c>
      <c r="K361">
        <v>239.19800000000001</v>
      </c>
      <c r="L361">
        <v>2391.98</v>
      </c>
      <c r="M361">
        <v>430.5564</v>
      </c>
      <c r="N361">
        <v>2822.5364</v>
      </c>
      <c r="O361" t="s">
        <v>87</v>
      </c>
      <c r="P361" t="s">
        <v>101</v>
      </c>
    </row>
    <row r="362" spans="1:16" x14ac:dyDescent="0.25">
      <c r="A362" s="2">
        <v>45052</v>
      </c>
      <c r="B362" t="s">
        <v>38</v>
      </c>
      <c r="C362" t="s">
        <v>60</v>
      </c>
      <c r="D362" t="s">
        <v>12</v>
      </c>
      <c r="E362" t="s">
        <v>18</v>
      </c>
      <c r="F362" t="s">
        <v>23</v>
      </c>
      <c r="G362" t="s">
        <v>47</v>
      </c>
      <c r="H362">
        <v>20</v>
      </c>
      <c r="I362">
        <v>2056.65</v>
      </c>
      <c r="J362">
        <v>37019.700000000004</v>
      </c>
      <c r="K362">
        <v>4113.3</v>
      </c>
      <c r="L362">
        <v>41133</v>
      </c>
      <c r="M362">
        <v>7403.94</v>
      </c>
      <c r="N362">
        <v>48536.94</v>
      </c>
      <c r="O362" t="s">
        <v>87</v>
      </c>
      <c r="P362" t="s">
        <v>100</v>
      </c>
    </row>
    <row r="363" spans="1:16" x14ac:dyDescent="0.25">
      <c r="A363" s="2">
        <v>44989</v>
      </c>
      <c r="B363" t="s">
        <v>38</v>
      </c>
      <c r="C363" t="s">
        <v>56</v>
      </c>
      <c r="D363" t="s">
        <v>12</v>
      </c>
      <c r="E363" t="s">
        <v>18</v>
      </c>
      <c r="F363" t="s">
        <v>14</v>
      </c>
      <c r="G363" t="s">
        <v>53</v>
      </c>
      <c r="H363">
        <v>16</v>
      </c>
      <c r="I363">
        <v>4817.63</v>
      </c>
      <c r="J363">
        <v>69373.872000000003</v>
      </c>
      <c r="K363">
        <v>7708.2080000000005</v>
      </c>
      <c r="L363">
        <v>77082.080000000002</v>
      </c>
      <c r="M363">
        <v>13874.7744</v>
      </c>
      <c r="N363">
        <v>90956.854399999997</v>
      </c>
      <c r="O363" t="s">
        <v>87</v>
      </c>
      <c r="P363" t="s">
        <v>100</v>
      </c>
    </row>
    <row r="364" spans="1:16" x14ac:dyDescent="0.25">
      <c r="A364" s="2">
        <v>45090</v>
      </c>
      <c r="B364" t="s">
        <v>16</v>
      </c>
      <c r="C364" t="s">
        <v>57</v>
      </c>
      <c r="D364" t="s">
        <v>22</v>
      </c>
      <c r="E364" t="s">
        <v>13</v>
      </c>
      <c r="F364" t="s">
        <v>23</v>
      </c>
      <c r="G364" t="s">
        <v>39</v>
      </c>
      <c r="H364">
        <v>7</v>
      </c>
      <c r="I364">
        <v>4950.24</v>
      </c>
      <c r="J364">
        <v>31186.512000000002</v>
      </c>
      <c r="K364">
        <v>3465.1680000000001</v>
      </c>
      <c r="L364">
        <v>34651.68</v>
      </c>
      <c r="M364">
        <v>6237.3023999999996</v>
      </c>
      <c r="N364">
        <v>40888.982400000001</v>
      </c>
      <c r="O364" t="s">
        <v>87</v>
      </c>
      <c r="P364" t="s">
        <v>99</v>
      </c>
    </row>
    <row r="365" spans="1:16" x14ac:dyDescent="0.25">
      <c r="A365" s="2">
        <v>45163</v>
      </c>
      <c r="B365" t="s">
        <v>38</v>
      </c>
      <c r="C365" t="s">
        <v>26</v>
      </c>
      <c r="D365" t="s">
        <v>12</v>
      </c>
      <c r="E365" t="s">
        <v>18</v>
      </c>
      <c r="F365" t="s">
        <v>23</v>
      </c>
      <c r="G365" t="s">
        <v>39</v>
      </c>
      <c r="H365">
        <v>9</v>
      </c>
      <c r="I365">
        <v>2935.97</v>
      </c>
      <c r="J365">
        <v>23781.357</v>
      </c>
      <c r="K365">
        <v>2642.373</v>
      </c>
      <c r="L365">
        <v>26423.73</v>
      </c>
      <c r="M365">
        <v>4756.2713999999996</v>
      </c>
      <c r="N365">
        <v>31180.001400000001</v>
      </c>
      <c r="O365" t="s">
        <v>87</v>
      </c>
      <c r="P365" t="s">
        <v>100</v>
      </c>
    </row>
    <row r="366" spans="1:16" x14ac:dyDescent="0.25">
      <c r="A366" s="2">
        <v>45269</v>
      </c>
      <c r="B366" t="s">
        <v>43</v>
      </c>
      <c r="C366" t="s">
        <v>63</v>
      </c>
      <c r="D366" t="s">
        <v>65</v>
      </c>
      <c r="E366" t="s">
        <v>64</v>
      </c>
      <c r="F366" t="s">
        <v>27</v>
      </c>
      <c r="G366" t="s">
        <v>28</v>
      </c>
      <c r="H366">
        <v>9</v>
      </c>
      <c r="I366">
        <v>3560.8</v>
      </c>
      <c r="J366">
        <v>28842.48</v>
      </c>
      <c r="K366">
        <v>3204.7200000000003</v>
      </c>
      <c r="L366">
        <v>32047.200000000001</v>
      </c>
      <c r="M366">
        <v>5768.4960000000001</v>
      </c>
      <c r="N366">
        <v>37815.696000000004</v>
      </c>
      <c r="O366" t="s">
        <v>87</v>
      </c>
      <c r="P366" t="s">
        <v>101</v>
      </c>
    </row>
    <row r="367" spans="1:16" x14ac:dyDescent="0.25">
      <c r="A367" s="2">
        <v>44993</v>
      </c>
      <c r="B367" t="s">
        <v>43</v>
      </c>
      <c r="C367" t="s">
        <v>60</v>
      </c>
      <c r="D367" t="s">
        <v>12</v>
      </c>
      <c r="E367" t="s">
        <v>18</v>
      </c>
      <c r="F367" t="s">
        <v>19</v>
      </c>
      <c r="G367" t="s">
        <v>52</v>
      </c>
      <c r="H367">
        <v>11</v>
      </c>
      <c r="I367">
        <v>4890.92</v>
      </c>
      <c r="J367">
        <v>48420.108</v>
      </c>
      <c r="K367">
        <v>5380.0120000000006</v>
      </c>
      <c r="L367">
        <v>53800.12</v>
      </c>
      <c r="M367">
        <v>9684.0216</v>
      </c>
      <c r="N367">
        <v>63484.141600000003</v>
      </c>
      <c r="O367" t="s">
        <v>87</v>
      </c>
      <c r="P367" t="s">
        <v>100</v>
      </c>
    </row>
    <row r="368" spans="1:16" x14ac:dyDescent="0.25">
      <c r="A368" s="2">
        <v>44977</v>
      </c>
      <c r="B368" t="s">
        <v>29</v>
      </c>
      <c r="C368" t="s">
        <v>57</v>
      </c>
      <c r="D368" t="s">
        <v>22</v>
      </c>
      <c r="E368" t="s">
        <v>13</v>
      </c>
      <c r="F368" t="s">
        <v>23</v>
      </c>
      <c r="G368" t="s">
        <v>24</v>
      </c>
      <c r="H368">
        <v>8</v>
      </c>
      <c r="I368">
        <v>4143.5600000000004</v>
      </c>
      <c r="J368">
        <v>29833.632000000005</v>
      </c>
      <c r="K368">
        <v>3314.8480000000004</v>
      </c>
      <c r="L368">
        <v>33148.480000000003</v>
      </c>
      <c r="M368">
        <v>5966.7264000000005</v>
      </c>
      <c r="N368">
        <v>39115.206400000003</v>
      </c>
      <c r="O368" t="s">
        <v>87</v>
      </c>
      <c r="P368" t="s">
        <v>99</v>
      </c>
    </row>
    <row r="369" spans="1:16" x14ac:dyDescent="0.25">
      <c r="A369" s="2">
        <v>45032</v>
      </c>
      <c r="B369" t="s">
        <v>40</v>
      </c>
      <c r="C369" t="s">
        <v>56</v>
      </c>
      <c r="D369" t="s">
        <v>12</v>
      </c>
      <c r="E369" t="s">
        <v>18</v>
      </c>
      <c r="F369" t="s">
        <v>27</v>
      </c>
      <c r="G369" t="s">
        <v>46</v>
      </c>
      <c r="H369">
        <v>4</v>
      </c>
      <c r="I369">
        <v>2395.66</v>
      </c>
      <c r="J369">
        <v>8624.3760000000002</v>
      </c>
      <c r="K369">
        <v>958.26400000000001</v>
      </c>
      <c r="L369">
        <v>9582.64</v>
      </c>
      <c r="M369">
        <v>1724.8751999999997</v>
      </c>
      <c r="N369">
        <v>11307.5152</v>
      </c>
      <c r="O369" t="s">
        <v>87</v>
      </c>
      <c r="P369" t="s">
        <v>100</v>
      </c>
    </row>
    <row r="370" spans="1:16" x14ac:dyDescent="0.25">
      <c r="A370" s="2">
        <v>45147</v>
      </c>
      <c r="B370" t="s">
        <v>29</v>
      </c>
      <c r="C370" t="s">
        <v>63</v>
      </c>
      <c r="D370" t="s">
        <v>65</v>
      </c>
      <c r="E370" t="s">
        <v>64</v>
      </c>
      <c r="F370" t="s">
        <v>23</v>
      </c>
      <c r="G370" t="s">
        <v>37</v>
      </c>
      <c r="H370">
        <v>18</v>
      </c>
      <c r="I370">
        <v>1582.02</v>
      </c>
      <c r="J370">
        <v>25628.724000000002</v>
      </c>
      <c r="K370">
        <v>2847.6360000000004</v>
      </c>
      <c r="L370">
        <v>28476.36</v>
      </c>
      <c r="M370">
        <v>5125.7447999999995</v>
      </c>
      <c r="N370">
        <v>33602.104800000001</v>
      </c>
      <c r="O370" t="s">
        <v>87</v>
      </c>
      <c r="P370" t="s">
        <v>101</v>
      </c>
    </row>
    <row r="371" spans="1:16" x14ac:dyDescent="0.25">
      <c r="A371" s="2">
        <v>45164</v>
      </c>
      <c r="B371" t="s">
        <v>10</v>
      </c>
      <c r="C371" t="s">
        <v>60</v>
      </c>
      <c r="D371" t="s">
        <v>12</v>
      </c>
      <c r="E371" t="s">
        <v>18</v>
      </c>
      <c r="F371" t="s">
        <v>23</v>
      </c>
      <c r="G371" t="s">
        <v>39</v>
      </c>
      <c r="H371">
        <v>14</v>
      </c>
      <c r="I371">
        <v>3381.77</v>
      </c>
      <c r="J371">
        <v>42610.302000000003</v>
      </c>
      <c r="K371">
        <v>4734.4780000000001</v>
      </c>
      <c r="L371">
        <v>47344.78</v>
      </c>
      <c r="M371">
        <v>8522.0604000000003</v>
      </c>
      <c r="N371">
        <v>55866.840400000001</v>
      </c>
      <c r="O371" t="s">
        <v>87</v>
      </c>
      <c r="P371" t="s">
        <v>100</v>
      </c>
    </row>
    <row r="372" spans="1:16" x14ac:dyDescent="0.25">
      <c r="A372" s="2">
        <v>45036</v>
      </c>
      <c r="B372" t="s">
        <v>43</v>
      </c>
      <c r="C372" t="s">
        <v>54</v>
      </c>
      <c r="D372" t="s">
        <v>12</v>
      </c>
      <c r="E372" t="s">
        <v>18</v>
      </c>
      <c r="F372" t="s">
        <v>19</v>
      </c>
      <c r="G372" t="s">
        <v>30</v>
      </c>
      <c r="H372">
        <v>16</v>
      </c>
      <c r="I372">
        <v>2580.42</v>
      </c>
      <c r="J372">
        <v>37158.048000000003</v>
      </c>
      <c r="K372">
        <v>4128.6720000000005</v>
      </c>
      <c r="L372">
        <v>41286.720000000001</v>
      </c>
      <c r="M372">
        <v>7431.6095999999998</v>
      </c>
      <c r="N372">
        <v>48718.329599999997</v>
      </c>
      <c r="O372" t="s">
        <v>87</v>
      </c>
      <c r="P372" t="s">
        <v>100</v>
      </c>
    </row>
    <row r="373" spans="1:16" x14ac:dyDescent="0.25">
      <c r="A373" s="2">
        <v>45106</v>
      </c>
      <c r="B373" t="s">
        <v>34</v>
      </c>
      <c r="C373" t="s">
        <v>63</v>
      </c>
      <c r="D373" t="s">
        <v>65</v>
      </c>
      <c r="E373" t="s">
        <v>64</v>
      </c>
      <c r="F373" t="s">
        <v>23</v>
      </c>
      <c r="G373" t="s">
        <v>39</v>
      </c>
      <c r="H373">
        <v>3</v>
      </c>
      <c r="I373">
        <v>3838.25</v>
      </c>
      <c r="J373">
        <v>10363.275</v>
      </c>
      <c r="K373">
        <v>1151.4750000000001</v>
      </c>
      <c r="L373">
        <v>11514.75</v>
      </c>
      <c r="M373">
        <v>2072.6549999999997</v>
      </c>
      <c r="N373">
        <v>13587.404999999999</v>
      </c>
      <c r="O373" t="s">
        <v>87</v>
      </c>
      <c r="P373" t="s">
        <v>101</v>
      </c>
    </row>
    <row r="374" spans="1:16" x14ac:dyDescent="0.25">
      <c r="A374" s="2">
        <v>45077</v>
      </c>
      <c r="B374" t="s">
        <v>34</v>
      </c>
      <c r="C374" t="s">
        <v>56</v>
      </c>
      <c r="D374" t="s">
        <v>12</v>
      </c>
      <c r="E374" t="s">
        <v>18</v>
      </c>
      <c r="F374" t="s">
        <v>27</v>
      </c>
      <c r="G374" t="s">
        <v>42</v>
      </c>
      <c r="H374">
        <v>2</v>
      </c>
      <c r="I374">
        <v>591.6</v>
      </c>
      <c r="J374">
        <v>1064.8800000000001</v>
      </c>
      <c r="K374">
        <v>118.32000000000001</v>
      </c>
      <c r="L374">
        <v>1183.2</v>
      </c>
      <c r="M374">
        <v>212.976</v>
      </c>
      <c r="N374">
        <v>1396.1759999999999</v>
      </c>
      <c r="O374" t="s">
        <v>87</v>
      </c>
      <c r="P374" t="s">
        <v>100</v>
      </c>
    </row>
    <row r="375" spans="1:16" x14ac:dyDescent="0.25">
      <c r="A375" s="2">
        <v>45100</v>
      </c>
      <c r="B375" t="s">
        <v>21</v>
      </c>
      <c r="C375" t="s">
        <v>26</v>
      </c>
      <c r="D375" t="s">
        <v>12</v>
      </c>
      <c r="E375" t="s">
        <v>18</v>
      </c>
      <c r="F375" t="s">
        <v>23</v>
      </c>
      <c r="G375" t="s">
        <v>39</v>
      </c>
      <c r="H375">
        <v>1</v>
      </c>
      <c r="I375">
        <v>2709.05</v>
      </c>
      <c r="J375">
        <v>2438.1450000000004</v>
      </c>
      <c r="K375">
        <v>270.90500000000003</v>
      </c>
      <c r="L375">
        <v>2709.05</v>
      </c>
      <c r="M375">
        <v>487.62900000000002</v>
      </c>
      <c r="N375">
        <v>3196.6790000000001</v>
      </c>
      <c r="O375" t="s">
        <v>87</v>
      </c>
      <c r="P375" t="s">
        <v>100</v>
      </c>
    </row>
    <row r="376" spans="1:16" x14ac:dyDescent="0.25">
      <c r="A376" s="2">
        <v>45147</v>
      </c>
      <c r="B376" t="s">
        <v>25</v>
      </c>
      <c r="C376" t="s">
        <v>54</v>
      </c>
      <c r="D376" t="s">
        <v>12</v>
      </c>
      <c r="E376" t="s">
        <v>18</v>
      </c>
      <c r="F376" t="s">
        <v>32</v>
      </c>
      <c r="G376" t="s">
        <v>49</v>
      </c>
      <c r="H376">
        <v>5</v>
      </c>
      <c r="I376">
        <v>194.7</v>
      </c>
      <c r="J376">
        <v>876.15</v>
      </c>
      <c r="K376">
        <v>97.350000000000009</v>
      </c>
      <c r="L376">
        <v>973.5</v>
      </c>
      <c r="M376">
        <v>175.23</v>
      </c>
      <c r="N376">
        <v>1148.73</v>
      </c>
      <c r="O376" t="s">
        <v>87</v>
      </c>
      <c r="P376" t="s">
        <v>100</v>
      </c>
    </row>
    <row r="377" spans="1:16" x14ac:dyDescent="0.25">
      <c r="A377" s="2">
        <v>45225</v>
      </c>
      <c r="B377" t="s">
        <v>21</v>
      </c>
      <c r="C377" t="s">
        <v>60</v>
      </c>
      <c r="D377" t="s">
        <v>12</v>
      </c>
      <c r="E377" t="s">
        <v>18</v>
      </c>
      <c r="F377" t="s">
        <v>19</v>
      </c>
      <c r="G377" t="s">
        <v>30</v>
      </c>
      <c r="H377">
        <v>4</v>
      </c>
      <c r="I377">
        <v>900.33</v>
      </c>
      <c r="J377">
        <v>3241.1880000000001</v>
      </c>
      <c r="K377">
        <v>360.13200000000006</v>
      </c>
      <c r="L377">
        <v>3601.32</v>
      </c>
      <c r="M377">
        <v>648.23760000000004</v>
      </c>
      <c r="N377">
        <v>4249.5576000000001</v>
      </c>
      <c r="O377" t="s">
        <v>87</v>
      </c>
      <c r="P377" t="s">
        <v>100</v>
      </c>
    </row>
    <row r="378" spans="1:16" x14ac:dyDescent="0.25">
      <c r="A378" s="2">
        <v>45061</v>
      </c>
      <c r="B378" t="s">
        <v>29</v>
      </c>
      <c r="C378" t="s">
        <v>55</v>
      </c>
      <c r="D378" t="s">
        <v>66</v>
      </c>
      <c r="E378" t="s">
        <v>41</v>
      </c>
      <c r="F378" t="s">
        <v>27</v>
      </c>
      <c r="G378" t="s">
        <v>28</v>
      </c>
      <c r="H378">
        <v>13</v>
      </c>
      <c r="I378">
        <v>3574.45</v>
      </c>
      <c r="J378">
        <v>41821.065000000002</v>
      </c>
      <c r="K378">
        <v>4646.7849999999999</v>
      </c>
      <c r="L378">
        <v>46467.85</v>
      </c>
      <c r="M378">
        <v>8364.2129999999997</v>
      </c>
      <c r="N378">
        <v>54832.062999999995</v>
      </c>
      <c r="O378" t="s">
        <v>87</v>
      </c>
      <c r="P378" t="s">
        <v>66</v>
      </c>
    </row>
    <row r="379" spans="1:16" x14ac:dyDescent="0.25">
      <c r="A379" s="2">
        <v>44998</v>
      </c>
      <c r="B379" t="s">
        <v>16</v>
      </c>
      <c r="C379" t="s">
        <v>58</v>
      </c>
      <c r="D379" t="s">
        <v>12</v>
      </c>
      <c r="E379" t="s">
        <v>18</v>
      </c>
      <c r="F379" t="s">
        <v>32</v>
      </c>
      <c r="G379" t="s">
        <v>33</v>
      </c>
      <c r="H379">
        <v>20</v>
      </c>
      <c r="I379">
        <v>1637.44</v>
      </c>
      <c r="J379">
        <v>29473.919999999998</v>
      </c>
      <c r="K379">
        <v>3274.88</v>
      </c>
      <c r="L379">
        <v>32748.799999999999</v>
      </c>
      <c r="M379">
        <v>5894.7839999999997</v>
      </c>
      <c r="N379">
        <v>38643.584000000003</v>
      </c>
      <c r="O379" t="s">
        <v>87</v>
      </c>
      <c r="P379" t="s">
        <v>100</v>
      </c>
    </row>
    <row r="380" spans="1:16" x14ac:dyDescent="0.25">
      <c r="A380" s="2">
        <v>45060</v>
      </c>
      <c r="B380" t="s">
        <v>21</v>
      </c>
      <c r="C380" t="s">
        <v>62</v>
      </c>
      <c r="D380" t="s">
        <v>65</v>
      </c>
      <c r="E380" t="s">
        <v>64</v>
      </c>
      <c r="F380" t="s">
        <v>14</v>
      </c>
      <c r="G380" t="s">
        <v>51</v>
      </c>
      <c r="H380">
        <v>14</v>
      </c>
      <c r="I380">
        <v>3177.8</v>
      </c>
      <c r="J380">
        <v>40040.28</v>
      </c>
      <c r="K380">
        <v>4448.92</v>
      </c>
      <c r="L380">
        <v>44489.2</v>
      </c>
      <c r="M380">
        <v>8008.0559999999996</v>
      </c>
      <c r="N380">
        <v>52497.255999999994</v>
      </c>
      <c r="O380" t="s">
        <v>87</v>
      </c>
      <c r="P380" t="s">
        <v>101</v>
      </c>
    </row>
    <row r="381" spans="1:16" x14ac:dyDescent="0.25">
      <c r="A381" s="2">
        <v>45070</v>
      </c>
      <c r="B381" t="s">
        <v>31</v>
      </c>
      <c r="C381" t="s">
        <v>57</v>
      </c>
      <c r="D381" t="s">
        <v>22</v>
      </c>
      <c r="E381" t="s">
        <v>13</v>
      </c>
      <c r="F381" t="s">
        <v>32</v>
      </c>
      <c r="G381" t="s">
        <v>36</v>
      </c>
      <c r="H381">
        <v>1</v>
      </c>
      <c r="I381">
        <v>3382.37</v>
      </c>
      <c r="J381">
        <v>3044.1329999999998</v>
      </c>
      <c r="K381">
        <v>338.23700000000002</v>
      </c>
      <c r="L381">
        <v>3382.37</v>
      </c>
      <c r="M381">
        <v>608.82659999999998</v>
      </c>
      <c r="N381">
        <v>3991.1965999999998</v>
      </c>
      <c r="O381" t="s">
        <v>87</v>
      </c>
      <c r="P381" t="s">
        <v>99</v>
      </c>
    </row>
    <row r="382" spans="1:16" x14ac:dyDescent="0.25">
      <c r="A382" s="2">
        <v>45043</v>
      </c>
      <c r="B382" t="s">
        <v>10</v>
      </c>
      <c r="C382" t="s">
        <v>58</v>
      </c>
      <c r="D382" t="s">
        <v>12</v>
      </c>
      <c r="E382" t="s">
        <v>18</v>
      </c>
      <c r="F382" t="s">
        <v>19</v>
      </c>
      <c r="G382" t="s">
        <v>52</v>
      </c>
      <c r="H382">
        <v>19</v>
      </c>
      <c r="I382">
        <v>2816.52</v>
      </c>
      <c r="J382">
        <v>48162.491999999998</v>
      </c>
      <c r="K382">
        <v>5351.3879999999999</v>
      </c>
      <c r="L382">
        <v>53513.88</v>
      </c>
      <c r="M382">
        <v>9632.4983999999986</v>
      </c>
      <c r="N382">
        <v>63146.378399999994</v>
      </c>
      <c r="O382" t="s">
        <v>87</v>
      </c>
      <c r="P382" t="s">
        <v>100</v>
      </c>
    </row>
    <row r="383" spans="1:16" x14ac:dyDescent="0.25">
      <c r="A383" s="2">
        <v>45258</v>
      </c>
      <c r="B383" t="s">
        <v>10</v>
      </c>
      <c r="C383" t="s">
        <v>26</v>
      </c>
      <c r="D383" t="s">
        <v>12</v>
      </c>
      <c r="E383" t="s">
        <v>18</v>
      </c>
      <c r="F383" t="s">
        <v>27</v>
      </c>
      <c r="G383" t="s">
        <v>44</v>
      </c>
      <c r="H383">
        <v>13</v>
      </c>
      <c r="I383">
        <v>3417.94</v>
      </c>
      <c r="J383">
        <v>39989.898000000001</v>
      </c>
      <c r="K383">
        <v>4443.3220000000001</v>
      </c>
      <c r="L383">
        <v>44433.22</v>
      </c>
      <c r="M383">
        <v>7997.9795999999997</v>
      </c>
      <c r="N383">
        <v>52431.1996</v>
      </c>
      <c r="O383" t="s">
        <v>87</v>
      </c>
      <c r="P383" t="s">
        <v>100</v>
      </c>
    </row>
    <row r="384" spans="1:16" x14ac:dyDescent="0.25">
      <c r="A384" s="2">
        <v>45283</v>
      </c>
      <c r="B384" t="s">
        <v>10</v>
      </c>
      <c r="C384" t="s">
        <v>57</v>
      </c>
      <c r="D384" t="s">
        <v>22</v>
      </c>
      <c r="E384" t="s">
        <v>13</v>
      </c>
      <c r="F384" t="s">
        <v>23</v>
      </c>
      <c r="G384" t="s">
        <v>47</v>
      </c>
      <c r="H384">
        <v>14</v>
      </c>
      <c r="I384">
        <v>917.55</v>
      </c>
      <c r="J384">
        <v>11561.130000000001</v>
      </c>
      <c r="K384">
        <v>1284.5700000000002</v>
      </c>
      <c r="L384">
        <v>12845.7</v>
      </c>
      <c r="M384">
        <v>2312.2260000000001</v>
      </c>
      <c r="N384">
        <v>15157.926000000001</v>
      </c>
      <c r="O384" t="s">
        <v>87</v>
      </c>
      <c r="P384" t="s">
        <v>99</v>
      </c>
    </row>
    <row r="385" spans="1:16" x14ac:dyDescent="0.25">
      <c r="A385" s="2">
        <v>44997</v>
      </c>
      <c r="B385" t="s">
        <v>34</v>
      </c>
      <c r="C385" t="s">
        <v>11</v>
      </c>
      <c r="D385" t="s">
        <v>22</v>
      </c>
      <c r="E385" t="s">
        <v>13</v>
      </c>
      <c r="F385" t="s">
        <v>32</v>
      </c>
      <c r="G385" t="s">
        <v>33</v>
      </c>
      <c r="H385">
        <v>1</v>
      </c>
      <c r="I385">
        <v>1598.87</v>
      </c>
      <c r="J385">
        <v>1438.9829999999999</v>
      </c>
      <c r="K385">
        <v>159.887</v>
      </c>
      <c r="L385">
        <v>1598.87</v>
      </c>
      <c r="M385">
        <v>287.79659999999996</v>
      </c>
      <c r="N385">
        <v>1886.6665999999998</v>
      </c>
      <c r="O385" t="s">
        <v>87</v>
      </c>
      <c r="P385" t="s">
        <v>99</v>
      </c>
    </row>
    <row r="386" spans="1:16" x14ac:dyDescent="0.25">
      <c r="A386" s="2">
        <v>45200</v>
      </c>
      <c r="B386" t="s">
        <v>34</v>
      </c>
      <c r="C386" t="s">
        <v>58</v>
      </c>
      <c r="D386" t="s">
        <v>12</v>
      </c>
      <c r="E386" t="s">
        <v>18</v>
      </c>
      <c r="F386" t="s">
        <v>14</v>
      </c>
      <c r="G386" t="s">
        <v>15</v>
      </c>
      <c r="H386">
        <v>7</v>
      </c>
      <c r="I386">
        <v>405.27</v>
      </c>
      <c r="J386">
        <v>2553.201</v>
      </c>
      <c r="K386">
        <v>283.68900000000002</v>
      </c>
      <c r="L386">
        <v>2836.89</v>
      </c>
      <c r="M386">
        <v>510.64019999999994</v>
      </c>
      <c r="N386">
        <v>3347.5301999999997</v>
      </c>
      <c r="O386" t="s">
        <v>87</v>
      </c>
      <c r="P386" t="s">
        <v>100</v>
      </c>
    </row>
    <row r="387" spans="1:16" x14ac:dyDescent="0.25">
      <c r="A387" s="2">
        <v>45211</v>
      </c>
      <c r="B387" t="s">
        <v>34</v>
      </c>
      <c r="C387" t="s">
        <v>26</v>
      </c>
      <c r="D387" t="s">
        <v>12</v>
      </c>
      <c r="E387" t="s">
        <v>18</v>
      </c>
      <c r="F387" t="s">
        <v>27</v>
      </c>
      <c r="G387" t="s">
        <v>42</v>
      </c>
      <c r="H387">
        <v>5</v>
      </c>
      <c r="I387">
        <v>2819.92</v>
      </c>
      <c r="J387">
        <v>12689.640000000001</v>
      </c>
      <c r="K387">
        <v>1409.96</v>
      </c>
      <c r="L387">
        <v>14099.6</v>
      </c>
      <c r="M387">
        <v>2537.9279999999999</v>
      </c>
      <c r="N387">
        <v>16637.527999999998</v>
      </c>
      <c r="O387" t="s">
        <v>87</v>
      </c>
      <c r="P387" t="s">
        <v>100</v>
      </c>
    </row>
    <row r="388" spans="1:16" x14ac:dyDescent="0.25">
      <c r="A388" s="2">
        <v>45281</v>
      </c>
      <c r="B388" t="s">
        <v>21</v>
      </c>
      <c r="C388" t="s">
        <v>57</v>
      </c>
      <c r="D388" t="s">
        <v>22</v>
      </c>
      <c r="E388" t="s">
        <v>13</v>
      </c>
      <c r="F388" t="s">
        <v>32</v>
      </c>
      <c r="G388" t="s">
        <v>33</v>
      </c>
      <c r="H388">
        <v>7</v>
      </c>
      <c r="I388">
        <v>4023.6</v>
      </c>
      <c r="J388">
        <v>25348.68</v>
      </c>
      <c r="K388">
        <v>2816.5200000000004</v>
      </c>
      <c r="L388">
        <v>28165.200000000001</v>
      </c>
      <c r="M388">
        <v>5069.7359999999999</v>
      </c>
      <c r="N388">
        <v>33234.936000000002</v>
      </c>
      <c r="O388" t="s">
        <v>87</v>
      </c>
      <c r="P388" t="s">
        <v>99</v>
      </c>
    </row>
    <row r="389" spans="1:16" x14ac:dyDescent="0.25">
      <c r="A389" s="2">
        <v>45190</v>
      </c>
      <c r="B389" t="s">
        <v>25</v>
      </c>
      <c r="C389" t="s">
        <v>56</v>
      </c>
      <c r="D389" t="s">
        <v>12</v>
      </c>
      <c r="E389" t="s">
        <v>18</v>
      </c>
      <c r="F389" t="s">
        <v>27</v>
      </c>
      <c r="G389" t="s">
        <v>42</v>
      </c>
      <c r="H389">
        <v>6</v>
      </c>
      <c r="I389">
        <v>4911.79</v>
      </c>
      <c r="J389">
        <v>26523.666000000001</v>
      </c>
      <c r="K389">
        <v>2947.0740000000005</v>
      </c>
      <c r="L389">
        <v>29470.74</v>
      </c>
      <c r="M389">
        <v>5304.7331999999997</v>
      </c>
      <c r="N389">
        <v>34775.4732</v>
      </c>
      <c r="O389" t="s">
        <v>87</v>
      </c>
      <c r="P389" t="s">
        <v>100</v>
      </c>
    </row>
    <row r="390" spans="1:16" x14ac:dyDescent="0.25">
      <c r="A390" s="2">
        <v>45240</v>
      </c>
      <c r="B390" t="s">
        <v>31</v>
      </c>
      <c r="C390" t="s">
        <v>62</v>
      </c>
      <c r="D390" t="s">
        <v>65</v>
      </c>
      <c r="E390" t="s">
        <v>64</v>
      </c>
      <c r="F390" t="s">
        <v>14</v>
      </c>
      <c r="G390" t="s">
        <v>45</v>
      </c>
      <c r="H390">
        <v>7</v>
      </c>
      <c r="I390">
        <v>2186.75</v>
      </c>
      <c r="J390">
        <v>13776.525</v>
      </c>
      <c r="K390">
        <v>1530.7250000000001</v>
      </c>
      <c r="L390">
        <v>15307.25</v>
      </c>
      <c r="M390">
        <v>2755.3049999999998</v>
      </c>
      <c r="N390">
        <v>18062.555</v>
      </c>
      <c r="O390" t="s">
        <v>87</v>
      </c>
      <c r="P390" t="s">
        <v>101</v>
      </c>
    </row>
    <row r="391" spans="1:16" x14ac:dyDescent="0.25">
      <c r="A391" s="2">
        <v>45228</v>
      </c>
      <c r="B391" t="s">
        <v>43</v>
      </c>
      <c r="C391" t="s">
        <v>58</v>
      </c>
      <c r="D391" t="s">
        <v>12</v>
      </c>
      <c r="E391" t="s">
        <v>18</v>
      </c>
      <c r="F391" t="s">
        <v>19</v>
      </c>
      <c r="G391" t="s">
        <v>20</v>
      </c>
      <c r="H391">
        <v>9</v>
      </c>
      <c r="I391">
        <v>2304.23</v>
      </c>
      <c r="J391">
        <v>18664.262999999999</v>
      </c>
      <c r="K391">
        <v>2073.8070000000002</v>
      </c>
      <c r="L391">
        <v>20738.07</v>
      </c>
      <c r="M391">
        <v>3732.8525999999997</v>
      </c>
      <c r="N391">
        <v>24470.922599999998</v>
      </c>
      <c r="O391" t="s">
        <v>87</v>
      </c>
      <c r="P391" t="s">
        <v>100</v>
      </c>
    </row>
    <row r="392" spans="1:16" x14ac:dyDescent="0.25">
      <c r="A392" s="2">
        <v>45050</v>
      </c>
      <c r="B392" t="s">
        <v>31</v>
      </c>
      <c r="C392" t="s">
        <v>26</v>
      </c>
      <c r="D392" t="s">
        <v>12</v>
      </c>
      <c r="E392" t="s">
        <v>18</v>
      </c>
      <c r="F392" t="s">
        <v>32</v>
      </c>
      <c r="G392" t="s">
        <v>36</v>
      </c>
      <c r="H392">
        <v>6</v>
      </c>
      <c r="I392">
        <v>2282.5500000000002</v>
      </c>
      <c r="J392">
        <v>12325.77</v>
      </c>
      <c r="K392">
        <v>1369.53</v>
      </c>
      <c r="L392">
        <v>13695.3</v>
      </c>
      <c r="M392">
        <v>2465.154</v>
      </c>
      <c r="N392">
        <v>16160.454</v>
      </c>
      <c r="O392" t="s">
        <v>87</v>
      </c>
      <c r="P392" t="s">
        <v>100</v>
      </c>
    </row>
    <row r="393" spans="1:16" x14ac:dyDescent="0.25">
      <c r="A393" s="2">
        <v>45225</v>
      </c>
      <c r="B393" t="s">
        <v>25</v>
      </c>
      <c r="C393" t="s">
        <v>35</v>
      </c>
      <c r="D393" t="s">
        <v>65</v>
      </c>
      <c r="E393" t="s">
        <v>64</v>
      </c>
      <c r="F393" t="s">
        <v>32</v>
      </c>
      <c r="G393" t="s">
        <v>49</v>
      </c>
      <c r="H393">
        <v>4</v>
      </c>
      <c r="I393">
        <v>4778.2299999999996</v>
      </c>
      <c r="J393">
        <v>17201.628000000001</v>
      </c>
      <c r="K393">
        <v>1911.2919999999999</v>
      </c>
      <c r="L393">
        <v>19112.919999999998</v>
      </c>
      <c r="M393">
        <v>3440.3255999999997</v>
      </c>
      <c r="N393">
        <v>22553.245599999998</v>
      </c>
      <c r="O393" t="s">
        <v>87</v>
      </c>
      <c r="P393" t="s">
        <v>101</v>
      </c>
    </row>
    <row r="394" spans="1:16" x14ac:dyDescent="0.25">
      <c r="A394" s="2">
        <v>45047</v>
      </c>
      <c r="B394" t="s">
        <v>34</v>
      </c>
      <c r="C394" t="s">
        <v>17</v>
      </c>
      <c r="D394" t="s">
        <v>65</v>
      </c>
      <c r="E394" t="s">
        <v>64</v>
      </c>
      <c r="F394" t="s">
        <v>23</v>
      </c>
      <c r="G394" t="s">
        <v>39</v>
      </c>
      <c r="H394">
        <v>11</v>
      </c>
      <c r="I394">
        <v>1286.08</v>
      </c>
      <c r="J394">
        <v>12732.191999999999</v>
      </c>
      <c r="K394">
        <v>1414.6880000000001</v>
      </c>
      <c r="L394">
        <v>14146.88</v>
      </c>
      <c r="M394">
        <v>2546.4383999999995</v>
      </c>
      <c r="N394">
        <v>16693.3184</v>
      </c>
      <c r="O394" t="s">
        <v>87</v>
      </c>
      <c r="P394" t="s">
        <v>101</v>
      </c>
    </row>
    <row r="395" spans="1:16" x14ac:dyDescent="0.25">
      <c r="A395" s="2">
        <v>45215</v>
      </c>
      <c r="B395" t="s">
        <v>38</v>
      </c>
      <c r="C395" t="s">
        <v>59</v>
      </c>
      <c r="D395" t="s">
        <v>66</v>
      </c>
      <c r="E395" t="s">
        <v>41</v>
      </c>
      <c r="F395" t="s">
        <v>32</v>
      </c>
      <c r="G395" t="s">
        <v>50</v>
      </c>
      <c r="H395">
        <v>19</v>
      </c>
      <c r="I395">
        <v>1844.31</v>
      </c>
      <c r="J395">
        <v>31537.701000000001</v>
      </c>
      <c r="K395">
        <v>3504.1890000000003</v>
      </c>
      <c r="L395">
        <v>35041.89</v>
      </c>
      <c r="M395">
        <v>6307.5401999999995</v>
      </c>
      <c r="N395">
        <v>41349.430200000003</v>
      </c>
      <c r="O395" t="s">
        <v>87</v>
      </c>
      <c r="P395" t="s">
        <v>66</v>
      </c>
    </row>
    <row r="396" spans="1:16" x14ac:dyDescent="0.25">
      <c r="A396" s="2">
        <v>45262</v>
      </c>
      <c r="B396" t="s">
        <v>38</v>
      </c>
      <c r="C396" t="s">
        <v>35</v>
      </c>
      <c r="D396" t="s">
        <v>65</v>
      </c>
      <c r="E396" t="s">
        <v>64</v>
      </c>
      <c r="F396" t="s">
        <v>23</v>
      </c>
      <c r="G396" t="s">
        <v>24</v>
      </c>
      <c r="H396">
        <v>14</v>
      </c>
      <c r="I396">
        <v>148.43</v>
      </c>
      <c r="J396">
        <v>1870.2180000000001</v>
      </c>
      <c r="K396">
        <v>207.80200000000002</v>
      </c>
      <c r="L396">
        <v>2078.02</v>
      </c>
      <c r="M396">
        <v>374.04359999999997</v>
      </c>
      <c r="N396">
        <v>2452.0636</v>
      </c>
      <c r="O396" t="s">
        <v>87</v>
      </c>
      <c r="P396" t="s">
        <v>101</v>
      </c>
    </row>
    <row r="397" spans="1:16" x14ac:dyDescent="0.25">
      <c r="A397" s="2">
        <v>44965</v>
      </c>
      <c r="B397" t="s">
        <v>38</v>
      </c>
      <c r="C397" t="s">
        <v>63</v>
      </c>
      <c r="D397" t="s">
        <v>65</v>
      </c>
      <c r="E397" t="s">
        <v>64</v>
      </c>
      <c r="F397" t="s">
        <v>19</v>
      </c>
      <c r="G397" t="s">
        <v>30</v>
      </c>
      <c r="H397">
        <v>3</v>
      </c>
      <c r="I397">
        <v>2502.81</v>
      </c>
      <c r="J397">
        <v>6757.5870000000004</v>
      </c>
      <c r="K397">
        <v>750.84300000000007</v>
      </c>
      <c r="L397">
        <v>7508.43</v>
      </c>
      <c r="M397">
        <v>1351.5174</v>
      </c>
      <c r="N397">
        <v>8859.9474000000009</v>
      </c>
      <c r="O397" t="s">
        <v>87</v>
      </c>
      <c r="P397" t="s">
        <v>101</v>
      </c>
    </row>
    <row r="398" spans="1:16" x14ac:dyDescent="0.25">
      <c r="A398" s="2">
        <v>45052</v>
      </c>
      <c r="B398" t="s">
        <v>43</v>
      </c>
      <c r="C398" t="s">
        <v>35</v>
      </c>
      <c r="D398" t="s">
        <v>65</v>
      </c>
      <c r="E398" t="s">
        <v>64</v>
      </c>
      <c r="F398" t="s">
        <v>14</v>
      </c>
      <c r="G398" t="s">
        <v>45</v>
      </c>
      <c r="H398">
        <v>7</v>
      </c>
      <c r="I398">
        <v>3721.37</v>
      </c>
      <c r="J398">
        <v>23444.631000000001</v>
      </c>
      <c r="K398">
        <v>2604.9590000000003</v>
      </c>
      <c r="L398">
        <v>26049.59</v>
      </c>
      <c r="M398">
        <v>4688.9261999999999</v>
      </c>
      <c r="N398">
        <v>30738.516199999998</v>
      </c>
      <c r="O398" t="s">
        <v>87</v>
      </c>
      <c r="P398" t="s">
        <v>101</v>
      </c>
    </row>
    <row r="399" spans="1:16" x14ac:dyDescent="0.25">
      <c r="A399" s="2">
        <v>45105</v>
      </c>
      <c r="B399" t="s">
        <v>38</v>
      </c>
      <c r="C399" t="s">
        <v>17</v>
      </c>
      <c r="D399" t="s">
        <v>65</v>
      </c>
      <c r="E399" t="s">
        <v>64</v>
      </c>
      <c r="F399" t="s">
        <v>14</v>
      </c>
      <c r="G399" t="s">
        <v>51</v>
      </c>
      <c r="H399">
        <v>2</v>
      </c>
      <c r="I399">
        <v>3719.83</v>
      </c>
      <c r="J399">
        <v>6695.6940000000004</v>
      </c>
      <c r="K399">
        <v>743.96600000000001</v>
      </c>
      <c r="L399">
        <v>7439.66</v>
      </c>
      <c r="M399">
        <v>1339.1387999999999</v>
      </c>
      <c r="N399">
        <v>8778.7988000000005</v>
      </c>
      <c r="O399" t="s">
        <v>87</v>
      </c>
      <c r="P399" t="s">
        <v>101</v>
      </c>
    </row>
    <row r="400" spans="1:16" x14ac:dyDescent="0.25">
      <c r="A400" s="2">
        <v>45207</v>
      </c>
      <c r="B400" t="s">
        <v>21</v>
      </c>
      <c r="C400" t="s">
        <v>61</v>
      </c>
      <c r="D400" t="s">
        <v>65</v>
      </c>
      <c r="E400" t="s">
        <v>64</v>
      </c>
      <c r="F400" t="s">
        <v>23</v>
      </c>
      <c r="G400" t="s">
        <v>24</v>
      </c>
      <c r="H400">
        <v>19</v>
      </c>
      <c r="I400">
        <v>2862.47</v>
      </c>
      <c r="J400">
        <v>48948.237000000001</v>
      </c>
      <c r="K400">
        <v>5438.6930000000002</v>
      </c>
      <c r="L400">
        <v>54386.93</v>
      </c>
      <c r="M400">
        <v>9789.6473999999998</v>
      </c>
      <c r="N400">
        <v>64176.577400000002</v>
      </c>
      <c r="O400" t="s">
        <v>87</v>
      </c>
      <c r="P400" t="s">
        <v>101</v>
      </c>
    </row>
    <row r="401" spans="1:16" x14ac:dyDescent="0.25">
      <c r="A401" s="2">
        <v>45044</v>
      </c>
      <c r="B401" t="s">
        <v>29</v>
      </c>
      <c r="C401" t="s">
        <v>55</v>
      </c>
      <c r="D401" t="s">
        <v>66</v>
      </c>
      <c r="E401" t="s">
        <v>41</v>
      </c>
      <c r="F401" t="s">
        <v>19</v>
      </c>
      <c r="G401" t="s">
        <v>20</v>
      </c>
      <c r="H401">
        <v>5</v>
      </c>
      <c r="I401">
        <v>4715.05</v>
      </c>
      <c r="J401">
        <v>21217.725000000002</v>
      </c>
      <c r="K401">
        <v>2357.5250000000001</v>
      </c>
      <c r="L401">
        <v>23575.25</v>
      </c>
      <c r="M401">
        <v>4243.5450000000001</v>
      </c>
      <c r="N401">
        <v>27818.794999999998</v>
      </c>
      <c r="O401" t="s">
        <v>87</v>
      </c>
      <c r="P401" t="s">
        <v>66</v>
      </c>
    </row>
    <row r="402" spans="1:16" x14ac:dyDescent="0.25">
      <c r="A402" s="2">
        <v>45291</v>
      </c>
      <c r="B402" t="s">
        <v>21</v>
      </c>
      <c r="C402" t="s">
        <v>26</v>
      </c>
      <c r="D402" t="s">
        <v>12</v>
      </c>
      <c r="E402" t="s">
        <v>18</v>
      </c>
      <c r="F402" t="s">
        <v>27</v>
      </c>
      <c r="G402" t="s">
        <v>44</v>
      </c>
      <c r="H402">
        <v>11</v>
      </c>
      <c r="I402">
        <v>3314</v>
      </c>
      <c r="J402">
        <v>32808.6</v>
      </c>
      <c r="K402">
        <v>3645.4</v>
      </c>
      <c r="L402">
        <v>36454</v>
      </c>
      <c r="M402">
        <v>6561.7199999999993</v>
      </c>
      <c r="N402">
        <v>43015.72</v>
      </c>
      <c r="O402" t="s">
        <v>87</v>
      </c>
      <c r="P402" t="s">
        <v>100</v>
      </c>
    </row>
    <row r="403" spans="1:16" x14ac:dyDescent="0.25">
      <c r="A403" s="2">
        <v>45055</v>
      </c>
      <c r="B403" t="s">
        <v>31</v>
      </c>
      <c r="C403" t="s">
        <v>57</v>
      </c>
      <c r="D403" t="s">
        <v>22</v>
      </c>
      <c r="E403" t="s">
        <v>13</v>
      </c>
      <c r="F403" t="s">
        <v>14</v>
      </c>
      <c r="G403" t="s">
        <v>15</v>
      </c>
      <c r="H403">
        <v>3</v>
      </c>
      <c r="I403">
        <v>4146.75</v>
      </c>
      <c r="J403">
        <v>11196.225</v>
      </c>
      <c r="K403">
        <v>1244.0250000000001</v>
      </c>
      <c r="L403">
        <v>12440.25</v>
      </c>
      <c r="M403">
        <v>2239.2449999999999</v>
      </c>
      <c r="N403">
        <v>14679.494999999999</v>
      </c>
      <c r="O403" t="s">
        <v>87</v>
      </c>
      <c r="P403" t="s">
        <v>99</v>
      </c>
    </row>
    <row r="404" spans="1:16" x14ac:dyDescent="0.25">
      <c r="A404" s="2">
        <v>45143</v>
      </c>
      <c r="B404" t="s">
        <v>38</v>
      </c>
      <c r="C404" t="s">
        <v>56</v>
      </c>
      <c r="D404" t="s">
        <v>12</v>
      </c>
      <c r="E404" t="s">
        <v>18</v>
      </c>
      <c r="F404" t="s">
        <v>32</v>
      </c>
      <c r="G404" t="s">
        <v>50</v>
      </c>
      <c r="H404">
        <v>4</v>
      </c>
      <c r="I404">
        <v>4062.52</v>
      </c>
      <c r="J404">
        <v>14625.072</v>
      </c>
      <c r="K404">
        <v>1625.008</v>
      </c>
      <c r="L404">
        <v>16250.08</v>
      </c>
      <c r="M404">
        <v>2925.0144</v>
      </c>
      <c r="N404">
        <v>19175.094400000002</v>
      </c>
      <c r="O404" t="s">
        <v>87</v>
      </c>
      <c r="P404" t="s">
        <v>100</v>
      </c>
    </row>
    <row r="405" spans="1:16" x14ac:dyDescent="0.25">
      <c r="A405" s="2">
        <v>44993</v>
      </c>
      <c r="B405" t="s">
        <v>38</v>
      </c>
      <c r="C405" t="s">
        <v>62</v>
      </c>
      <c r="D405" t="s">
        <v>65</v>
      </c>
      <c r="E405" t="s">
        <v>64</v>
      </c>
      <c r="F405" t="s">
        <v>32</v>
      </c>
      <c r="G405" t="s">
        <v>50</v>
      </c>
      <c r="H405">
        <v>4</v>
      </c>
      <c r="I405">
        <v>3022.21</v>
      </c>
      <c r="J405">
        <v>10879.956</v>
      </c>
      <c r="K405">
        <v>1208.884</v>
      </c>
      <c r="L405">
        <v>12088.84</v>
      </c>
      <c r="M405">
        <v>2175.9911999999999</v>
      </c>
      <c r="N405">
        <v>14264.831200000001</v>
      </c>
      <c r="O405" t="s">
        <v>87</v>
      </c>
      <c r="P405" t="s">
        <v>101</v>
      </c>
    </row>
    <row r="406" spans="1:16" x14ac:dyDescent="0.25">
      <c r="A406" s="2">
        <v>44989</v>
      </c>
      <c r="B406" t="s">
        <v>21</v>
      </c>
      <c r="C406" t="s">
        <v>61</v>
      </c>
      <c r="D406" t="s">
        <v>65</v>
      </c>
      <c r="E406" t="s">
        <v>64</v>
      </c>
      <c r="F406" t="s">
        <v>27</v>
      </c>
      <c r="G406" t="s">
        <v>42</v>
      </c>
      <c r="H406">
        <v>7</v>
      </c>
      <c r="I406">
        <v>217.04</v>
      </c>
      <c r="J406">
        <v>1367.3520000000001</v>
      </c>
      <c r="K406">
        <v>151.928</v>
      </c>
      <c r="L406">
        <v>1519.28</v>
      </c>
      <c r="M406">
        <v>273.47039999999998</v>
      </c>
      <c r="N406">
        <v>1792.7503999999999</v>
      </c>
      <c r="O406" t="s">
        <v>87</v>
      </c>
      <c r="P406" t="s">
        <v>101</v>
      </c>
    </row>
    <row r="407" spans="1:16" x14ac:dyDescent="0.25">
      <c r="A407" s="2">
        <v>45145</v>
      </c>
      <c r="B407" t="s">
        <v>38</v>
      </c>
      <c r="C407" t="s">
        <v>62</v>
      </c>
      <c r="D407" t="s">
        <v>65</v>
      </c>
      <c r="E407" t="s">
        <v>64</v>
      </c>
      <c r="F407" t="s">
        <v>27</v>
      </c>
      <c r="G407" t="s">
        <v>42</v>
      </c>
      <c r="H407">
        <v>2</v>
      </c>
      <c r="I407">
        <v>4883.5600000000004</v>
      </c>
      <c r="J407">
        <v>8790.4080000000013</v>
      </c>
      <c r="K407">
        <v>976.7120000000001</v>
      </c>
      <c r="L407">
        <v>9767.1200000000008</v>
      </c>
      <c r="M407">
        <v>1758.0816</v>
      </c>
      <c r="N407">
        <v>11525.2016</v>
      </c>
      <c r="O407" t="s">
        <v>87</v>
      </c>
      <c r="P407" t="s">
        <v>101</v>
      </c>
    </row>
    <row r="408" spans="1:16" x14ac:dyDescent="0.25">
      <c r="A408" s="2">
        <v>44949</v>
      </c>
      <c r="B408" t="s">
        <v>43</v>
      </c>
      <c r="C408" t="s">
        <v>63</v>
      </c>
      <c r="D408" t="s">
        <v>65</v>
      </c>
      <c r="E408" t="s">
        <v>64</v>
      </c>
      <c r="F408" t="s">
        <v>32</v>
      </c>
      <c r="G408" t="s">
        <v>49</v>
      </c>
      <c r="H408">
        <v>16</v>
      </c>
      <c r="I408">
        <v>2015.76</v>
      </c>
      <c r="J408">
        <v>29026.944</v>
      </c>
      <c r="K408">
        <v>3225.2160000000003</v>
      </c>
      <c r="L408">
        <v>32252.16</v>
      </c>
      <c r="M408">
        <v>5805.3887999999997</v>
      </c>
      <c r="N408">
        <v>38057.548799999997</v>
      </c>
      <c r="O408" t="s">
        <v>87</v>
      </c>
      <c r="P408" t="s">
        <v>101</v>
      </c>
    </row>
    <row r="409" spans="1:16" x14ac:dyDescent="0.25">
      <c r="A409" s="2">
        <v>45088</v>
      </c>
      <c r="B409" t="s">
        <v>40</v>
      </c>
      <c r="C409" t="s">
        <v>54</v>
      </c>
      <c r="D409" t="s">
        <v>12</v>
      </c>
      <c r="E409" t="s">
        <v>18</v>
      </c>
      <c r="F409" t="s">
        <v>27</v>
      </c>
      <c r="G409" t="s">
        <v>28</v>
      </c>
      <c r="H409">
        <v>1</v>
      </c>
      <c r="I409">
        <v>2777.22</v>
      </c>
      <c r="J409">
        <v>2499.498</v>
      </c>
      <c r="K409">
        <v>277.72199999999998</v>
      </c>
      <c r="L409">
        <v>2777.22</v>
      </c>
      <c r="M409">
        <v>499.89959999999996</v>
      </c>
      <c r="N409">
        <v>3277.1196</v>
      </c>
      <c r="O409" t="s">
        <v>87</v>
      </c>
      <c r="P409" t="s">
        <v>100</v>
      </c>
    </row>
    <row r="410" spans="1:16" x14ac:dyDescent="0.25">
      <c r="A410" s="2">
        <v>45279</v>
      </c>
      <c r="B410" t="s">
        <v>16</v>
      </c>
      <c r="C410" t="s">
        <v>54</v>
      </c>
      <c r="D410" t="s">
        <v>12</v>
      </c>
      <c r="E410" t="s">
        <v>18</v>
      </c>
      <c r="F410" t="s">
        <v>14</v>
      </c>
      <c r="G410" t="s">
        <v>45</v>
      </c>
      <c r="H410">
        <v>13</v>
      </c>
      <c r="I410">
        <v>4318.62</v>
      </c>
      <c r="J410">
        <v>50527.853999999999</v>
      </c>
      <c r="K410">
        <v>5614.2060000000001</v>
      </c>
      <c r="L410">
        <v>56142.06</v>
      </c>
      <c r="M410">
        <v>10105.5708</v>
      </c>
      <c r="N410">
        <v>66247.630799999999</v>
      </c>
      <c r="O410" t="s">
        <v>87</v>
      </c>
      <c r="P410" t="s">
        <v>100</v>
      </c>
    </row>
    <row r="411" spans="1:16" x14ac:dyDescent="0.25">
      <c r="A411" s="2">
        <v>45223</v>
      </c>
      <c r="B411" t="s">
        <v>43</v>
      </c>
      <c r="C411" t="s">
        <v>11</v>
      </c>
      <c r="D411" t="s">
        <v>22</v>
      </c>
      <c r="E411" t="s">
        <v>13</v>
      </c>
      <c r="F411" t="s">
        <v>32</v>
      </c>
      <c r="G411" t="s">
        <v>49</v>
      </c>
      <c r="H411">
        <v>15</v>
      </c>
      <c r="I411">
        <v>3225.2</v>
      </c>
      <c r="J411">
        <v>43540.200000000004</v>
      </c>
      <c r="K411">
        <v>4837.8</v>
      </c>
      <c r="L411">
        <v>48378</v>
      </c>
      <c r="M411">
        <v>8708.0399999999991</v>
      </c>
      <c r="N411">
        <v>57086.04</v>
      </c>
      <c r="O411" t="s">
        <v>87</v>
      </c>
      <c r="P411" t="s">
        <v>99</v>
      </c>
    </row>
    <row r="412" spans="1:16" x14ac:dyDescent="0.25">
      <c r="A412" s="2">
        <v>45160</v>
      </c>
      <c r="B412" t="s">
        <v>31</v>
      </c>
      <c r="C412" t="s">
        <v>11</v>
      </c>
      <c r="D412" t="s">
        <v>22</v>
      </c>
      <c r="E412" t="s">
        <v>13</v>
      </c>
      <c r="F412" t="s">
        <v>32</v>
      </c>
      <c r="G412" t="s">
        <v>49</v>
      </c>
      <c r="H412">
        <v>9</v>
      </c>
      <c r="I412">
        <v>631.99</v>
      </c>
      <c r="J412">
        <v>5119.1189999999997</v>
      </c>
      <c r="K412">
        <v>568.79100000000005</v>
      </c>
      <c r="L412">
        <v>5687.91</v>
      </c>
      <c r="M412">
        <v>1023.8237999999999</v>
      </c>
      <c r="N412">
        <v>6711.7338</v>
      </c>
      <c r="O412" t="s">
        <v>87</v>
      </c>
      <c r="P412" t="s">
        <v>99</v>
      </c>
    </row>
    <row r="413" spans="1:16" x14ac:dyDescent="0.25">
      <c r="A413" s="2">
        <v>45051</v>
      </c>
      <c r="B413" t="s">
        <v>25</v>
      </c>
      <c r="C413" t="s">
        <v>61</v>
      </c>
      <c r="D413" t="s">
        <v>65</v>
      </c>
      <c r="E413" t="s">
        <v>64</v>
      </c>
      <c r="F413" t="s">
        <v>19</v>
      </c>
      <c r="G413" t="s">
        <v>48</v>
      </c>
      <c r="H413">
        <v>16</v>
      </c>
      <c r="I413">
        <v>981</v>
      </c>
      <c r="J413">
        <v>14126.4</v>
      </c>
      <c r="K413">
        <v>1569.6000000000001</v>
      </c>
      <c r="L413">
        <v>15696</v>
      </c>
      <c r="M413">
        <v>2825.2799999999997</v>
      </c>
      <c r="N413">
        <v>18521.28</v>
      </c>
      <c r="O413" t="s">
        <v>87</v>
      </c>
      <c r="P413" t="s">
        <v>101</v>
      </c>
    </row>
    <row r="414" spans="1:16" x14ac:dyDescent="0.25">
      <c r="A414" s="2">
        <v>45089</v>
      </c>
      <c r="B414" t="s">
        <v>40</v>
      </c>
      <c r="C414" t="s">
        <v>35</v>
      </c>
      <c r="D414" t="s">
        <v>65</v>
      </c>
      <c r="E414" t="s">
        <v>64</v>
      </c>
      <c r="F414" t="s">
        <v>32</v>
      </c>
      <c r="G414" t="s">
        <v>36</v>
      </c>
      <c r="H414">
        <v>14</v>
      </c>
      <c r="I414">
        <v>1049.21</v>
      </c>
      <c r="J414">
        <v>13220.046</v>
      </c>
      <c r="K414">
        <v>1468.8940000000002</v>
      </c>
      <c r="L414">
        <v>14688.94</v>
      </c>
      <c r="M414">
        <v>2644.0092</v>
      </c>
      <c r="N414">
        <v>17332.949199999999</v>
      </c>
      <c r="O414" t="s">
        <v>87</v>
      </c>
      <c r="P414" t="s">
        <v>101</v>
      </c>
    </row>
    <row r="415" spans="1:16" x14ac:dyDescent="0.25">
      <c r="A415" s="2">
        <v>45105</v>
      </c>
      <c r="B415" t="s">
        <v>43</v>
      </c>
      <c r="C415" t="s">
        <v>17</v>
      </c>
      <c r="D415" t="s">
        <v>65</v>
      </c>
      <c r="E415" t="s">
        <v>64</v>
      </c>
      <c r="F415" t="s">
        <v>14</v>
      </c>
      <c r="G415" t="s">
        <v>15</v>
      </c>
      <c r="H415">
        <v>3</v>
      </c>
      <c r="I415">
        <v>3276.84</v>
      </c>
      <c r="J415">
        <v>8847.4680000000008</v>
      </c>
      <c r="K415">
        <v>983.05200000000013</v>
      </c>
      <c r="L415">
        <v>9830.52</v>
      </c>
      <c r="M415">
        <v>1769.4936</v>
      </c>
      <c r="N415">
        <v>11600.0136</v>
      </c>
      <c r="O415" t="s">
        <v>87</v>
      </c>
      <c r="P415" t="s">
        <v>101</v>
      </c>
    </row>
    <row r="416" spans="1:16" x14ac:dyDescent="0.25">
      <c r="A416" s="2">
        <v>45148</v>
      </c>
      <c r="B416" t="s">
        <v>25</v>
      </c>
      <c r="C416" t="s">
        <v>26</v>
      </c>
      <c r="D416" t="s">
        <v>12</v>
      </c>
      <c r="E416" t="s">
        <v>18</v>
      </c>
      <c r="F416" t="s">
        <v>32</v>
      </c>
      <c r="G416" t="s">
        <v>33</v>
      </c>
      <c r="H416">
        <v>10</v>
      </c>
      <c r="I416">
        <v>1693.46</v>
      </c>
      <c r="J416">
        <v>15241.14</v>
      </c>
      <c r="K416">
        <v>1693.46</v>
      </c>
      <c r="L416">
        <v>16934.599999999999</v>
      </c>
      <c r="M416">
        <v>3048.2279999999996</v>
      </c>
      <c r="N416">
        <v>19982.827999999998</v>
      </c>
      <c r="O416" t="s">
        <v>87</v>
      </c>
      <c r="P416" t="s">
        <v>100</v>
      </c>
    </row>
    <row r="417" spans="1:16" x14ac:dyDescent="0.25">
      <c r="A417" s="2">
        <v>45256</v>
      </c>
      <c r="B417" t="s">
        <v>40</v>
      </c>
      <c r="C417" t="s">
        <v>26</v>
      </c>
      <c r="D417" t="s">
        <v>12</v>
      </c>
      <c r="E417" t="s">
        <v>18</v>
      </c>
      <c r="F417" t="s">
        <v>19</v>
      </c>
      <c r="G417" t="s">
        <v>48</v>
      </c>
      <c r="H417">
        <v>15</v>
      </c>
      <c r="I417">
        <v>1790.58</v>
      </c>
      <c r="J417">
        <v>24172.83</v>
      </c>
      <c r="K417">
        <v>2685.8700000000003</v>
      </c>
      <c r="L417">
        <v>26858.7</v>
      </c>
      <c r="M417">
        <v>4834.5659999999998</v>
      </c>
      <c r="N417">
        <v>31693.266</v>
      </c>
      <c r="O417" t="s">
        <v>87</v>
      </c>
      <c r="P417" t="s">
        <v>100</v>
      </c>
    </row>
    <row r="418" spans="1:16" x14ac:dyDescent="0.25">
      <c r="A418" s="2">
        <v>45005</v>
      </c>
      <c r="B418" t="s">
        <v>29</v>
      </c>
      <c r="C418" t="s">
        <v>35</v>
      </c>
      <c r="D418" t="s">
        <v>65</v>
      </c>
      <c r="E418" t="s">
        <v>64</v>
      </c>
      <c r="F418" t="s">
        <v>14</v>
      </c>
      <c r="G418" t="s">
        <v>45</v>
      </c>
      <c r="H418">
        <v>16</v>
      </c>
      <c r="I418">
        <v>1018.83</v>
      </c>
      <c r="J418">
        <v>14671.152</v>
      </c>
      <c r="K418">
        <v>1630.1280000000002</v>
      </c>
      <c r="L418">
        <v>16301.28</v>
      </c>
      <c r="M418">
        <v>2934.2303999999999</v>
      </c>
      <c r="N418">
        <v>19235.510399999999</v>
      </c>
      <c r="O418" t="s">
        <v>87</v>
      </c>
      <c r="P418" t="s">
        <v>101</v>
      </c>
    </row>
    <row r="419" spans="1:16" x14ac:dyDescent="0.25">
      <c r="A419" s="2">
        <v>44964</v>
      </c>
      <c r="B419" t="s">
        <v>31</v>
      </c>
      <c r="C419" t="s">
        <v>62</v>
      </c>
      <c r="D419" t="s">
        <v>65</v>
      </c>
      <c r="E419" t="s">
        <v>64</v>
      </c>
      <c r="F419" t="s">
        <v>32</v>
      </c>
      <c r="G419" t="s">
        <v>50</v>
      </c>
      <c r="H419">
        <v>6</v>
      </c>
      <c r="I419">
        <v>1246.5899999999999</v>
      </c>
      <c r="J419">
        <v>6731.5860000000002</v>
      </c>
      <c r="K419">
        <v>747.95400000000006</v>
      </c>
      <c r="L419">
        <v>7479.54</v>
      </c>
      <c r="M419">
        <v>1346.3172</v>
      </c>
      <c r="N419">
        <v>8825.8572000000004</v>
      </c>
      <c r="O419" t="s">
        <v>87</v>
      </c>
      <c r="P419" t="s">
        <v>101</v>
      </c>
    </row>
    <row r="420" spans="1:16" x14ac:dyDescent="0.25">
      <c r="A420" s="2">
        <v>44939</v>
      </c>
      <c r="B420" t="s">
        <v>38</v>
      </c>
      <c r="C420" t="s">
        <v>17</v>
      </c>
      <c r="D420" t="s">
        <v>65</v>
      </c>
      <c r="E420" t="s">
        <v>64</v>
      </c>
      <c r="F420" t="s">
        <v>27</v>
      </c>
      <c r="G420" t="s">
        <v>44</v>
      </c>
      <c r="H420">
        <v>14</v>
      </c>
      <c r="I420">
        <v>859.79</v>
      </c>
      <c r="J420">
        <v>10833.353999999999</v>
      </c>
      <c r="K420">
        <v>1203.7059999999999</v>
      </c>
      <c r="L420">
        <v>12037.06</v>
      </c>
      <c r="M420">
        <v>2166.6707999999999</v>
      </c>
      <c r="N420">
        <v>14203.730799999999</v>
      </c>
      <c r="O420" t="s">
        <v>87</v>
      </c>
      <c r="P420" t="s">
        <v>101</v>
      </c>
    </row>
    <row r="421" spans="1:16" x14ac:dyDescent="0.25">
      <c r="A421" s="2">
        <v>45239</v>
      </c>
      <c r="B421" t="s">
        <v>10</v>
      </c>
      <c r="C421" t="s">
        <v>26</v>
      </c>
      <c r="D421" t="s">
        <v>12</v>
      </c>
      <c r="E421" t="s">
        <v>18</v>
      </c>
      <c r="F421" t="s">
        <v>23</v>
      </c>
      <c r="G421" t="s">
        <v>37</v>
      </c>
      <c r="H421">
        <v>12</v>
      </c>
      <c r="I421">
        <v>149.16</v>
      </c>
      <c r="J421">
        <v>1610.9280000000001</v>
      </c>
      <c r="K421">
        <v>178.99200000000002</v>
      </c>
      <c r="L421">
        <v>1789.92</v>
      </c>
      <c r="M421">
        <v>322.18560000000002</v>
      </c>
      <c r="N421">
        <v>2112.1055999999999</v>
      </c>
      <c r="O421" t="s">
        <v>87</v>
      </c>
      <c r="P421" t="s">
        <v>100</v>
      </c>
    </row>
    <row r="422" spans="1:16" x14ac:dyDescent="0.25">
      <c r="A422" s="2">
        <v>45213</v>
      </c>
      <c r="B422" t="s">
        <v>29</v>
      </c>
      <c r="C422" t="s">
        <v>11</v>
      </c>
      <c r="D422" t="s">
        <v>22</v>
      </c>
      <c r="E422" t="s">
        <v>13</v>
      </c>
      <c r="F422" t="s">
        <v>14</v>
      </c>
      <c r="G422" t="s">
        <v>45</v>
      </c>
      <c r="H422">
        <v>20</v>
      </c>
      <c r="I422">
        <v>1108.83</v>
      </c>
      <c r="J422">
        <v>19958.939999999999</v>
      </c>
      <c r="K422">
        <v>2217.66</v>
      </c>
      <c r="L422">
        <v>22176.6</v>
      </c>
      <c r="M422">
        <v>3991.7879999999996</v>
      </c>
      <c r="N422">
        <v>26168.387999999999</v>
      </c>
      <c r="O422" t="s">
        <v>87</v>
      </c>
      <c r="P422" t="s">
        <v>99</v>
      </c>
    </row>
    <row r="423" spans="1:16" x14ac:dyDescent="0.25">
      <c r="A423" s="2">
        <v>45002</v>
      </c>
      <c r="B423" t="s">
        <v>31</v>
      </c>
      <c r="C423" t="s">
        <v>54</v>
      </c>
      <c r="D423" t="s">
        <v>12</v>
      </c>
      <c r="E423" t="s">
        <v>18</v>
      </c>
      <c r="F423" t="s">
        <v>14</v>
      </c>
      <c r="G423" t="s">
        <v>53</v>
      </c>
      <c r="H423">
        <v>8</v>
      </c>
      <c r="I423">
        <v>3628.65</v>
      </c>
      <c r="J423">
        <v>26126.280000000002</v>
      </c>
      <c r="K423">
        <v>2902.92</v>
      </c>
      <c r="L423">
        <v>29029.200000000001</v>
      </c>
      <c r="M423">
        <v>5225.2560000000003</v>
      </c>
      <c r="N423">
        <v>34254.455999999998</v>
      </c>
      <c r="O423" t="s">
        <v>87</v>
      </c>
      <c r="P423" t="s">
        <v>100</v>
      </c>
    </row>
    <row r="424" spans="1:16" x14ac:dyDescent="0.25">
      <c r="A424" s="2">
        <v>45283</v>
      </c>
      <c r="B424" t="s">
        <v>10</v>
      </c>
      <c r="C424" t="s">
        <v>35</v>
      </c>
      <c r="D424" t="s">
        <v>65</v>
      </c>
      <c r="E424" t="s">
        <v>64</v>
      </c>
      <c r="F424" t="s">
        <v>23</v>
      </c>
      <c r="G424" t="s">
        <v>37</v>
      </c>
      <c r="H424">
        <v>19</v>
      </c>
      <c r="I424">
        <v>1317.72</v>
      </c>
      <c r="J424">
        <v>22533.012000000002</v>
      </c>
      <c r="K424">
        <v>2503.6680000000001</v>
      </c>
      <c r="L424">
        <v>25036.68</v>
      </c>
      <c r="M424">
        <v>4506.6023999999998</v>
      </c>
      <c r="N424">
        <v>29543.2824</v>
      </c>
      <c r="O424" t="s">
        <v>87</v>
      </c>
      <c r="P424" t="s">
        <v>101</v>
      </c>
    </row>
    <row r="425" spans="1:16" x14ac:dyDescent="0.25">
      <c r="A425" s="2">
        <v>44940</v>
      </c>
      <c r="B425" t="s">
        <v>29</v>
      </c>
      <c r="C425" t="s">
        <v>61</v>
      </c>
      <c r="D425" t="s">
        <v>65</v>
      </c>
      <c r="E425" t="s">
        <v>64</v>
      </c>
      <c r="F425" t="s">
        <v>23</v>
      </c>
      <c r="G425" t="s">
        <v>47</v>
      </c>
      <c r="H425">
        <v>16</v>
      </c>
      <c r="I425">
        <v>2995.01</v>
      </c>
      <c r="J425">
        <v>43128.144000000008</v>
      </c>
      <c r="K425">
        <v>4792.0160000000005</v>
      </c>
      <c r="L425">
        <v>47920.160000000003</v>
      </c>
      <c r="M425">
        <v>8625.6288000000004</v>
      </c>
      <c r="N425">
        <v>56545.788800000002</v>
      </c>
      <c r="O425" t="s">
        <v>87</v>
      </c>
      <c r="P425" t="s">
        <v>101</v>
      </c>
    </row>
    <row r="426" spans="1:16" x14ac:dyDescent="0.25">
      <c r="A426" s="2">
        <v>45071</v>
      </c>
      <c r="B426" t="s">
        <v>31</v>
      </c>
      <c r="C426" t="s">
        <v>59</v>
      </c>
      <c r="D426" t="s">
        <v>66</v>
      </c>
      <c r="E426" t="s">
        <v>41</v>
      </c>
      <c r="F426" t="s">
        <v>14</v>
      </c>
      <c r="G426" t="s">
        <v>53</v>
      </c>
      <c r="H426">
        <v>11</v>
      </c>
      <c r="I426">
        <v>2318.96</v>
      </c>
      <c r="J426">
        <v>22957.704000000002</v>
      </c>
      <c r="K426">
        <v>2550.8560000000002</v>
      </c>
      <c r="L426">
        <v>25508.560000000001</v>
      </c>
      <c r="M426">
        <v>4591.5407999999998</v>
      </c>
      <c r="N426">
        <v>30100.1008</v>
      </c>
      <c r="O426" t="s">
        <v>87</v>
      </c>
      <c r="P426" t="s">
        <v>66</v>
      </c>
    </row>
    <row r="427" spans="1:16" x14ac:dyDescent="0.25">
      <c r="A427" s="2">
        <v>45260</v>
      </c>
      <c r="B427" t="s">
        <v>21</v>
      </c>
      <c r="C427" t="s">
        <v>57</v>
      </c>
      <c r="D427" t="s">
        <v>22</v>
      </c>
      <c r="E427" t="s">
        <v>13</v>
      </c>
      <c r="F427" t="s">
        <v>27</v>
      </c>
      <c r="G427" t="s">
        <v>44</v>
      </c>
      <c r="H427">
        <v>14</v>
      </c>
      <c r="I427">
        <v>4935.3</v>
      </c>
      <c r="J427">
        <v>62184.78</v>
      </c>
      <c r="K427">
        <v>6909.42</v>
      </c>
      <c r="L427">
        <v>69094.2</v>
      </c>
      <c r="M427">
        <v>12436.955999999998</v>
      </c>
      <c r="N427">
        <v>81531.155999999988</v>
      </c>
      <c r="O427" t="s">
        <v>87</v>
      </c>
      <c r="P427" t="s">
        <v>99</v>
      </c>
    </row>
    <row r="428" spans="1:16" x14ac:dyDescent="0.25">
      <c r="A428" s="2">
        <v>45189</v>
      </c>
      <c r="B428" t="s">
        <v>40</v>
      </c>
      <c r="C428" t="s">
        <v>62</v>
      </c>
      <c r="D428" t="s">
        <v>65</v>
      </c>
      <c r="E428" t="s">
        <v>64</v>
      </c>
      <c r="F428" t="s">
        <v>14</v>
      </c>
      <c r="G428" t="s">
        <v>45</v>
      </c>
      <c r="H428">
        <v>1</v>
      </c>
      <c r="I428">
        <v>1083.26</v>
      </c>
      <c r="J428">
        <v>974.93399999999997</v>
      </c>
      <c r="K428">
        <v>108.32600000000001</v>
      </c>
      <c r="L428">
        <v>1083.26</v>
      </c>
      <c r="M428">
        <v>194.98679999999999</v>
      </c>
      <c r="N428">
        <v>1278.2467999999999</v>
      </c>
      <c r="O428" t="s">
        <v>87</v>
      </c>
      <c r="P428" t="s">
        <v>101</v>
      </c>
    </row>
    <row r="429" spans="1:16" x14ac:dyDescent="0.25">
      <c r="A429" s="2">
        <v>45204</v>
      </c>
      <c r="B429" t="s">
        <v>38</v>
      </c>
      <c r="C429" t="s">
        <v>55</v>
      </c>
      <c r="D429" t="s">
        <v>66</v>
      </c>
      <c r="E429" t="s">
        <v>41</v>
      </c>
      <c r="F429" t="s">
        <v>14</v>
      </c>
      <c r="G429" t="s">
        <v>45</v>
      </c>
      <c r="H429">
        <v>11</v>
      </c>
      <c r="I429">
        <v>1673.53</v>
      </c>
      <c r="J429">
        <v>16567.947000000004</v>
      </c>
      <c r="K429">
        <v>1840.8830000000003</v>
      </c>
      <c r="L429">
        <v>18408.830000000002</v>
      </c>
      <c r="M429">
        <v>3313.5894000000003</v>
      </c>
      <c r="N429">
        <v>21722.419400000002</v>
      </c>
      <c r="O429" t="s">
        <v>87</v>
      </c>
      <c r="P429" t="s">
        <v>66</v>
      </c>
    </row>
    <row r="430" spans="1:16" x14ac:dyDescent="0.25">
      <c r="A430" s="2">
        <v>45185</v>
      </c>
      <c r="B430" t="s">
        <v>25</v>
      </c>
      <c r="C430" t="s">
        <v>35</v>
      </c>
      <c r="D430" t="s">
        <v>65</v>
      </c>
      <c r="E430" t="s">
        <v>64</v>
      </c>
      <c r="F430" t="s">
        <v>32</v>
      </c>
      <c r="G430" t="s">
        <v>49</v>
      </c>
      <c r="H430">
        <v>10</v>
      </c>
      <c r="I430">
        <v>3829.38</v>
      </c>
      <c r="J430">
        <v>34464.420000000006</v>
      </c>
      <c r="K430">
        <v>3829.3800000000006</v>
      </c>
      <c r="L430">
        <v>38293.800000000003</v>
      </c>
      <c r="M430">
        <v>6892.884</v>
      </c>
      <c r="N430">
        <v>45186.684000000001</v>
      </c>
      <c r="O430" t="s">
        <v>87</v>
      </c>
      <c r="P430" t="s">
        <v>101</v>
      </c>
    </row>
    <row r="431" spans="1:16" x14ac:dyDescent="0.25">
      <c r="A431" s="2">
        <v>45190</v>
      </c>
      <c r="B431" t="s">
        <v>38</v>
      </c>
      <c r="C431" t="s">
        <v>54</v>
      </c>
      <c r="D431" t="s">
        <v>12</v>
      </c>
      <c r="E431" t="s">
        <v>18</v>
      </c>
      <c r="F431" t="s">
        <v>23</v>
      </c>
      <c r="G431" t="s">
        <v>24</v>
      </c>
      <c r="H431">
        <v>6</v>
      </c>
      <c r="I431">
        <v>470.36</v>
      </c>
      <c r="J431">
        <v>2539.944</v>
      </c>
      <c r="K431">
        <v>282.21600000000001</v>
      </c>
      <c r="L431">
        <v>2822.16</v>
      </c>
      <c r="M431">
        <v>507.98879999999997</v>
      </c>
      <c r="N431">
        <v>3330.1487999999999</v>
      </c>
      <c r="O431" t="s">
        <v>87</v>
      </c>
      <c r="P431" t="s">
        <v>100</v>
      </c>
    </row>
    <row r="432" spans="1:16" x14ac:dyDescent="0.25">
      <c r="A432" s="2">
        <v>45029</v>
      </c>
      <c r="B432" t="s">
        <v>43</v>
      </c>
      <c r="C432" t="s">
        <v>59</v>
      </c>
      <c r="D432" t="s">
        <v>66</v>
      </c>
      <c r="E432" t="s">
        <v>41</v>
      </c>
      <c r="F432" t="s">
        <v>32</v>
      </c>
      <c r="G432" t="s">
        <v>49</v>
      </c>
      <c r="H432">
        <v>12</v>
      </c>
      <c r="I432">
        <v>2489.14</v>
      </c>
      <c r="J432">
        <v>26882.712</v>
      </c>
      <c r="K432">
        <v>2986.9680000000003</v>
      </c>
      <c r="L432">
        <v>29869.68</v>
      </c>
      <c r="M432">
        <v>5376.5424000000003</v>
      </c>
      <c r="N432">
        <v>35246.222399999999</v>
      </c>
      <c r="O432" t="s">
        <v>87</v>
      </c>
      <c r="P432" t="s">
        <v>66</v>
      </c>
    </row>
    <row r="433" spans="1:16" x14ac:dyDescent="0.25">
      <c r="A433" s="2">
        <v>45157</v>
      </c>
      <c r="B433" t="s">
        <v>38</v>
      </c>
      <c r="C433" t="s">
        <v>54</v>
      </c>
      <c r="D433" t="s">
        <v>12</v>
      </c>
      <c r="E433" t="s">
        <v>18</v>
      </c>
      <c r="F433" t="s">
        <v>23</v>
      </c>
      <c r="G433" t="s">
        <v>47</v>
      </c>
      <c r="H433">
        <v>14</v>
      </c>
      <c r="I433">
        <v>1729.16</v>
      </c>
      <c r="J433">
        <v>21787.416000000001</v>
      </c>
      <c r="K433">
        <v>2420.8240000000001</v>
      </c>
      <c r="L433">
        <v>24208.240000000002</v>
      </c>
      <c r="M433">
        <v>4357.4832000000006</v>
      </c>
      <c r="N433">
        <v>28565.7232</v>
      </c>
      <c r="O433" t="s">
        <v>87</v>
      </c>
      <c r="P433" t="s">
        <v>100</v>
      </c>
    </row>
    <row r="434" spans="1:16" x14ac:dyDescent="0.25">
      <c r="A434" s="2">
        <v>45276</v>
      </c>
      <c r="B434" t="s">
        <v>10</v>
      </c>
      <c r="C434" t="s">
        <v>56</v>
      </c>
      <c r="D434" t="s">
        <v>12</v>
      </c>
      <c r="E434" t="s">
        <v>18</v>
      </c>
      <c r="F434" t="s">
        <v>19</v>
      </c>
      <c r="G434" t="s">
        <v>48</v>
      </c>
      <c r="H434">
        <v>2</v>
      </c>
      <c r="I434">
        <v>2789.92</v>
      </c>
      <c r="J434">
        <v>5021.8560000000007</v>
      </c>
      <c r="K434">
        <v>557.98400000000004</v>
      </c>
      <c r="L434">
        <v>5579.84</v>
      </c>
      <c r="M434">
        <v>1004.3712</v>
      </c>
      <c r="N434">
        <v>6584.2111999999997</v>
      </c>
      <c r="O434" t="s">
        <v>87</v>
      </c>
      <c r="P434" t="s">
        <v>100</v>
      </c>
    </row>
    <row r="435" spans="1:16" x14ac:dyDescent="0.25">
      <c r="A435" s="2">
        <v>45072</v>
      </c>
      <c r="B435" t="s">
        <v>34</v>
      </c>
      <c r="C435" t="s">
        <v>57</v>
      </c>
      <c r="D435" t="s">
        <v>22</v>
      </c>
      <c r="E435" t="s">
        <v>13</v>
      </c>
      <c r="F435" t="s">
        <v>23</v>
      </c>
      <c r="G435" t="s">
        <v>24</v>
      </c>
      <c r="H435">
        <v>17</v>
      </c>
      <c r="I435">
        <v>3244.79</v>
      </c>
      <c r="J435">
        <v>49645.287000000004</v>
      </c>
      <c r="K435">
        <v>5516.143</v>
      </c>
      <c r="L435">
        <v>55161.43</v>
      </c>
      <c r="M435">
        <v>9929.0573999999997</v>
      </c>
      <c r="N435">
        <v>65090.487399999998</v>
      </c>
      <c r="O435" t="s">
        <v>87</v>
      </c>
      <c r="P435" t="s">
        <v>99</v>
      </c>
    </row>
    <row r="436" spans="1:16" x14ac:dyDescent="0.25">
      <c r="A436" s="2">
        <v>44971</v>
      </c>
      <c r="B436" t="s">
        <v>21</v>
      </c>
      <c r="C436" t="s">
        <v>62</v>
      </c>
      <c r="D436" t="s">
        <v>65</v>
      </c>
      <c r="E436" t="s">
        <v>64</v>
      </c>
      <c r="F436" t="s">
        <v>19</v>
      </c>
      <c r="G436" t="s">
        <v>20</v>
      </c>
      <c r="H436">
        <v>20</v>
      </c>
      <c r="I436">
        <v>2155.17</v>
      </c>
      <c r="J436">
        <v>38793.060000000005</v>
      </c>
      <c r="K436">
        <v>4310.34</v>
      </c>
      <c r="L436">
        <v>43103.4</v>
      </c>
      <c r="M436">
        <v>7758.6120000000001</v>
      </c>
      <c r="N436">
        <v>50862.012000000002</v>
      </c>
      <c r="O436" t="s">
        <v>87</v>
      </c>
      <c r="P436" t="s">
        <v>101</v>
      </c>
    </row>
    <row r="437" spans="1:16" x14ac:dyDescent="0.25">
      <c r="A437" s="2">
        <v>45115</v>
      </c>
      <c r="B437" t="s">
        <v>40</v>
      </c>
      <c r="C437" t="s">
        <v>17</v>
      </c>
      <c r="D437" t="s">
        <v>65</v>
      </c>
      <c r="E437" t="s">
        <v>64</v>
      </c>
      <c r="F437" t="s">
        <v>27</v>
      </c>
      <c r="G437" t="s">
        <v>44</v>
      </c>
      <c r="H437">
        <v>13</v>
      </c>
      <c r="I437">
        <v>2526.1999999999998</v>
      </c>
      <c r="J437">
        <v>29556.54</v>
      </c>
      <c r="K437">
        <v>3284.06</v>
      </c>
      <c r="L437">
        <v>32840.6</v>
      </c>
      <c r="M437">
        <v>5911.3079999999991</v>
      </c>
      <c r="N437">
        <v>38751.907999999996</v>
      </c>
      <c r="O437" t="s">
        <v>87</v>
      </c>
      <c r="P437" t="s">
        <v>101</v>
      </c>
    </row>
    <row r="438" spans="1:16" x14ac:dyDescent="0.25">
      <c r="A438" s="2">
        <v>44950</v>
      </c>
      <c r="B438" t="s">
        <v>34</v>
      </c>
      <c r="C438" t="s">
        <v>55</v>
      </c>
      <c r="D438" t="s">
        <v>66</v>
      </c>
      <c r="E438" t="s">
        <v>41</v>
      </c>
      <c r="F438" t="s">
        <v>32</v>
      </c>
      <c r="G438" t="s">
        <v>36</v>
      </c>
      <c r="H438">
        <v>11</v>
      </c>
      <c r="I438">
        <v>1995.21</v>
      </c>
      <c r="J438">
        <v>19752.579000000002</v>
      </c>
      <c r="K438">
        <v>2194.7310000000002</v>
      </c>
      <c r="L438">
        <v>21947.31</v>
      </c>
      <c r="M438">
        <v>3950.5158000000001</v>
      </c>
      <c r="N438">
        <v>25897.825800000002</v>
      </c>
      <c r="O438" t="s">
        <v>87</v>
      </c>
      <c r="P438" t="s">
        <v>66</v>
      </c>
    </row>
    <row r="439" spans="1:16" x14ac:dyDescent="0.25">
      <c r="A439" s="2">
        <v>44968</v>
      </c>
      <c r="B439" t="s">
        <v>40</v>
      </c>
      <c r="C439" t="s">
        <v>35</v>
      </c>
      <c r="D439" t="s">
        <v>65</v>
      </c>
      <c r="E439" t="s">
        <v>64</v>
      </c>
      <c r="F439" t="s">
        <v>19</v>
      </c>
      <c r="G439" t="s">
        <v>20</v>
      </c>
      <c r="H439">
        <v>4</v>
      </c>
      <c r="I439">
        <v>1139.74</v>
      </c>
      <c r="J439">
        <v>4103.0640000000003</v>
      </c>
      <c r="K439">
        <v>455.89600000000002</v>
      </c>
      <c r="L439">
        <v>4558.96</v>
      </c>
      <c r="M439">
        <v>820.61279999999999</v>
      </c>
      <c r="N439">
        <v>5379.5727999999999</v>
      </c>
      <c r="O439" t="s">
        <v>87</v>
      </c>
      <c r="P439" t="s">
        <v>101</v>
      </c>
    </row>
    <row r="440" spans="1:16" x14ac:dyDescent="0.25">
      <c r="A440" s="2">
        <v>45137</v>
      </c>
      <c r="B440" t="s">
        <v>43</v>
      </c>
      <c r="C440" t="s">
        <v>61</v>
      </c>
      <c r="D440" t="s">
        <v>65</v>
      </c>
      <c r="E440" t="s">
        <v>64</v>
      </c>
      <c r="F440" t="s">
        <v>14</v>
      </c>
      <c r="G440" t="s">
        <v>51</v>
      </c>
      <c r="H440">
        <v>4</v>
      </c>
      <c r="I440">
        <v>3015.93</v>
      </c>
      <c r="J440">
        <v>10857.348</v>
      </c>
      <c r="K440">
        <v>1206.3720000000001</v>
      </c>
      <c r="L440">
        <v>12063.72</v>
      </c>
      <c r="M440">
        <v>2171.4695999999999</v>
      </c>
      <c r="N440">
        <v>14235.1896</v>
      </c>
      <c r="O440" t="s">
        <v>87</v>
      </c>
      <c r="P440" t="s">
        <v>101</v>
      </c>
    </row>
    <row r="441" spans="1:16" x14ac:dyDescent="0.25">
      <c r="A441" s="2">
        <v>45026</v>
      </c>
      <c r="B441" t="s">
        <v>40</v>
      </c>
      <c r="C441" t="s">
        <v>56</v>
      </c>
      <c r="D441" t="s">
        <v>12</v>
      </c>
      <c r="E441" t="s">
        <v>18</v>
      </c>
      <c r="F441" t="s">
        <v>23</v>
      </c>
      <c r="G441" t="s">
        <v>37</v>
      </c>
      <c r="H441">
        <v>4</v>
      </c>
      <c r="I441">
        <v>3831.39</v>
      </c>
      <c r="J441">
        <v>13793.003999999999</v>
      </c>
      <c r="K441">
        <v>1532.556</v>
      </c>
      <c r="L441">
        <v>15325.56</v>
      </c>
      <c r="M441">
        <v>2758.6007999999997</v>
      </c>
      <c r="N441">
        <v>18084.160799999998</v>
      </c>
      <c r="O441" t="s">
        <v>87</v>
      </c>
      <c r="P441" t="s">
        <v>100</v>
      </c>
    </row>
    <row r="442" spans="1:16" x14ac:dyDescent="0.25">
      <c r="A442" s="2">
        <v>45077</v>
      </c>
      <c r="B442" t="s">
        <v>10</v>
      </c>
      <c r="C442" t="s">
        <v>26</v>
      </c>
      <c r="D442" t="s">
        <v>12</v>
      </c>
      <c r="E442" t="s">
        <v>18</v>
      </c>
      <c r="F442" t="s">
        <v>23</v>
      </c>
      <c r="G442" t="s">
        <v>24</v>
      </c>
      <c r="H442">
        <v>7</v>
      </c>
      <c r="I442">
        <v>105.05</v>
      </c>
      <c r="J442">
        <v>661.81500000000005</v>
      </c>
      <c r="K442">
        <v>73.535000000000011</v>
      </c>
      <c r="L442">
        <v>735.35</v>
      </c>
      <c r="M442">
        <v>132.363</v>
      </c>
      <c r="N442">
        <v>867.71299999999997</v>
      </c>
      <c r="O442" t="s">
        <v>87</v>
      </c>
      <c r="P442" t="s">
        <v>100</v>
      </c>
    </row>
    <row r="443" spans="1:16" x14ac:dyDescent="0.25">
      <c r="A443" s="2">
        <v>45110</v>
      </c>
      <c r="B443" t="s">
        <v>16</v>
      </c>
      <c r="C443" t="s">
        <v>35</v>
      </c>
      <c r="D443" t="s">
        <v>65</v>
      </c>
      <c r="E443" t="s">
        <v>64</v>
      </c>
      <c r="F443" t="s">
        <v>19</v>
      </c>
      <c r="G443" t="s">
        <v>48</v>
      </c>
      <c r="H443">
        <v>11</v>
      </c>
      <c r="I443">
        <v>2416.1799999999998</v>
      </c>
      <c r="J443">
        <v>23920.182000000001</v>
      </c>
      <c r="K443">
        <v>2657.7980000000002</v>
      </c>
      <c r="L443">
        <v>26577.98</v>
      </c>
      <c r="M443">
        <v>4784.0364</v>
      </c>
      <c r="N443">
        <v>31362.0164</v>
      </c>
      <c r="O443" t="s">
        <v>87</v>
      </c>
      <c r="P443" t="s">
        <v>101</v>
      </c>
    </row>
    <row r="444" spans="1:16" x14ac:dyDescent="0.25">
      <c r="A444" s="2">
        <v>44941</v>
      </c>
      <c r="B444" t="s">
        <v>31</v>
      </c>
      <c r="C444" t="s">
        <v>35</v>
      </c>
      <c r="D444" t="s">
        <v>65</v>
      </c>
      <c r="E444" t="s">
        <v>64</v>
      </c>
      <c r="F444" t="s">
        <v>19</v>
      </c>
      <c r="G444" t="s">
        <v>48</v>
      </c>
      <c r="H444">
        <v>1</v>
      </c>
      <c r="I444">
        <v>549.14</v>
      </c>
      <c r="J444">
        <v>494.226</v>
      </c>
      <c r="K444">
        <v>54.914000000000001</v>
      </c>
      <c r="L444">
        <v>549.14</v>
      </c>
      <c r="M444">
        <v>98.845199999999991</v>
      </c>
      <c r="N444">
        <v>647.98519999999996</v>
      </c>
      <c r="O444" t="s">
        <v>87</v>
      </c>
      <c r="P444" t="s">
        <v>101</v>
      </c>
    </row>
    <row r="445" spans="1:16" x14ac:dyDescent="0.25">
      <c r="A445" s="2">
        <v>45076</v>
      </c>
      <c r="B445" t="s">
        <v>31</v>
      </c>
      <c r="C445" t="s">
        <v>55</v>
      </c>
      <c r="D445" t="s">
        <v>66</v>
      </c>
      <c r="E445" t="s">
        <v>41</v>
      </c>
      <c r="F445" t="s">
        <v>27</v>
      </c>
      <c r="G445" t="s">
        <v>28</v>
      </c>
      <c r="H445">
        <v>10</v>
      </c>
      <c r="I445">
        <v>3771.5</v>
      </c>
      <c r="J445">
        <v>33943.5</v>
      </c>
      <c r="K445">
        <v>3771.5</v>
      </c>
      <c r="L445">
        <v>37715</v>
      </c>
      <c r="M445">
        <v>6788.7</v>
      </c>
      <c r="N445">
        <v>44503.7</v>
      </c>
      <c r="O445" t="s">
        <v>87</v>
      </c>
      <c r="P445" t="s">
        <v>66</v>
      </c>
    </row>
    <row r="446" spans="1:16" x14ac:dyDescent="0.25">
      <c r="A446" s="2">
        <v>45213</v>
      </c>
      <c r="B446" t="s">
        <v>16</v>
      </c>
      <c r="C446" t="s">
        <v>35</v>
      </c>
      <c r="D446" t="s">
        <v>65</v>
      </c>
      <c r="E446" t="s">
        <v>64</v>
      </c>
      <c r="F446" t="s">
        <v>14</v>
      </c>
      <c r="G446" t="s">
        <v>51</v>
      </c>
      <c r="H446">
        <v>13</v>
      </c>
      <c r="I446">
        <v>956.49</v>
      </c>
      <c r="J446">
        <v>11190.933000000001</v>
      </c>
      <c r="K446">
        <v>1243.4370000000001</v>
      </c>
      <c r="L446">
        <v>12434.37</v>
      </c>
      <c r="M446">
        <v>2238.1866</v>
      </c>
      <c r="N446">
        <v>14672.5566</v>
      </c>
      <c r="O446" t="s">
        <v>87</v>
      </c>
      <c r="P446" t="s">
        <v>101</v>
      </c>
    </row>
    <row r="447" spans="1:16" x14ac:dyDescent="0.25">
      <c r="A447" s="2">
        <v>44956</v>
      </c>
      <c r="B447" t="s">
        <v>21</v>
      </c>
      <c r="C447" t="s">
        <v>54</v>
      </c>
      <c r="D447" t="s">
        <v>12</v>
      </c>
      <c r="E447" t="s">
        <v>18</v>
      </c>
      <c r="F447" t="s">
        <v>14</v>
      </c>
      <c r="G447" t="s">
        <v>45</v>
      </c>
      <c r="H447">
        <v>19</v>
      </c>
      <c r="I447">
        <v>3575.92</v>
      </c>
      <c r="J447">
        <v>61148.231999999996</v>
      </c>
      <c r="K447">
        <v>6794.2479999999996</v>
      </c>
      <c r="L447">
        <v>67942.48</v>
      </c>
      <c r="M447">
        <v>12229.6464</v>
      </c>
      <c r="N447">
        <v>80172.126399999994</v>
      </c>
      <c r="O447" t="s">
        <v>87</v>
      </c>
      <c r="P447" t="s">
        <v>100</v>
      </c>
    </row>
    <row r="448" spans="1:16" x14ac:dyDescent="0.25">
      <c r="A448" s="2">
        <v>45095</v>
      </c>
      <c r="B448" t="s">
        <v>40</v>
      </c>
      <c r="C448" t="s">
        <v>60</v>
      </c>
      <c r="D448" t="s">
        <v>12</v>
      </c>
      <c r="E448" t="s">
        <v>18</v>
      </c>
      <c r="F448" t="s">
        <v>32</v>
      </c>
      <c r="G448" t="s">
        <v>49</v>
      </c>
      <c r="H448">
        <v>8</v>
      </c>
      <c r="I448">
        <v>3971.12</v>
      </c>
      <c r="J448">
        <v>28592.063999999998</v>
      </c>
      <c r="K448">
        <v>3176.8960000000002</v>
      </c>
      <c r="L448">
        <v>31768.959999999999</v>
      </c>
      <c r="M448">
        <v>5718.4128000000001</v>
      </c>
      <c r="N448">
        <v>37487.372799999997</v>
      </c>
      <c r="O448" t="s">
        <v>87</v>
      </c>
      <c r="P448" t="s">
        <v>100</v>
      </c>
    </row>
    <row r="449" spans="1:16" x14ac:dyDescent="0.25">
      <c r="A449" s="2">
        <v>45160</v>
      </c>
      <c r="B449" t="s">
        <v>29</v>
      </c>
      <c r="C449" t="s">
        <v>55</v>
      </c>
      <c r="D449" t="s">
        <v>66</v>
      </c>
      <c r="E449" t="s">
        <v>41</v>
      </c>
      <c r="F449" t="s">
        <v>23</v>
      </c>
      <c r="G449" t="s">
        <v>39</v>
      </c>
      <c r="H449">
        <v>14</v>
      </c>
      <c r="I449">
        <v>3631.62</v>
      </c>
      <c r="J449">
        <v>45758.412000000004</v>
      </c>
      <c r="K449">
        <v>5084.268</v>
      </c>
      <c r="L449">
        <v>50842.68</v>
      </c>
      <c r="M449">
        <v>9151.6823999999997</v>
      </c>
      <c r="N449">
        <v>59994.362399999998</v>
      </c>
      <c r="O449" t="s">
        <v>87</v>
      </c>
      <c r="P449" t="s">
        <v>66</v>
      </c>
    </row>
    <row r="450" spans="1:16" x14ac:dyDescent="0.25">
      <c r="A450" s="2">
        <v>45047</v>
      </c>
      <c r="B450" t="s">
        <v>38</v>
      </c>
      <c r="C450" t="s">
        <v>11</v>
      </c>
      <c r="D450" t="s">
        <v>22</v>
      </c>
      <c r="E450" t="s">
        <v>13</v>
      </c>
      <c r="F450" t="s">
        <v>14</v>
      </c>
      <c r="G450" t="s">
        <v>45</v>
      </c>
      <c r="H450">
        <v>18</v>
      </c>
      <c r="I450">
        <v>2589.64</v>
      </c>
      <c r="J450">
        <v>41952.167999999998</v>
      </c>
      <c r="K450">
        <v>4661.3519999999999</v>
      </c>
      <c r="L450">
        <v>46613.52</v>
      </c>
      <c r="M450">
        <v>8390.4335999999985</v>
      </c>
      <c r="N450">
        <v>55003.953599999993</v>
      </c>
      <c r="O450" t="s">
        <v>87</v>
      </c>
      <c r="P450" t="s">
        <v>99</v>
      </c>
    </row>
    <row r="451" spans="1:16" x14ac:dyDescent="0.25">
      <c r="A451" s="2">
        <v>45173</v>
      </c>
      <c r="B451" t="s">
        <v>29</v>
      </c>
      <c r="C451" t="s">
        <v>60</v>
      </c>
      <c r="D451" t="s">
        <v>12</v>
      </c>
      <c r="E451" t="s">
        <v>18</v>
      </c>
      <c r="F451" t="s">
        <v>27</v>
      </c>
      <c r="G451" t="s">
        <v>44</v>
      </c>
      <c r="H451">
        <v>2</v>
      </c>
      <c r="I451">
        <v>2713.34</v>
      </c>
      <c r="J451">
        <v>4884.0120000000006</v>
      </c>
      <c r="K451">
        <v>542.66800000000001</v>
      </c>
      <c r="L451">
        <v>5426.68</v>
      </c>
      <c r="M451">
        <v>976.80240000000003</v>
      </c>
      <c r="N451">
        <v>6403.4824000000008</v>
      </c>
      <c r="O451" t="s">
        <v>87</v>
      </c>
      <c r="P451" t="s">
        <v>100</v>
      </c>
    </row>
    <row r="452" spans="1:16" x14ac:dyDescent="0.25">
      <c r="A452" s="2">
        <v>45259</v>
      </c>
      <c r="B452" t="s">
        <v>31</v>
      </c>
      <c r="C452" t="s">
        <v>54</v>
      </c>
      <c r="D452" t="s">
        <v>12</v>
      </c>
      <c r="E452" t="s">
        <v>18</v>
      </c>
      <c r="F452" t="s">
        <v>19</v>
      </c>
      <c r="G452" t="s">
        <v>20</v>
      </c>
      <c r="H452">
        <v>17</v>
      </c>
      <c r="I452">
        <v>1294.56</v>
      </c>
      <c r="J452">
        <v>19806.768</v>
      </c>
      <c r="K452">
        <v>2200.752</v>
      </c>
      <c r="L452">
        <v>22007.52</v>
      </c>
      <c r="M452">
        <v>3961.3535999999999</v>
      </c>
      <c r="N452">
        <v>25968.873599999999</v>
      </c>
      <c r="O452" t="s">
        <v>87</v>
      </c>
      <c r="P452" t="s">
        <v>100</v>
      </c>
    </row>
    <row r="453" spans="1:16" x14ac:dyDescent="0.25">
      <c r="A453" s="2">
        <v>45229</v>
      </c>
      <c r="B453" t="s">
        <v>29</v>
      </c>
      <c r="C453" t="s">
        <v>26</v>
      </c>
      <c r="D453" t="s">
        <v>12</v>
      </c>
      <c r="E453" t="s">
        <v>18</v>
      </c>
      <c r="F453" t="s">
        <v>19</v>
      </c>
      <c r="G453" t="s">
        <v>20</v>
      </c>
      <c r="H453">
        <v>8</v>
      </c>
      <c r="I453">
        <v>1171.53</v>
      </c>
      <c r="J453">
        <v>8435.0159999999996</v>
      </c>
      <c r="K453">
        <v>937.22400000000005</v>
      </c>
      <c r="L453">
        <v>9372.24</v>
      </c>
      <c r="M453">
        <v>1687.0031999999999</v>
      </c>
      <c r="N453">
        <v>11059.243199999999</v>
      </c>
      <c r="O453" t="s">
        <v>87</v>
      </c>
      <c r="P453" t="s">
        <v>100</v>
      </c>
    </row>
    <row r="454" spans="1:16" x14ac:dyDescent="0.25">
      <c r="A454" s="2">
        <v>44943</v>
      </c>
      <c r="B454" t="s">
        <v>38</v>
      </c>
      <c r="C454" t="s">
        <v>58</v>
      </c>
      <c r="D454" t="s">
        <v>12</v>
      </c>
      <c r="E454" t="s">
        <v>18</v>
      </c>
      <c r="F454" t="s">
        <v>23</v>
      </c>
      <c r="G454" t="s">
        <v>47</v>
      </c>
      <c r="H454">
        <v>15</v>
      </c>
      <c r="I454">
        <v>4060.63</v>
      </c>
      <c r="J454">
        <v>54818.504999999997</v>
      </c>
      <c r="K454">
        <v>6090.9449999999997</v>
      </c>
      <c r="L454">
        <v>60909.45</v>
      </c>
      <c r="M454">
        <v>10963.700999999999</v>
      </c>
      <c r="N454">
        <v>71873.150999999998</v>
      </c>
      <c r="O454" t="s">
        <v>87</v>
      </c>
      <c r="P454" t="s">
        <v>100</v>
      </c>
    </row>
    <row r="455" spans="1:16" x14ac:dyDescent="0.25">
      <c r="A455" s="2">
        <v>45028</v>
      </c>
      <c r="B455" t="s">
        <v>31</v>
      </c>
      <c r="C455" t="s">
        <v>11</v>
      </c>
      <c r="D455" t="s">
        <v>22</v>
      </c>
      <c r="E455" t="s">
        <v>13</v>
      </c>
      <c r="F455" t="s">
        <v>27</v>
      </c>
      <c r="G455" t="s">
        <v>28</v>
      </c>
      <c r="H455">
        <v>4</v>
      </c>
      <c r="I455">
        <v>442.23</v>
      </c>
      <c r="J455">
        <v>1592.028</v>
      </c>
      <c r="K455">
        <v>176.89200000000002</v>
      </c>
      <c r="L455">
        <v>1768.92</v>
      </c>
      <c r="M455">
        <v>318.40559999999999</v>
      </c>
      <c r="N455">
        <v>2087.3256000000001</v>
      </c>
      <c r="O455" t="s">
        <v>87</v>
      </c>
      <c r="P455" t="s">
        <v>99</v>
      </c>
    </row>
    <row r="456" spans="1:16" x14ac:dyDescent="0.25">
      <c r="A456" s="2">
        <v>45260</v>
      </c>
      <c r="B456" t="s">
        <v>38</v>
      </c>
      <c r="C456" t="s">
        <v>11</v>
      </c>
      <c r="D456" t="s">
        <v>22</v>
      </c>
      <c r="E456" t="s">
        <v>13</v>
      </c>
      <c r="F456" t="s">
        <v>19</v>
      </c>
      <c r="G456" t="s">
        <v>30</v>
      </c>
      <c r="H456">
        <v>5</v>
      </c>
      <c r="I456">
        <v>3725.36</v>
      </c>
      <c r="J456">
        <v>16764.12</v>
      </c>
      <c r="K456">
        <v>1862.68</v>
      </c>
      <c r="L456">
        <v>18626.8</v>
      </c>
      <c r="M456">
        <v>3352.8239999999996</v>
      </c>
      <c r="N456">
        <v>21979.624</v>
      </c>
      <c r="O456" t="s">
        <v>87</v>
      </c>
      <c r="P456" t="s">
        <v>99</v>
      </c>
    </row>
    <row r="457" spans="1:16" x14ac:dyDescent="0.25">
      <c r="A457" s="2">
        <v>44940</v>
      </c>
      <c r="B457" t="s">
        <v>38</v>
      </c>
      <c r="C457" t="s">
        <v>35</v>
      </c>
      <c r="D457" t="s">
        <v>65</v>
      </c>
      <c r="E457" t="s">
        <v>64</v>
      </c>
      <c r="F457" t="s">
        <v>23</v>
      </c>
      <c r="G457" t="s">
        <v>24</v>
      </c>
      <c r="H457">
        <v>20</v>
      </c>
      <c r="I457">
        <v>2974.89</v>
      </c>
      <c r="J457">
        <v>53548.020000000004</v>
      </c>
      <c r="K457">
        <v>5949.7800000000007</v>
      </c>
      <c r="L457">
        <v>59497.8</v>
      </c>
      <c r="M457">
        <v>10709.603999999999</v>
      </c>
      <c r="N457">
        <v>70207.40400000001</v>
      </c>
      <c r="O457" t="s">
        <v>87</v>
      </c>
      <c r="P457" t="s">
        <v>101</v>
      </c>
    </row>
    <row r="458" spans="1:16" x14ac:dyDescent="0.25">
      <c r="A458" s="2">
        <v>45110</v>
      </c>
      <c r="B458" t="s">
        <v>38</v>
      </c>
      <c r="C458" t="s">
        <v>55</v>
      </c>
      <c r="D458" t="s">
        <v>66</v>
      </c>
      <c r="E458" t="s">
        <v>41</v>
      </c>
      <c r="F458" t="s">
        <v>23</v>
      </c>
      <c r="G458" t="s">
        <v>47</v>
      </c>
      <c r="H458">
        <v>1</v>
      </c>
      <c r="I458">
        <v>1717.6</v>
      </c>
      <c r="J458">
        <v>1545.84</v>
      </c>
      <c r="K458">
        <v>171.76</v>
      </c>
      <c r="L458">
        <v>1717.6</v>
      </c>
      <c r="M458">
        <v>309.16799999999995</v>
      </c>
      <c r="N458">
        <v>2026.7679999999998</v>
      </c>
      <c r="O458" t="s">
        <v>87</v>
      </c>
      <c r="P458" t="s">
        <v>66</v>
      </c>
    </row>
    <row r="459" spans="1:16" x14ac:dyDescent="0.25">
      <c r="A459" s="2">
        <v>44991</v>
      </c>
      <c r="B459" t="s">
        <v>34</v>
      </c>
      <c r="C459" t="s">
        <v>26</v>
      </c>
      <c r="D459" t="s">
        <v>12</v>
      </c>
      <c r="E459" t="s">
        <v>18</v>
      </c>
      <c r="F459" t="s">
        <v>14</v>
      </c>
      <c r="G459" t="s">
        <v>53</v>
      </c>
      <c r="H459">
        <v>5</v>
      </c>
      <c r="I459">
        <v>2849.56</v>
      </c>
      <c r="J459">
        <v>12823.02</v>
      </c>
      <c r="K459">
        <v>1424.78</v>
      </c>
      <c r="L459">
        <v>14247.8</v>
      </c>
      <c r="M459">
        <v>2564.6039999999998</v>
      </c>
      <c r="N459">
        <v>16812.403999999999</v>
      </c>
      <c r="O459" t="s">
        <v>87</v>
      </c>
      <c r="P459" t="s">
        <v>100</v>
      </c>
    </row>
    <row r="460" spans="1:16" x14ac:dyDescent="0.25">
      <c r="A460" s="2">
        <v>45190</v>
      </c>
      <c r="B460" t="s">
        <v>10</v>
      </c>
      <c r="C460" t="s">
        <v>60</v>
      </c>
      <c r="D460" t="s">
        <v>12</v>
      </c>
      <c r="E460" t="s">
        <v>18</v>
      </c>
      <c r="F460" t="s">
        <v>19</v>
      </c>
      <c r="G460" t="s">
        <v>20</v>
      </c>
      <c r="H460">
        <v>18</v>
      </c>
      <c r="I460">
        <v>4150.7700000000004</v>
      </c>
      <c r="J460">
        <v>67242.474000000002</v>
      </c>
      <c r="K460">
        <v>7471.3860000000004</v>
      </c>
      <c r="L460">
        <v>74713.86</v>
      </c>
      <c r="M460">
        <v>13448.4948</v>
      </c>
      <c r="N460">
        <v>88162.354800000001</v>
      </c>
      <c r="O460" t="s">
        <v>87</v>
      </c>
      <c r="P460" t="s">
        <v>100</v>
      </c>
    </row>
    <row r="461" spans="1:16" x14ac:dyDescent="0.25">
      <c r="A461" s="2">
        <v>45134</v>
      </c>
      <c r="B461" t="s">
        <v>34</v>
      </c>
      <c r="C461" t="s">
        <v>59</v>
      </c>
      <c r="D461" t="s">
        <v>66</v>
      </c>
      <c r="E461" t="s">
        <v>41</v>
      </c>
      <c r="F461" t="s">
        <v>19</v>
      </c>
      <c r="G461" t="s">
        <v>52</v>
      </c>
      <c r="H461">
        <v>18</v>
      </c>
      <c r="I461">
        <v>2490.14</v>
      </c>
      <c r="J461">
        <v>40340.267999999996</v>
      </c>
      <c r="K461">
        <v>4482.2519999999995</v>
      </c>
      <c r="L461">
        <v>44822.52</v>
      </c>
      <c r="M461">
        <v>8068.0535999999993</v>
      </c>
      <c r="N461">
        <v>52890.573599999996</v>
      </c>
      <c r="O461" t="s">
        <v>87</v>
      </c>
      <c r="P461" t="s">
        <v>66</v>
      </c>
    </row>
    <row r="462" spans="1:16" x14ac:dyDescent="0.25">
      <c r="A462" s="2">
        <v>44945</v>
      </c>
      <c r="B462" t="s">
        <v>34</v>
      </c>
      <c r="C462" t="s">
        <v>61</v>
      </c>
      <c r="D462" t="s">
        <v>65</v>
      </c>
      <c r="E462" t="s">
        <v>64</v>
      </c>
      <c r="F462" t="s">
        <v>19</v>
      </c>
      <c r="G462" t="s">
        <v>20</v>
      </c>
      <c r="H462">
        <v>17</v>
      </c>
      <c r="I462">
        <v>500.54</v>
      </c>
      <c r="J462">
        <v>7658.2620000000006</v>
      </c>
      <c r="K462">
        <v>850.91800000000012</v>
      </c>
      <c r="L462">
        <v>8509.18</v>
      </c>
      <c r="M462">
        <v>1531.6523999999999</v>
      </c>
      <c r="N462">
        <v>10040.832399999999</v>
      </c>
      <c r="O462" t="s">
        <v>87</v>
      </c>
      <c r="P462" t="s">
        <v>101</v>
      </c>
    </row>
    <row r="463" spans="1:16" x14ac:dyDescent="0.25">
      <c r="A463" s="2">
        <v>45091</v>
      </c>
      <c r="B463" t="s">
        <v>43</v>
      </c>
      <c r="C463" t="s">
        <v>58</v>
      </c>
      <c r="D463" t="s">
        <v>12</v>
      </c>
      <c r="E463" t="s">
        <v>18</v>
      </c>
      <c r="F463" t="s">
        <v>32</v>
      </c>
      <c r="G463" t="s">
        <v>49</v>
      </c>
      <c r="H463">
        <v>19</v>
      </c>
      <c r="I463">
        <v>1067.94</v>
      </c>
      <c r="J463">
        <v>18261.774000000001</v>
      </c>
      <c r="K463">
        <v>2029.0860000000002</v>
      </c>
      <c r="L463">
        <v>20290.86</v>
      </c>
      <c r="M463">
        <v>3652.3548000000001</v>
      </c>
      <c r="N463">
        <v>23943.214800000002</v>
      </c>
      <c r="O463" t="s">
        <v>87</v>
      </c>
      <c r="P463" t="s">
        <v>100</v>
      </c>
    </row>
    <row r="464" spans="1:16" x14ac:dyDescent="0.25">
      <c r="A464" s="2">
        <v>45244</v>
      </c>
      <c r="B464" t="s">
        <v>43</v>
      </c>
      <c r="C464" t="s">
        <v>62</v>
      </c>
      <c r="D464" t="s">
        <v>65</v>
      </c>
      <c r="E464" t="s">
        <v>64</v>
      </c>
      <c r="F464" t="s">
        <v>27</v>
      </c>
      <c r="G464" t="s">
        <v>44</v>
      </c>
      <c r="H464">
        <v>7</v>
      </c>
      <c r="I464">
        <v>2264.87</v>
      </c>
      <c r="J464">
        <v>14268.681</v>
      </c>
      <c r="K464">
        <v>1585.4090000000001</v>
      </c>
      <c r="L464">
        <v>15854.09</v>
      </c>
      <c r="M464">
        <v>2853.7361999999998</v>
      </c>
      <c r="N464">
        <v>18707.8262</v>
      </c>
      <c r="O464" t="s">
        <v>87</v>
      </c>
      <c r="P464" t="s">
        <v>101</v>
      </c>
    </row>
    <row r="465" spans="1:16" x14ac:dyDescent="0.25">
      <c r="A465" s="2">
        <v>44969</v>
      </c>
      <c r="B465" t="s">
        <v>16</v>
      </c>
      <c r="C465" t="s">
        <v>61</v>
      </c>
      <c r="D465" t="s">
        <v>65</v>
      </c>
      <c r="E465" t="s">
        <v>64</v>
      </c>
      <c r="F465" t="s">
        <v>27</v>
      </c>
      <c r="G465" t="s">
        <v>42</v>
      </c>
      <c r="H465">
        <v>18</v>
      </c>
      <c r="I465">
        <v>2584.0700000000002</v>
      </c>
      <c r="J465">
        <v>41861.934000000001</v>
      </c>
      <c r="K465">
        <v>4651.326</v>
      </c>
      <c r="L465">
        <v>46513.26</v>
      </c>
      <c r="M465">
        <v>8372.3868000000002</v>
      </c>
      <c r="N465">
        <v>54885.646800000002</v>
      </c>
      <c r="O465" t="s">
        <v>87</v>
      </c>
      <c r="P465" t="s">
        <v>101</v>
      </c>
    </row>
    <row r="466" spans="1:16" x14ac:dyDescent="0.25">
      <c r="A466" s="2">
        <v>45091</v>
      </c>
      <c r="B466" t="s">
        <v>43</v>
      </c>
      <c r="C466" t="s">
        <v>54</v>
      </c>
      <c r="D466" t="s">
        <v>12</v>
      </c>
      <c r="E466" t="s">
        <v>18</v>
      </c>
      <c r="F466" t="s">
        <v>19</v>
      </c>
      <c r="G466" t="s">
        <v>48</v>
      </c>
      <c r="H466">
        <v>13</v>
      </c>
      <c r="I466">
        <v>4621.13</v>
      </c>
      <c r="J466">
        <v>54067.221000000005</v>
      </c>
      <c r="K466">
        <v>6007.469000000001</v>
      </c>
      <c r="L466">
        <v>60074.69</v>
      </c>
      <c r="M466">
        <v>10813.4442</v>
      </c>
      <c r="N466">
        <v>70888.1342</v>
      </c>
      <c r="O466" t="s">
        <v>87</v>
      </c>
      <c r="P466" t="s">
        <v>100</v>
      </c>
    </row>
    <row r="467" spans="1:16" x14ac:dyDescent="0.25">
      <c r="A467" s="2">
        <v>45181</v>
      </c>
      <c r="B467" t="s">
        <v>16</v>
      </c>
      <c r="C467" t="s">
        <v>61</v>
      </c>
      <c r="D467" t="s">
        <v>65</v>
      </c>
      <c r="E467" t="s">
        <v>64</v>
      </c>
      <c r="F467" t="s">
        <v>27</v>
      </c>
      <c r="G467" t="s">
        <v>28</v>
      </c>
      <c r="H467">
        <v>16</v>
      </c>
      <c r="I467">
        <v>4826.2</v>
      </c>
      <c r="J467">
        <v>69497.279999999999</v>
      </c>
      <c r="K467">
        <v>7721.92</v>
      </c>
      <c r="L467">
        <v>77219.199999999997</v>
      </c>
      <c r="M467">
        <v>13899.455999999998</v>
      </c>
      <c r="N467">
        <v>91118.655999999988</v>
      </c>
      <c r="O467" t="s">
        <v>87</v>
      </c>
      <c r="P467" t="s">
        <v>101</v>
      </c>
    </row>
    <row r="468" spans="1:16" x14ac:dyDescent="0.25">
      <c r="A468" s="2">
        <v>45082</v>
      </c>
      <c r="B468" t="s">
        <v>29</v>
      </c>
      <c r="C468" t="s">
        <v>57</v>
      </c>
      <c r="D468" t="s">
        <v>22</v>
      </c>
      <c r="E468" t="s">
        <v>13</v>
      </c>
      <c r="F468" t="s">
        <v>32</v>
      </c>
      <c r="G468" t="s">
        <v>36</v>
      </c>
      <c r="H468">
        <v>5</v>
      </c>
      <c r="I468">
        <v>4773.5600000000004</v>
      </c>
      <c r="J468">
        <v>21481.02</v>
      </c>
      <c r="K468">
        <v>2386.7800000000002</v>
      </c>
      <c r="L468">
        <v>23867.8</v>
      </c>
      <c r="M468">
        <v>4296.2039999999997</v>
      </c>
      <c r="N468">
        <v>28164.004000000001</v>
      </c>
      <c r="O468" t="s">
        <v>87</v>
      </c>
      <c r="P468" t="s">
        <v>99</v>
      </c>
    </row>
    <row r="469" spans="1:16" x14ac:dyDescent="0.25">
      <c r="A469" s="2">
        <v>45075</v>
      </c>
      <c r="B469" t="s">
        <v>43</v>
      </c>
      <c r="C469" t="s">
        <v>55</v>
      </c>
      <c r="D469" t="s">
        <v>66</v>
      </c>
      <c r="E469" t="s">
        <v>41</v>
      </c>
      <c r="F469" t="s">
        <v>27</v>
      </c>
      <c r="G469" t="s">
        <v>44</v>
      </c>
      <c r="H469">
        <v>9</v>
      </c>
      <c r="I469">
        <v>3220.44</v>
      </c>
      <c r="J469">
        <v>26085.563999999998</v>
      </c>
      <c r="K469">
        <v>2898.3960000000002</v>
      </c>
      <c r="L469">
        <v>28983.96</v>
      </c>
      <c r="M469">
        <v>5217.1127999999999</v>
      </c>
      <c r="N469">
        <v>34201.072800000002</v>
      </c>
      <c r="O469" t="s">
        <v>87</v>
      </c>
      <c r="P469" t="s">
        <v>66</v>
      </c>
    </row>
    <row r="470" spans="1:16" x14ac:dyDescent="0.25">
      <c r="A470" s="2">
        <v>44953</v>
      </c>
      <c r="B470" t="s">
        <v>43</v>
      </c>
      <c r="C470" t="s">
        <v>56</v>
      </c>
      <c r="D470" t="s">
        <v>12</v>
      </c>
      <c r="E470" t="s">
        <v>18</v>
      </c>
      <c r="F470" t="s">
        <v>27</v>
      </c>
      <c r="G470" t="s">
        <v>42</v>
      </c>
      <c r="H470">
        <v>15</v>
      </c>
      <c r="I470">
        <v>4945.79</v>
      </c>
      <c r="J470">
        <v>66768.165000000008</v>
      </c>
      <c r="K470">
        <v>7418.6850000000013</v>
      </c>
      <c r="L470">
        <v>74186.850000000006</v>
      </c>
      <c r="M470">
        <v>13353.633</v>
      </c>
      <c r="N470">
        <v>87540.483000000007</v>
      </c>
      <c r="O470" t="s">
        <v>87</v>
      </c>
      <c r="P470" t="s">
        <v>100</v>
      </c>
    </row>
    <row r="471" spans="1:16" x14ac:dyDescent="0.25">
      <c r="A471" s="2">
        <v>44965</v>
      </c>
      <c r="B471" t="s">
        <v>25</v>
      </c>
      <c r="C471" t="s">
        <v>17</v>
      </c>
      <c r="D471" t="s">
        <v>65</v>
      </c>
      <c r="E471" t="s">
        <v>64</v>
      </c>
      <c r="F471" t="s">
        <v>23</v>
      </c>
      <c r="G471" t="s">
        <v>47</v>
      </c>
      <c r="H471">
        <v>14</v>
      </c>
      <c r="I471">
        <v>2355.56</v>
      </c>
      <c r="J471">
        <v>29680.055999999997</v>
      </c>
      <c r="K471">
        <v>3297.7839999999997</v>
      </c>
      <c r="L471">
        <v>32977.839999999997</v>
      </c>
      <c r="M471">
        <v>5936.011199999999</v>
      </c>
      <c r="N471">
        <v>38913.851199999997</v>
      </c>
      <c r="O471" t="s">
        <v>87</v>
      </c>
      <c r="P471" t="s">
        <v>101</v>
      </c>
    </row>
    <row r="472" spans="1:16" x14ac:dyDescent="0.25">
      <c r="A472" s="2">
        <v>45277</v>
      </c>
      <c r="B472" t="s">
        <v>16</v>
      </c>
      <c r="C472" t="s">
        <v>35</v>
      </c>
      <c r="D472" t="s">
        <v>65</v>
      </c>
      <c r="E472" t="s">
        <v>64</v>
      </c>
      <c r="F472" t="s">
        <v>23</v>
      </c>
      <c r="G472" t="s">
        <v>37</v>
      </c>
      <c r="H472">
        <v>4</v>
      </c>
      <c r="I472">
        <v>4412.41</v>
      </c>
      <c r="J472">
        <v>15884.675999999999</v>
      </c>
      <c r="K472">
        <v>1764.9639999999999</v>
      </c>
      <c r="L472">
        <v>17649.64</v>
      </c>
      <c r="M472">
        <v>3176.9351999999999</v>
      </c>
      <c r="N472">
        <v>20826.575199999999</v>
      </c>
      <c r="O472" t="s">
        <v>87</v>
      </c>
      <c r="P472" t="s">
        <v>101</v>
      </c>
    </row>
    <row r="473" spans="1:16" x14ac:dyDescent="0.25">
      <c r="A473" s="2">
        <v>45011</v>
      </c>
      <c r="B473" t="s">
        <v>38</v>
      </c>
      <c r="C473" t="s">
        <v>58</v>
      </c>
      <c r="D473" t="s">
        <v>12</v>
      </c>
      <c r="E473" t="s">
        <v>18</v>
      </c>
      <c r="F473" t="s">
        <v>19</v>
      </c>
      <c r="G473" t="s">
        <v>48</v>
      </c>
      <c r="H473">
        <v>5</v>
      </c>
      <c r="I473">
        <v>355.6</v>
      </c>
      <c r="J473">
        <v>1600.2</v>
      </c>
      <c r="K473">
        <v>177.8</v>
      </c>
      <c r="L473">
        <v>1778</v>
      </c>
      <c r="M473">
        <v>320.03999999999996</v>
      </c>
      <c r="N473">
        <v>2098.04</v>
      </c>
      <c r="O473" t="s">
        <v>87</v>
      </c>
      <c r="P473" t="s">
        <v>100</v>
      </c>
    </row>
    <row r="474" spans="1:16" x14ac:dyDescent="0.25">
      <c r="A474" s="2">
        <v>45168</v>
      </c>
      <c r="B474" t="s">
        <v>25</v>
      </c>
      <c r="C474" t="s">
        <v>11</v>
      </c>
      <c r="D474" t="s">
        <v>22</v>
      </c>
      <c r="E474" t="s">
        <v>13</v>
      </c>
      <c r="F474" t="s">
        <v>32</v>
      </c>
      <c r="G474" t="s">
        <v>33</v>
      </c>
      <c r="H474">
        <v>12</v>
      </c>
      <c r="I474">
        <v>4405.1899999999996</v>
      </c>
      <c r="J474">
        <v>47576.052000000003</v>
      </c>
      <c r="K474">
        <v>5286.2280000000001</v>
      </c>
      <c r="L474">
        <v>52862.28</v>
      </c>
      <c r="M474">
        <v>9515.2103999999999</v>
      </c>
      <c r="N474">
        <v>62377.490399999995</v>
      </c>
      <c r="O474" t="s">
        <v>87</v>
      </c>
      <c r="P474" t="s">
        <v>99</v>
      </c>
    </row>
    <row r="475" spans="1:16" x14ac:dyDescent="0.25">
      <c r="A475" s="2">
        <v>45123</v>
      </c>
      <c r="B475" t="s">
        <v>16</v>
      </c>
      <c r="C475" t="s">
        <v>26</v>
      </c>
      <c r="D475" t="s">
        <v>12</v>
      </c>
      <c r="E475" t="s">
        <v>18</v>
      </c>
      <c r="F475" t="s">
        <v>27</v>
      </c>
      <c r="G475" t="s">
        <v>42</v>
      </c>
      <c r="H475">
        <v>9</v>
      </c>
      <c r="I475">
        <v>877.89</v>
      </c>
      <c r="J475">
        <v>7110.9090000000006</v>
      </c>
      <c r="K475">
        <v>790.10100000000011</v>
      </c>
      <c r="L475">
        <v>7901.01</v>
      </c>
      <c r="M475">
        <v>1422.1818000000001</v>
      </c>
      <c r="N475">
        <v>9323.1918000000005</v>
      </c>
      <c r="O475" t="s">
        <v>87</v>
      </c>
      <c r="P475" t="s">
        <v>100</v>
      </c>
    </row>
    <row r="476" spans="1:16" x14ac:dyDescent="0.25">
      <c r="A476" s="2">
        <v>45195</v>
      </c>
      <c r="B476" t="s">
        <v>16</v>
      </c>
      <c r="C476" t="s">
        <v>63</v>
      </c>
      <c r="D476" t="s">
        <v>65</v>
      </c>
      <c r="E476" t="s">
        <v>64</v>
      </c>
      <c r="F476" t="s">
        <v>23</v>
      </c>
      <c r="G476" t="s">
        <v>37</v>
      </c>
      <c r="H476">
        <v>1</v>
      </c>
      <c r="I476">
        <v>2970.66</v>
      </c>
      <c r="J476">
        <v>2673.5940000000001</v>
      </c>
      <c r="K476">
        <v>297.06599999999997</v>
      </c>
      <c r="L476">
        <v>2970.66</v>
      </c>
      <c r="M476">
        <v>534.71879999999999</v>
      </c>
      <c r="N476">
        <v>3505.3788</v>
      </c>
      <c r="O476" t="s">
        <v>87</v>
      </c>
      <c r="P476" t="s">
        <v>101</v>
      </c>
    </row>
    <row r="477" spans="1:16" x14ac:dyDescent="0.25">
      <c r="A477" s="2">
        <v>44940</v>
      </c>
      <c r="B477" t="s">
        <v>34</v>
      </c>
      <c r="C477" t="s">
        <v>11</v>
      </c>
      <c r="D477" t="s">
        <v>22</v>
      </c>
      <c r="E477" t="s">
        <v>13</v>
      </c>
      <c r="F477" t="s">
        <v>14</v>
      </c>
      <c r="G477" t="s">
        <v>51</v>
      </c>
      <c r="H477">
        <v>15</v>
      </c>
      <c r="I477">
        <v>3579.98</v>
      </c>
      <c r="J477">
        <v>48329.729999999996</v>
      </c>
      <c r="K477">
        <v>5369.97</v>
      </c>
      <c r="L477">
        <v>53699.7</v>
      </c>
      <c r="M477">
        <v>9665.9459999999999</v>
      </c>
      <c r="N477">
        <v>63365.645999999993</v>
      </c>
      <c r="O477" t="s">
        <v>87</v>
      </c>
      <c r="P477" t="s">
        <v>99</v>
      </c>
    </row>
    <row r="478" spans="1:16" x14ac:dyDescent="0.25">
      <c r="A478" s="2">
        <v>45204</v>
      </c>
      <c r="B478" t="s">
        <v>43</v>
      </c>
      <c r="C478" t="s">
        <v>63</v>
      </c>
      <c r="D478" t="s">
        <v>65</v>
      </c>
      <c r="E478" t="s">
        <v>64</v>
      </c>
      <c r="F478" t="s">
        <v>32</v>
      </c>
      <c r="G478" t="s">
        <v>36</v>
      </c>
      <c r="H478">
        <v>9</v>
      </c>
      <c r="I478">
        <v>1605.02</v>
      </c>
      <c r="J478">
        <v>13000.662</v>
      </c>
      <c r="K478">
        <v>1444.518</v>
      </c>
      <c r="L478">
        <v>14445.18</v>
      </c>
      <c r="M478">
        <v>2600.1324</v>
      </c>
      <c r="N478">
        <v>17045.312399999999</v>
      </c>
      <c r="O478" t="s">
        <v>87</v>
      </c>
      <c r="P478" t="s">
        <v>101</v>
      </c>
    </row>
    <row r="479" spans="1:16" x14ac:dyDescent="0.25">
      <c r="A479" s="2">
        <v>45230</v>
      </c>
      <c r="B479" t="s">
        <v>10</v>
      </c>
      <c r="C479" t="s">
        <v>56</v>
      </c>
      <c r="D479" t="s">
        <v>12</v>
      </c>
      <c r="E479" t="s">
        <v>18</v>
      </c>
      <c r="F479" t="s">
        <v>32</v>
      </c>
      <c r="G479" t="s">
        <v>33</v>
      </c>
      <c r="H479">
        <v>12</v>
      </c>
      <c r="I479">
        <v>1982.64</v>
      </c>
      <c r="J479">
        <v>21412.512000000002</v>
      </c>
      <c r="K479">
        <v>2379.1680000000001</v>
      </c>
      <c r="L479">
        <v>23791.68</v>
      </c>
      <c r="M479">
        <v>4282.5024000000003</v>
      </c>
      <c r="N479">
        <v>28074.182400000002</v>
      </c>
      <c r="O479" t="s">
        <v>87</v>
      </c>
      <c r="P479" t="s">
        <v>100</v>
      </c>
    </row>
    <row r="480" spans="1:16" x14ac:dyDescent="0.25">
      <c r="A480" s="2">
        <v>45034</v>
      </c>
      <c r="B480" t="s">
        <v>40</v>
      </c>
      <c r="C480" t="s">
        <v>63</v>
      </c>
      <c r="D480" t="s">
        <v>65</v>
      </c>
      <c r="E480" t="s">
        <v>64</v>
      </c>
      <c r="F480" t="s">
        <v>19</v>
      </c>
      <c r="G480" t="s">
        <v>52</v>
      </c>
      <c r="H480">
        <v>20</v>
      </c>
      <c r="I480">
        <v>3195.53</v>
      </c>
      <c r="J480">
        <v>57519.54</v>
      </c>
      <c r="K480">
        <v>6391.06</v>
      </c>
      <c r="L480">
        <v>63910.6</v>
      </c>
      <c r="M480">
        <v>11503.907999999999</v>
      </c>
      <c r="N480">
        <v>75414.508000000002</v>
      </c>
      <c r="O480" t="s">
        <v>87</v>
      </c>
      <c r="P480" t="s">
        <v>101</v>
      </c>
    </row>
    <row r="481" spans="1:16" x14ac:dyDescent="0.25">
      <c r="A481" s="2">
        <v>45116</v>
      </c>
      <c r="B481" t="s">
        <v>43</v>
      </c>
      <c r="C481" t="s">
        <v>35</v>
      </c>
      <c r="D481" t="s">
        <v>65</v>
      </c>
      <c r="E481" t="s">
        <v>64</v>
      </c>
      <c r="F481" t="s">
        <v>27</v>
      </c>
      <c r="G481" t="s">
        <v>44</v>
      </c>
      <c r="H481">
        <v>20</v>
      </c>
      <c r="I481">
        <v>1580.59</v>
      </c>
      <c r="J481">
        <v>28450.62</v>
      </c>
      <c r="K481">
        <v>3161.1800000000003</v>
      </c>
      <c r="L481">
        <v>31611.8</v>
      </c>
      <c r="M481">
        <v>5690.1239999999998</v>
      </c>
      <c r="N481">
        <v>37301.923999999999</v>
      </c>
      <c r="O481" t="s">
        <v>87</v>
      </c>
      <c r="P481" t="s">
        <v>101</v>
      </c>
    </row>
    <row r="482" spans="1:16" x14ac:dyDescent="0.25">
      <c r="A482" s="2">
        <v>45224</v>
      </c>
      <c r="B482" t="s">
        <v>25</v>
      </c>
      <c r="C482" t="s">
        <v>62</v>
      </c>
      <c r="D482" t="s">
        <v>65</v>
      </c>
      <c r="E482" t="s">
        <v>64</v>
      </c>
      <c r="F482" t="s">
        <v>32</v>
      </c>
      <c r="G482" t="s">
        <v>49</v>
      </c>
      <c r="H482">
        <v>6</v>
      </c>
      <c r="I482">
        <v>809.57</v>
      </c>
      <c r="J482">
        <v>4371.6779999999999</v>
      </c>
      <c r="K482">
        <v>485.74200000000002</v>
      </c>
      <c r="L482">
        <v>4857.42</v>
      </c>
      <c r="M482">
        <v>874.3356</v>
      </c>
      <c r="N482">
        <v>5731.7556000000004</v>
      </c>
      <c r="O482" t="s">
        <v>87</v>
      </c>
      <c r="P482" t="s">
        <v>101</v>
      </c>
    </row>
    <row r="483" spans="1:16" x14ac:dyDescent="0.25">
      <c r="A483" s="2">
        <v>44978</v>
      </c>
      <c r="B483" t="s">
        <v>34</v>
      </c>
      <c r="C483" t="s">
        <v>59</v>
      </c>
      <c r="D483" t="s">
        <v>66</v>
      </c>
      <c r="E483" t="s">
        <v>41</v>
      </c>
      <c r="F483" t="s">
        <v>19</v>
      </c>
      <c r="G483" t="s">
        <v>30</v>
      </c>
      <c r="H483">
        <v>6</v>
      </c>
      <c r="I483">
        <v>1221.52</v>
      </c>
      <c r="J483">
        <v>6596.2079999999996</v>
      </c>
      <c r="K483">
        <v>732.91200000000003</v>
      </c>
      <c r="L483">
        <v>7329.12</v>
      </c>
      <c r="M483">
        <v>1319.2415999999998</v>
      </c>
      <c r="N483">
        <v>8648.3616000000002</v>
      </c>
      <c r="O483" t="s">
        <v>87</v>
      </c>
      <c r="P483" t="s">
        <v>66</v>
      </c>
    </row>
    <row r="484" spans="1:16" x14ac:dyDescent="0.25">
      <c r="A484" s="2">
        <v>45143</v>
      </c>
      <c r="B484" t="s">
        <v>21</v>
      </c>
      <c r="C484" t="s">
        <v>57</v>
      </c>
      <c r="D484" t="s">
        <v>22</v>
      </c>
      <c r="E484" t="s">
        <v>13</v>
      </c>
      <c r="F484" t="s">
        <v>14</v>
      </c>
      <c r="G484" t="s">
        <v>15</v>
      </c>
      <c r="H484">
        <v>4</v>
      </c>
      <c r="I484">
        <v>2457.5</v>
      </c>
      <c r="J484">
        <v>8847</v>
      </c>
      <c r="K484">
        <v>983</v>
      </c>
      <c r="L484">
        <v>9830</v>
      </c>
      <c r="M484">
        <v>1769.3999999999999</v>
      </c>
      <c r="N484">
        <v>11599.4</v>
      </c>
      <c r="O484" t="s">
        <v>87</v>
      </c>
      <c r="P484" t="s">
        <v>99</v>
      </c>
    </row>
    <row r="485" spans="1:16" x14ac:dyDescent="0.25">
      <c r="A485" s="2">
        <v>45145</v>
      </c>
      <c r="B485" t="s">
        <v>21</v>
      </c>
      <c r="C485" t="s">
        <v>62</v>
      </c>
      <c r="D485" t="s">
        <v>65</v>
      </c>
      <c r="E485" t="s">
        <v>64</v>
      </c>
      <c r="F485" t="s">
        <v>19</v>
      </c>
      <c r="G485" t="s">
        <v>52</v>
      </c>
      <c r="H485">
        <v>12</v>
      </c>
      <c r="I485">
        <v>2820.88</v>
      </c>
      <c r="J485">
        <v>30465.503999999997</v>
      </c>
      <c r="K485">
        <v>3385.056</v>
      </c>
      <c r="L485">
        <v>33850.559999999998</v>
      </c>
      <c r="M485">
        <v>6093.1007999999993</v>
      </c>
      <c r="N485">
        <v>39943.660799999998</v>
      </c>
      <c r="O485" t="s">
        <v>87</v>
      </c>
      <c r="P485" t="s">
        <v>101</v>
      </c>
    </row>
    <row r="486" spans="1:16" x14ac:dyDescent="0.25">
      <c r="A486" s="2">
        <v>45054</v>
      </c>
      <c r="B486" t="s">
        <v>40</v>
      </c>
      <c r="C486" t="s">
        <v>26</v>
      </c>
      <c r="D486" t="s">
        <v>12</v>
      </c>
      <c r="E486" t="s">
        <v>18</v>
      </c>
      <c r="F486" t="s">
        <v>19</v>
      </c>
      <c r="G486" t="s">
        <v>20</v>
      </c>
      <c r="H486">
        <v>10</v>
      </c>
      <c r="I486">
        <v>1512.64</v>
      </c>
      <c r="J486">
        <v>13613.76</v>
      </c>
      <c r="K486">
        <v>1512.64</v>
      </c>
      <c r="L486">
        <v>15126.4</v>
      </c>
      <c r="M486">
        <v>2722.752</v>
      </c>
      <c r="N486">
        <v>17849.151999999998</v>
      </c>
      <c r="O486" t="s">
        <v>87</v>
      </c>
      <c r="P486" t="s">
        <v>100</v>
      </c>
    </row>
    <row r="487" spans="1:16" x14ac:dyDescent="0.25">
      <c r="A487" s="2">
        <v>45034</v>
      </c>
      <c r="B487" t="s">
        <v>31</v>
      </c>
      <c r="C487" t="s">
        <v>58</v>
      </c>
      <c r="D487" t="s">
        <v>12</v>
      </c>
      <c r="E487" t="s">
        <v>18</v>
      </c>
      <c r="F487" t="s">
        <v>27</v>
      </c>
      <c r="G487" t="s">
        <v>28</v>
      </c>
      <c r="H487">
        <v>5</v>
      </c>
      <c r="I487">
        <v>3199.14</v>
      </c>
      <c r="J487">
        <v>14396.130000000001</v>
      </c>
      <c r="K487">
        <v>1599.5700000000002</v>
      </c>
      <c r="L487">
        <v>15995.7</v>
      </c>
      <c r="M487">
        <v>2879.2260000000001</v>
      </c>
      <c r="N487">
        <v>18874.925999999999</v>
      </c>
      <c r="O487" t="s">
        <v>87</v>
      </c>
      <c r="P487" t="s">
        <v>100</v>
      </c>
    </row>
    <row r="488" spans="1:16" x14ac:dyDescent="0.25">
      <c r="A488" s="2">
        <v>45251</v>
      </c>
      <c r="B488" t="s">
        <v>10</v>
      </c>
      <c r="C488" t="s">
        <v>35</v>
      </c>
      <c r="D488" t="s">
        <v>65</v>
      </c>
      <c r="E488" t="s">
        <v>64</v>
      </c>
      <c r="F488" t="s">
        <v>32</v>
      </c>
      <c r="G488" t="s">
        <v>50</v>
      </c>
      <c r="H488">
        <v>11</v>
      </c>
      <c r="I488">
        <v>4315</v>
      </c>
      <c r="J488">
        <v>42718.5</v>
      </c>
      <c r="K488">
        <v>4746.5</v>
      </c>
      <c r="L488">
        <v>47465</v>
      </c>
      <c r="M488">
        <v>8543.6999999999989</v>
      </c>
      <c r="N488">
        <v>56008.7</v>
      </c>
      <c r="O488" t="s">
        <v>87</v>
      </c>
      <c r="P488" t="s">
        <v>101</v>
      </c>
    </row>
    <row r="489" spans="1:16" x14ac:dyDescent="0.25">
      <c r="A489" s="2">
        <v>45235</v>
      </c>
      <c r="B489" t="s">
        <v>16</v>
      </c>
      <c r="C489" t="s">
        <v>11</v>
      </c>
      <c r="D489" t="s">
        <v>22</v>
      </c>
      <c r="E489" t="s">
        <v>13</v>
      </c>
      <c r="F489" t="s">
        <v>27</v>
      </c>
      <c r="G489" t="s">
        <v>44</v>
      </c>
      <c r="H489">
        <v>9</v>
      </c>
      <c r="I489">
        <v>2118.17</v>
      </c>
      <c r="J489">
        <v>17157.177</v>
      </c>
      <c r="K489">
        <v>1906.3530000000001</v>
      </c>
      <c r="L489">
        <v>19063.53</v>
      </c>
      <c r="M489">
        <v>3431.4353999999998</v>
      </c>
      <c r="N489">
        <v>22494.965399999997</v>
      </c>
      <c r="O489" t="s">
        <v>87</v>
      </c>
      <c r="P489" t="s">
        <v>99</v>
      </c>
    </row>
    <row r="490" spans="1:16" x14ac:dyDescent="0.25">
      <c r="A490" s="2">
        <v>44930</v>
      </c>
      <c r="B490" t="s">
        <v>43</v>
      </c>
      <c r="C490" t="s">
        <v>58</v>
      </c>
      <c r="D490" t="s">
        <v>12</v>
      </c>
      <c r="E490" t="s">
        <v>18</v>
      </c>
      <c r="F490" t="s">
        <v>19</v>
      </c>
      <c r="G490" t="s">
        <v>30</v>
      </c>
      <c r="H490">
        <v>18</v>
      </c>
      <c r="I490">
        <v>1042.99</v>
      </c>
      <c r="J490">
        <v>16896.438000000002</v>
      </c>
      <c r="K490">
        <v>1877.3820000000001</v>
      </c>
      <c r="L490">
        <v>18773.82</v>
      </c>
      <c r="M490">
        <v>3379.2875999999997</v>
      </c>
      <c r="N490">
        <v>22153.107599999999</v>
      </c>
      <c r="O490" t="s">
        <v>87</v>
      </c>
      <c r="P490" t="s">
        <v>100</v>
      </c>
    </row>
    <row r="491" spans="1:16" x14ac:dyDescent="0.25">
      <c r="A491" s="2">
        <v>45247</v>
      </c>
      <c r="B491" t="s">
        <v>16</v>
      </c>
      <c r="C491" t="s">
        <v>61</v>
      </c>
      <c r="D491" t="s">
        <v>65</v>
      </c>
      <c r="E491" t="s">
        <v>64</v>
      </c>
      <c r="F491" t="s">
        <v>32</v>
      </c>
      <c r="G491" t="s">
        <v>50</v>
      </c>
      <c r="H491">
        <v>6</v>
      </c>
      <c r="I491">
        <v>4707.38</v>
      </c>
      <c r="J491">
        <v>25419.851999999999</v>
      </c>
      <c r="K491">
        <v>2824.4279999999999</v>
      </c>
      <c r="L491">
        <v>28244.28</v>
      </c>
      <c r="M491">
        <v>5083.9703999999992</v>
      </c>
      <c r="N491">
        <v>33328.250399999997</v>
      </c>
      <c r="O491" t="s">
        <v>87</v>
      </c>
      <c r="P491" t="s">
        <v>101</v>
      </c>
    </row>
    <row r="492" spans="1:16" x14ac:dyDescent="0.25">
      <c r="A492" s="2">
        <v>45246</v>
      </c>
      <c r="B492" t="s">
        <v>29</v>
      </c>
      <c r="C492" t="s">
        <v>11</v>
      </c>
      <c r="D492" t="s">
        <v>22</v>
      </c>
      <c r="E492" t="s">
        <v>13</v>
      </c>
      <c r="F492" t="s">
        <v>27</v>
      </c>
      <c r="G492" t="s">
        <v>44</v>
      </c>
      <c r="H492">
        <v>8</v>
      </c>
      <c r="I492">
        <v>360.87</v>
      </c>
      <c r="J492">
        <v>2598.2640000000001</v>
      </c>
      <c r="K492">
        <v>288.69600000000003</v>
      </c>
      <c r="L492">
        <v>2886.96</v>
      </c>
      <c r="M492">
        <v>519.65279999999996</v>
      </c>
      <c r="N492">
        <v>3406.6127999999999</v>
      </c>
      <c r="O492" t="s">
        <v>87</v>
      </c>
      <c r="P492" t="s">
        <v>99</v>
      </c>
    </row>
    <row r="493" spans="1:16" x14ac:dyDescent="0.25">
      <c r="A493" s="2">
        <v>44965</v>
      </c>
      <c r="B493" t="s">
        <v>25</v>
      </c>
      <c r="C493" t="s">
        <v>56</v>
      </c>
      <c r="D493" t="s">
        <v>12</v>
      </c>
      <c r="E493" t="s">
        <v>18</v>
      </c>
      <c r="F493" t="s">
        <v>19</v>
      </c>
      <c r="G493" t="s">
        <v>48</v>
      </c>
      <c r="H493">
        <v>12</v>
      </c>
      <c r="I493">
        <v>2519.65</v>
      </c>
      <c r="J493">
        <v>27212.22</v>
      </c>
      <c r="K493">
        <v>3023.58</v>
      </c>
      <c r="L493">
        <v>30235.8</v>
      </c>
      <c r="M493">
        <v>5442.4439999999995</v>
      </c>
      <c r="N493">
        <v>35678.243999999999</v>
      </c>
      <c r="O493" t="s">
        <v>87</v>
      </c>
      <c r="P493" t="s">
        <v>100</v>
      </c>
    </row>
    <row r="494" spans="1:16" x14ac:dyDescent="0.25">
      <c r="A494" s="2">
        <v>45116</v>
      </c>
      <c r="B494" t="s">
        <v>21</v>
      </c>
      <c r="C494" t="s">
        <v>58</v>
      </c>
      <c r="D494" t="s">
        <v>12</v>
      </c>
      <c r="E494" t="s">
        <v>18</v>
      </c>
      <c r="F494" t="s">
        <v>19</v>
      </c>
      <c r="G494" t="s">
        <v>30</v>
      </c>
      <c r="H494">
        <v>7</v>
      </c>
      <c r="I494">
        <v>2861.67</v>
      </c>
      <c r="J494">
        <v>18028.521000000001</v>
      </c>
      <c r="K494">
        <v>2003.1689999999999</v>
      </c>
      <c r="L494">
        <v>20031.689999999999</v>
      </c>
      <c r="M494">
        <v>3605.7041999999997</v>
      </c>
      <c r="N494">
        <v>23637.394199999999</v>
      </c>
      <c r="O494" t="s">
        <v>87</v>
      </c>
      <c r="P494" t="s">
        <v>100</v>
      </c>
    </row>
    <row r="495" spans="1:16" x14ac:dyDescent="0.25">
      <c r="A495" s="2">
        <v>45104</v>
      </c>
      <c r="B495" t="s">
        <v>21</v>
      </c>
      <c r="C495" t="s">
        <v>26</v>
      </c>
      <c r="D495" t="s">
        <v>12</v>
      </c>
      <c r="E495" t="s">
        <v>18</v>
      </c>
      <c r="F495" t="s">
        <v>27</v>
      </c>
      <c r="G495" t="s">
        <v>42</v>
      </c>
      <c r="H495">
        <v>11</v>
      </c>
      <c r="I495">
        <v>4896.83</v>
      </c>
      <c r="J495">
        <v>48478.616999999998</v>
      </c>
      <c r="K495">
        <v>5386.5129999999999</v>
      </c>
      <c r="L495">
        <v>53865.13</v>
      </c>
      <c r="M495">
        <v>9695.7233999999989</v>
      </c>
      <c r="N495">
        <v>63560.853399999993</v>
      </c>
      <c r="O495" t="s">
        <v>87</v>
      </c>
      <c r="P495" t="s">
        <v>100</v>
      </c>
    </row>
    <row r="496" spans="1:16" x14ac:dyDescent="0.25">
      <c r="A496" s="2">
        <v>45091</v>
      </c>
      <c r="B496" t="s">
        <v>16</v>
      </c>
      <c r="C496" t="s">
        <v>35</v>
      </c>
      <c r="D496" t="s">
        <v>65</v>
      </c>
      <c r="E496" t="s">
        <v>64</v>
      </c>
      <c r="F496" t="s">
        <v>32</v>
      </c>
      <c r="G496" t="s">
        <v>36</v>
      </c>
      <c r="H496">
        <v>15</v>
      </c>
      <c r="I496">
        <v>4180.6099999999997</v>
      </c>
      <c r="J496">
        <v>56438.235000000001</v>
      </c>
      <c r="K496">
        <v>6270.9150000000009</v>
      </c>
      <c r="L496">
        <v>62709.15</v>
      </c>
      <c r="M496">
        <v>11287.646999999999</v>
      </c>
      <c r="N496">
        <v>73996.797000000006</v>
      </c>
      <c r="O496" t="s">
        <v>87</v>
      </c>
      <c r="P496" t="s">
        <v>101</v>
      </c>
    </row>
    <row r="497" spans="1:16" x14ac:dyDescent="0.25">
      <c r="A497" s="2">
        <v>45271</v>
      </c>
      <c r="B497" t="s">
        <v>31</v>
      </c>
      <c r="C497" t="s">
        <v>61</v>
      </c>
      <c r="D497" t="s">
        <v>65</v>
      </c>
      <c r="E497" t="s">
        <v>64</v>
      </c>
      <c r="F497" t="s">
        <v>27</v>
      </c>
      <c r="G497" t="s">
        <v>28</v>
      </c>
      <c r="H497">
        <v>2</v>
      </c>
      <c r="I497">
        <v>3747.71</v>
      </c>
      <c r="J497">
        <v>6745.8780000000006</v>
      </c>
      <c r="K497">
        <v>749.54200000000003</v>
      </c>
      <c r="L497">
        <v>7495.42</v>
      </c>
      <c r="M497">
        <v>1349.1756</v>
      </c>
      <c r="N497">
        <v>8844.5956000000006</v>
      </c>
      <c r="O497" t="s">
        <v>87</v>
      </c>
      <c r="P497" t="s">
        <v>101</v>
      </c>
    </row>
    <row r="498" spans="1:16" x14ac:dyDescent="0.25">
      <c r="A498" s="2">
        <v>45153</v>
      </c>
      <c r="B498" t="s">
        <v>40</v>
      </c>
      <c r="C498" t="s">
        <v>61</v>
      </c>
      <c r="D498" t="s">
        <v>65</v>
      </c>
      <c r="E498" t="s">
        <v>64</v>
      </c>
      <c r="F498" t="s">
        <v>19</v>
      </c>
      <c r="G498" t="s">
        <v>48</v>
      </c>
      <c r="H498">
        <v>3</v>
      </c>
      <c r="I498">
        <v>2792.38</v>
      </c>
      <c r="J498">
        <v>7539.4259999999995</v>
      </c>
      <c r="K498">
        <v>837.71399999999994</v>
      </c>
      <c r="L498">
        <v>8377.14</v>
      </c>
      <c r="M498">
        <v>1507.8851999999999</v>
      </c>
      <c r="N498">
        <v>9885.0252</v>
      </c>
      <c r="O498" t="s">
        <v>87</v>
      </c>
      <c r="P498" t="s">
        <v>101</v>
      </c>
    </row>
    <row r="499" spans="1:16" x14ac:dyDescent="0.25">
      <c r="A499" s="2">
        <v>45264</v>
      </c>
      <c r="B499" t="s">
        <v>29</v>
      </c>
      <c r="C499" t="s">
        <v>26</v>
      </c>
      <c r="D499" t="s">
        <v>12</v>
      </c>
      <c r="E499" t="s">
        <v>18</v>
      </c>
      <c r="F499" t="s">
        <v>32</v>
      </c>
      <c r="G499" t="s">
        <v>36</v>
      </c>
      <c r="H499">
        <v>17</v>
      </c>
      <c r="I499">
        <v>683.31</v>
      </c>
      <c r="J499">
        <v>10454.643</v>
      </c>
      <c r="K499">
        <v>1161.6270000000002</v>
      </c>
      <c r="L499">
        <v>11616.27</v>
      </c>
      <c r="M499">
        <v>2090.9286000000002</v>
      </c>
      <c r="N499">
        <v>13707.1986</v>
      </c>
      <c r="O499" t="s">
        <v>87</v>
      </c>
      <c r="P499" t="s">
        <v>100</v>
      </c>
    </row>
    <row r="500" spans="1:16" x14ac:dyDescent="0.25">
      <c r="A500" s="2">
        <v>44929</v>
      </c>
      <c r="B500" t="s">
        <v>31</v>
      </c>
      <c r="C500" t="s">
        <v>26</v>
      </c>
      <c r="D500" t="s">
        <v>12</v>
      </c>
      <c r="E500" t="s">
        <v>18</v>
      </c>
      <c r="F500" t="s">
        <v>23</v>
      </c>
      <c r="G500" t="s">
        <v>39</v>
      </c>
      <c r="H500">
        <v>20</v>
      </c>
      <c r="I500">
        <v>3463.6</v>
      </c>
      <c r="J500">
        <v>62344.800000000003</v>
      </c>
      <c r="K500">
        <v>6927.2000000000007</v>
      </c>
      <c r="L500">
        <v>69272</v>
      </c>
      <c r="M500">
        <v>12468.96</v>
      </c>
      <c r="N500">
        <v>81740.959999999992</v>
      </c>
      <c r="O500" t="s">
        <v>87</v>
      </c>
      <c r="P500" t="s">
        <v>100</v>
      </c>
    </row>
    <row r="501" spans="1:16" x14ac:dyDescent="0.25">
      <c r="A501" s="2">
        <v>45183</v>
      </c>
      <c r="B501" t="s">
        <v>25</v>
      </c>
      <c r="C501" t="s">
        <v>57</v>
      </c>
      <c r="D501" t="s">
        <v>22</v>
      </c>
      <c r="E501" t="s">
        <v>13</v>
      </c>
      <c r="F501" t="s">
        <v>19</v>
      </c>
      <c r="G501" t="s">
        <v>52</v>
      </c>
      <c r="H501">
        <v>9</v>
      </c>
      <c r="I501">
        <v>1609.98</v>
      </c>
      <c r="J501">
        <v>13040.838</v>
      </c>
      <c r="K501">
        <v>1448.982</v>
      </c>
      <c r="L501">
        <v>14489.82</v>
      </c>
      <c r="M501">
        <v>2608.1675999999998</v>
      </c>
      <c r="N501">
        <v>17097.9876</v>
      </c>
      <c r="O501" t="s">
        <v>87</v>
      </c>
      <c r="P501" t="s">
        <v>99</v>
      </c>
    </row>
    <row r="502" spans="1:16" x14ac:dyDescent="0.25">
      <c r="A502" s="2">
        <v>45113</v>
      </c>
      <c r="B502" t="s">
        <v>16</v>
      </c>
      <c r="C502" t="s">
        <v>26</v>
      </c>
      <c r="D502" t="s">
        <v>12</v>
      </c>
      <c r="E502" t="s">
        <v>18</v>
      </c>
      <c r="F502" t="s">
        <v>19</v>
      </c>
      <c r="G502" t="s">
        <v>48</v>
      </c>
      <c r="H502">
        <v>4</v>
      </c>
      <c r="I502">
        <v>2836.34</v>
      </c>
      <c r="J502">
        <v>10210.824000000001</v>
      </c>
      <c r="K502">
        <v>1134.5360000000001</v>
      </c>
      <c r="L502">
        <v>11345.36</v>
      </c>
      <c r="M502">
        <v>2042.1648</v>
      </c>
      <c r="N502">
        <v>13387.524800000001</v>
      </c>
      <c r="O502" t="s">
        <v>87</v>
      </c>
      <c r="P502" t="s">
        <v>100</v>
      </c>
    </row>
    <row r="503" spans="1:16" x14ac:dyDescent="0.25">
      <c r="A503" s="2">
        <v>44956</v>
      </c>
      <c r="B503" t="s">
        <v>38</v>
      </c>
      <c r="C503" t="s">
        <v>35</v>
      </c>
      <c r="D503" t="s">
        <v>65</v>
      </c>
      <c r="E503" t="s">
        <v>64</v>
      </c>
      <c r="F503" t="s">
        <v>32</v>
      </c>
      <c r="G503" t="s">
        <v>49</v>
      </c>
      <c r="H503">
        <v>18</v>
      </c>
      <c r="I503">
        <v>3238.98</v>
      </c>
      <c r="J503">
        <v>52471.476000000002</v>
      </c>
      <c r="K503">
        <v>5830.1640000000007</v>
      </c>
      <c r="L503">
        <v>58301.64</v>
      </c>
      <c r="M503">
        <v>10494.295199999999</v>
      </c>
      <c r="N503">
        <v>68795.935199999993</v>
      </c>
      <c r="O503" t="s">
        <v>87</v>
      </c>
      <c r="P503" t="s">
        <v>101</v>
      </c>
    </row>
    <row r="504" spans="1:16" x14ac:dyDescent="0.25">
      <c r="A504" s="2">
        <v>45152</v>
      </c>
      <c r="B504" t="s">
        <v>25</v>
      </c>
      <c r="C504" t="s">
        <v>57</v>
      </c>
      <c r="D504" t="s">
        <v>22</v>
      </c>
      <c r="E504" t="s">
        <v>13</v>
      </c>
      <c r="F504" t="s">
        <v>14</v>
      </c>
      <c r="G504" t="s">
        <v>51</v>
      </c>
      <c r="H504">
        <v>20</v>
      </c>
      <c r="I504">
        <v>2791.25</v>
      </c>
      <c r="J504">
        <v>50242.5</v>
      </c>
      <c r="K504">
        <v>5582.5</v>
      </c>
      <c r="L504">
        <v>55825</v>
      </c>
      <c r="M504">
        <v>10048.5</v>
      </c>
      <c r="N504">
        <v>65873.5</v>
      </c>
      <c r="O504" t="s">
        <v>87</v>
      </c>
      <c r="P504" t="s">
        <v>99</v>
      </c>
    </row>
    <row r="505" spans="1:16" x14ac:dyDescent="0.25">
      <c r="A505" s="2">
        <v>45276</v>
      </c>
      <c r="B505" t="s">
        <v>16</v>
      </c>
      <c r="C505" t="s">
        <v>60</v>
      </c>
      <c r="D505" t="s">
        <v>12</v>
      </c>
      <c r="E505" t="s">
        <v>18</v>
      </c>
      <c r="F505" t="s">
        <v>23</v>
      </c>
      <c r="G505" t="s">
        <v>24</v>
      </c>
      <c r="H505">
        <v>1</v>
      </c>
      <c r="I505">
        <v>3165.04</v>
      </c>
      <c r="J505">
        <v>2848.5360000000001</v>
      </c>
      <c r="K505">
        <v>316.50400000000002</v>
      </c>
      <c r="L505">
        <v>3165.04</v>
      </c>
      <c r="M505">
        <v>569.70719999999994</v>
      </c>
      <c r="N505">
        <v>3734.7471999999998</v>
      </c>
      <c r="O505" t="s">
        <v>87</v>
      </c>
      <c r="P505" t="s">
        <v>100</v>
      </c>
    </row>
    <row r="506" spans="1:16" x14ac:dyDescent="0.25">
      <c r="A506" s="2">
        <v>45206</v>
      </c>
      <c r="B506" t="s">
        <v>16</v>
      </c>
      <c r="C506" t="s">
        <v>11</v>
      </c>
      <c r="D506" t="s">
        <v>22</v>
      </c>
      <c r="E506" t="s">
        <v>13</v>
      </c>
      <c r="F506" t="s">
        <v>19</v>
      </c>
      <c r="G506" t="s">
        <v>20</v>
      </c>
      <c r="H506">
        <v>14</v>
      </c>
      <c r="I506">
        <v>3414.59</v>
      </c>
      <c r="J506">
        <v>43023.834000000003</v>
      </c>
      <c r="K506">
        <v>4780.4260000000004</v>
      </c>
      <c r="L506">
        <v>47804.26</v>
      </c>
      <c r="M506">
        <v>8604.7667999999994</v>
      </c>
      <c r="N506">
        <v>56409.0268</v>
      </c>
      <c r="O506" t="s">
        <v>87</v>
      </c>
      <c r="P506" t="s">
        <v>99</v>
      </c>
    </row>
    <row r="507" spans="1:16" x14ac:dyDescent="0.25">
      <c r="A507" s="2">
        <v>45210</v>
      </c>
      <c r="B507" t="s">
        <v>34</v>
      </c>
      <c r="C507" t="s">
        <v>59</v>
      </c>
      <c r="D507" t="s">
        <v>66</v>
      </c>
      <c r="E507" t="s">
        <v>41</v>
      </c>
      <c r="F507" t="s">
        <v>32</v>
      </c>
      <c r="G507" t="s">
        <v>49</v>
      </c>
      <c r="H507">
        <v>4</v>
      </c>
      <c r="I507">
        <v>3896.69</v>
      </c>
      <c r="J507">
        <v>14028.084000000001</v>
      </c>
      <c r="K507">
        <v>1558.6760000000002</v>
      </c>
      <c r="L507">
        <v>15586.76</v>
      </c>
      <c r="M507">
        <v>2805.6167999999998</v>
      </c>
      <c r="N507">
        <v>18392.376799999998</v>
      </c>
      <c r="O507" t="s">
        <v>87</v>
      </c>
      <c r="P507" t="s">
        <v>66</v>
      </c>
    </row>
    <row r="508" spans="1:16" x14ac:dyDescent="0.25">
      <c r="A508" s="2">
        <v>45165</v>
      </c>
      <c r="B508" t="s">
        <v>25</v>
      </c>
      <c r="C508" t="s">
        <v>55</v>
      </c>
      <c r="D508" t="s">
        <v>66</v>
      </c>
      <c r="E508" t="s">
        <v>41</v>
      </c>
      <c r="F508" t="s">
        <v>23</v>
      </c>
      <c r="G508" t="s">
        <v>47</v>
      </c>
      <c r="H508">
        <v>5</v>
      </c>
      <c r="I508">
        <v>2024.36</v>
      </c>
      <c r="J508">
        <v>9109.619999999999</v>
      </c>
      <c r="K508">
        <v>1012.18</v>
      </c>
      <c r="L508">
        <v>10121.799999999999</v>
      </c>
      <c r="M508">
        <v>1821.9239999999998</v>
      </c>
      <c r="N508">
        <v>11943.723999999998</v>
      </c>
      <c r="O508" t="s">
        <v>87</v>
      </c>
      <c r="P508" t="s">
        <v>66</v>
      </c>
    </row>
    <row r="509" spans="1:16" x14ac:dyDescent="0.25">
      <c r="A509" s="2">
        <v>45148</v>
      </c>
      <c r="B509" t="s">
        <v>29</v>
      </c>
      <c r="C509" t="s">
        <v>58</v>
      </c>
      <c r="D509" t="s">
        <v>12</v>
      </c>
      <c r="E509" t="s">
        <v>18</v>
      </c>
      <c r="F509" t="s">
        <v>23</v>
      </c>
      <c r="G509" t="s">
        <v>24</v>
      </c>
      <c r="H509">
        <v>17</v>
      </c>
      <c r="I509">
        <v>102.62</v>
      </c>
      <c r="J509">
        <v>1570.086</v>
      </c>
      <c r="K509">
        <v>174.45400000000001</v>
      </c>
      <c r="L509">
        <v>1744.54</v>
      </c>
      <c r="M509">
        <v>314.0172</v>
      </c>
      <c r="N509">
        <v>2058.5572000000002</v>
      </c>
      <c r="O509" t="s">
        <v>87</v>
      </c>
      <c r="P509" t="s">
        <v>100</v>
      </c>
    </row>
    <row r="510" spans="1:16" x14ac:dyDescent="0.25">
      <c r="A510" s="2">
        <v>44985</v>
      </c>
      <c r="B510" t="s">
        <v>25</v>
      </c>
      <c r="C510" t="s">
        <v>60</v>
      </c>
      <c r="D510" t="s">
        <v>12</v>
      </c>
      <c r="E510" t="s">
        <v>18</v>
      </c>
      <c r="F510" t="s">
        <v>19</v>
      </c>
      <c r="G510" t="s">
        <v>20</v>
      </c>
      <c r="H510">
        <v>7</v>
      </c>
      <c r="I510">
        <v>146.52000000000001</v>
      </c>
      <c r="J510">
        <v>923.07600000000014</v>
      </c>
      <c r="K510">
        <v>102.56400000000002</v>
      </c>
      <c r="L510">
        <v>1025.6400000000001</v>
      </c>
      <c r="M510">
        <v>184.61520000000002</v>
      </c>
      <c r="N510">
        <v>1210.2552000000001</v>
      </c>
      <c r="O510" t="s">
        <v>87</v>
      </c>
      <c r="P510" t="s">
        <v>100</v>
      </c>
    </row>
    <row r="511" spans="1:16" x14ac:dyDescent="0.25">
      <c r="A511" s="2">
        <v>45273</v>
      </c>
      <c r="B511" t="s">
        <v>29</v>
      </c>
      <c r="C511" t="s">
        <v>58</v>
      </c>
      <c r="D511" t="s">
        <v>12</v>
      </c>
      <c r="E511" t="s">
        <v>18</v>
      </c>
      <c r="F511" t="s">
        <v>14</v>
      </c>
      <c r="G511" t="s">
        <v>51</v>
      </c>
      <c r="H511">
        <v>2</v>
      </c>
      <c r="I511">
        <v>4248</v>
      </c>
      <c r="J511">
        <v>7646.4000000000005</v>
      </c>
      <c r="K511">
        <v>849.6</v>
      </c>
      <c r="L511">
        <v>8496</v>
      </c>
      <c r="M511">
        <v>1529.28</v>
      </c>
      <c r="N511">
        <v>10025.280000000001</v>
      </c>
      <c r="O511" t="s">
        <v>87</v>
      </c>
      <c r="P511" t="s">
        <v>100</v>
      </c>
    </row>
    <row r="512" spans="1:16" x14ac:dyDescent="0.25">
      <c r="A512" s="2">
        <v>44986</v>
      </c>
      <c r="B512" t="s">
        <v>43</v>
      </c>
      <c r="C512" t="s">
        <v>11</v>
      </c>
      <c r="D512" t="s">
        <v>22</v>
      </c>
      <c r="E512" t="s">
        <v>13</v>
      </c>
      <c r="F512" t="s">
        <v>23</v>
      </c>
      <c r="G512" t="s">
        <v>24</v>
      </c>
      <c r="H512">
        <v>8</v>
      </c>
      <c r="I512">
        <v>3075.58</v>
      </c>
      <c r="J512">
        <v>22144.175999999999</v>
      </c>
      <c r="K512">
        <v>2460.4639999999999</v>
      </c>
      <c r="L512">
        <v>24604.639999999999</v>
      </c>
      <c r="M512">
        <v>4428.8351999999995</v>
      </c>
      <c r="N512">
        <v>29033.475200000001</v>
      </c>
      <c r="O512" t="s">
        <v>87</v>
      </c>
      <c r="P512" t="s">
        <v>99</v>
      </c>
    </row>
    <row r="513" spans="1:16" x14ac:dyDescent="0.25">
      <c r="A513" s="2">
        <v>44985</v>
      </c>
      <c r="B513" t="s">
        <v>31</v>
      </c>
      <c r="C513" t="s">
        <v>26</v>
      </c>
      <c r="D513" t="s">
        <v>12</v>
      </c>
      <c r="E513" t="s">
        <v>18</v>
      </c>
      <c r="F513" t="s">
        <v>27</v>
      </c>
      <c r="G513" t="s">
        <v>28</v>
      </c>
      <c r="H513">
        <v>13</v>
      </c>
      <c r="I513">
        <v>1246.1400000000001</v>
      </c>
      <c r="J513">
        <v>14579.838</v>
      </c>
      <c r="K513">
        <v>1619.982</v>
      </c>
      <c r="L513">
        <v>16199.82</v>
      </c>
      <c r="M513">
        <v>2915.9675999999999</v>
      </c>
      <c r="N513">
        <v>19115.7876</v>
      </c>
      <c r="O513" t="s">
        <v>87</v>
      </c>
      <c r="P513" t="s">
        <v>100</v>
      </c>
    </row>
    <row r="514" spans="1:16" x14ac:dyDescent="0.25">
      <c r="A514" s="2">
        <v>45171</v>
      </c>
      <c r="B514" t="s">
        <v>40</v>
      </c>
      <c r="C514" t="s">
        <v>17</v>
      </c>
      <c r="D514" t="s">
        <v>65</v>
      </c>
      <c r="E514" t="s">
        <v>64</v>
      </c>
      <c r="F514" t="s">
        <v>32</v>
      </c>
      <c r="G514" t="s">
        <v>33</v>
      </c>
      <c r="H514">
        <v>16</v>
      </c>
      <c r="I514">
        <v>3942.95</v>
      </c>
      <c r="J514">
        <v>56778.479999999996</v>
      </c>
      <c r="K514">
        <v>6308.72</v>
      </c>
      <c r="L514">
        <v>63087.199999999997</v>
      </c>
      <c r="M514">
        <v>11355.696</v>
      </c>
      <c r="N514">
        <v>74442.895999999993</v>
      </c>
      <c r="O514" t="s">
        <v>87</v>
      </c>
      <c r="P514" t="s">
        <v>101</v>
      </c>
    </row>
    <row r="515" spans="1:16" x14ac:dyDescent="0.25">
      <c r="A515" s="2">
        <v>44996</v>
      </c>
      <c r="B515" t="s">
        <v>43</v>
      </c>
      <c r="C515" t="s">
        <v>26</v>
      </c>
      <c r="D515" t="s">
        <v>12</v>
      </c>
      <c r="E515" t="s">
        <v>18</v>
      </c>
      <c r="F515" t="s">
        <v>19</v>
      </c>
      <c r="G515" t="s">
        <v>52</v>
      </c>
      <c r="H515">
        <v>1</v>
      </c>
      <c r="I515">
        <v>936.56</v>
      </c>
      <c r="J515">
        <v>842.904</v>
      </c>
      <c r="K515">
        <v>93.656000000000006</v>
      </c>
      <c r="L515">
        <v>936.56</v>
      </c>
      <c r="M515">
        <v>168.58079999999998</v>
      </c>
      <c r="N515">
        <v>1105.1407999999999</v>
      </c>
      <c r="O515" t="s">
        <v>87</v>
      </c>
      <c r="P515" t="s">
        <v>100</v>
      </c>
    </row>
    <row r="516" spans="1:16" x14ac:dyDescent="0.25">
      <c r="A516" s="2">
        <v>45243</v>
      </c>
      <c r="B516" t="s">
        <v>34</v>
      </c>
      <c r="C516" t="s">
        <v>58</v>
      </c>
      <c r="D516" t="s">
        <v>12</v>
      </c>
      <c r="E516" t="s">
        <v>18</v>
      </c>
      <c r="F516" t="s">
        <v>23</v>
      </c>
      <c r="G516" t="s">
        <v>24</v>
      </c>
      <c r="H516">
        <v>7</v>
      </c>
      <c r="I516">
        <v>1628.68</v>
      </c>
      <c r="J516">
        <v>10260.684000000001</v>
      </c>
      <c r="K516">
        <v>1140.076</v>
      </c>
      <c r="L516">
        <v>11400.76</v>
      </c>
      <c r="M516">
        <v>2052.1367999999998</v>
      </c>
      <c r="N516">
        <v>13452.8968</v>
      </c>
      <c r="O516" t="s">
        <v>87</v>
      </c>
      <c r="P516" t="s">
        <v>100</v>
      </c>
    </row>
    <row r="517" spans="1:16" x14ac:dyDescent="0.25">
      <c r="A517" s="2">
        <v>45138</v>
      </c>
      <c r="B517" t="s">
        <v>38</v>
      </c>
      <c r="C517" t="s">
        <v>60</v>
      </c>
      <c r="D517" t="s">
        <v>12</v>
      </c>
      <c r="E517" t="s">
        <v>18</v>
      </c>
      <c r="F517" t="s">
        <v>19</v>
      </c>
      <c r="G517" t="s">
        <v>30</v>
      </c>
      <c r="H517">
        <v>10</v>
      </c>
      <c r="I517">
        <v>3400.28</v>
      </c>
      <c r="J517">
        <v>30602.520000000004</v>
      </c>
      <c r="K517">
        <v>3400.2800000000007</v>
      </c>
      <c r="L517">
        <v>34002.800000000003</v>
      </c>
      <c r="M517">
        <v>6120.5039999999999</v>
      </c>
      <c r="N517">
        <v>40123.304000000004</v>
      </c>
      <c r="O517" t="s">
        <v>87</v>
      </c>
      <c r="P517" t="s">
        <v>100</v>
      </c>
    </row>
    <row r="518" spans="1:16" x14ac:dyDescent="0.25">
      <c r="A518" s="2">
        <v>45022</v>
      </c>
      <c r="B518" t="s">
        <v>29</v>
      </c>
      <c r="C518" t="s">
        <v>62</v>
      </c>
      <c r="D518" t="s">
        <v>65</v>
      </c>
      <c r="E518" t="s">
        <v>64</v>
      </c>
      <c r="F518" t="s">
        <v>19</v>
      </c>
      <c r="G518" t="s">
        <v>48</v>
      </c>
      <c r="H518">
        <v>18</v>
      </c>
      <c r="I518">
        <v>2722.99</v>
      </c>
      <c r="J518">
        <v>44112.438000000002</v>
      </c>
      <c r="K518">
        <v>4901.3820000000005</v>
      </c>
      <c r="L518">
        <v>49013.82</v>
      </c>
      <c r="M518">
        <v>8822.4876000000004</v>
      </c>
      <c r="N518">
        <v>57836.3076</v>
      </c>
      <c r="O518" t="s">
        <v>87</v>
      </c>
      <c r="P518" t="s">
        <v>101</v>
      </c>
    </row>
    <row r="519" spans="1:16" x14ac:dyDescent="0.25">
      <c r="A519" s="2">
        <v>45052</v>
      </c>
      <c r="B519" t="s">
        <v>21</v>
      </c>
      <c r="C519" t="s">
        <v>54</v>
      </c>
      <c r="D519" t="s">
        <v>12</v>
      </c>
      <c r="E519" t="s">
        <v>18</v>
      </c>
      <c r="F519" t="s">
        <v>27</v>
      </c>
      <c r="G519" t="s">
        <v>44</v>
      </c>
      <c r="H519">
        <v>8</v>
      </c>
      <c r="I519">
        <v>4612.53</v>
      </c>
      <c r="J519">
        <v>33210.216</v>
      </c>
      <c r="K519">
        <v>3690.0239999999999</v>
      </c>
      <c r="L519">
        <v>36900.239999999998</v>
      </c>
      <c r="M519">
        <v>6642.0431999999992</v>
      </c>
      <c r="N519">
        <v>43542.283199999998</v>
      </c>
      <c r="O519" t="s">
        <v>87</v>
      </c>
      <c r="P519" t="s">
        <v>100</v>
      </c>
    </row>
    <row r="520" spans="1:16" x14ac:dyDescent="0.25">
      <c r="A520" s="2">
        <v>45065</v>
      </c>
      <c r="B520" t="s">
        <v>29</v>
      </c>
      <c r="C520" t="s">
        <v>11</v>
      </c>
      <c r="D520" t="s">
        <v>22</v>
      </c>
      <c r="E520" t="s">
        <v>13</v>
      </c>
      <c r="F520" t="s">
        <v>27</v>
      </c>
      <c r="G520" t="s">
        <v>28</v>
      </c>
      <c r="H520">
        <v>13</v>
      </c>
      <c r="I520">
        <v>2040.1</v>
      </c>
      <c r="J520">
        <v>23869.17</v>
      </c>
      <c r="K520">
        <v>2652.13</v>
      </c>
      <c r="L520">
        <v>26521.3</v>
      </c>
      <c r="M520">
        <v>4773.8339999999998</v>
      </c>
      <c r="N520">
        <v>31295.133999999998</v>
      </c>
      <c r="O520" t="s">
        <v>87</v>
      </c>
      <c r="P520" t="s">
        <v>99</v>
      </c>
    </row>
    <row r="521" spans="1:16" x14ac:dyDescent="0.25">
      <c r="A521" s="2">
        <v>45037</v>
      </c>
      <c r="B521" t="s">
        <v>31</v>
      </c>
      <c r="C521" t="s">
        <v>62</v>
      </c>
      <c r="D521" t="s">
        <v>65</v>
      </c>
      <c r="E521" t="s">
        <v>64</v>
      </c>
      <c r="F521" t="s">
        <v>32</v>
      </c>
      <c r="G521" t="s">
        <v>50</v>
      </c>
      <c r="H521">
        <v>17</v>
      </c>
      <c r="I521">
        <v>1122.98</v>
      </c>
      <c r="J521">
        <v>17181.594000000001</v>
      </c>
      <c r="K521">
        <v>1909.066</v>
      </c>
      <c r="L521">
        <v>19090.66</v>
      </c>
      <c r="M521">
        <v>3436.3188</v>
      </c>
      <c r="N521">
        <v>22526.978800000001</v>
      </c>
      <c r="O521" t="s">
        <v>87</v>
      </c>
      <c r="P521" t="s">
        <v>101</v>
      </c>
    </row>
    <row r="522" spans="1:16" x14ac:dyDescent="0.25">
      <c r="A522" s="2">
        <v>45234</v>
      </c>
      <c r="B522" t="s">
        <v>25</v>
      </c>
      <c r="C522" t="s">
        <v>11</v>
      </c>
      <c r="D522" t="s">
        <v>22</v>
      </c>
      <c r="E522" t="s">
        <v>13</v>
      </c>
      <c r="F522" t="s">
        <v>27</v>
      </c>
      <c r="G522" t="s">
        <v>28</v>
      </c>
      <c r="H522">
        <v>16</v>
      </c>
      <c r="I522">
        <v>2458.6</v>
      </c>
      <c r="J522">
        <v>35403.839999999997</v>
      </c>
      <c r="K522">
        <v>3933.76</v>
      </c>
      <c r="L522">
        <v>39337.599999999999</v>
      </c>
      <c r="M522">
        <v>7080.7679999999991</v>
      </c>
      <c r="N522">
        <v>46418.367999999995</v>
      </c>
      <c r="O522" t="s">
        <v>87</v>
      </c>
      <c r="P522" t="s">
        <v>99</v>
      </c>
    </row>
    <row r="523" spans="1:16" x14ac:dyDescent="0.25">
      <c r="A523" s="2">
        <v>45197</v>
      </c>
      <c r="B523" t="s">
        <v>43</v>
      </c>
      <c r="C523" t="s">
        <v>11</v>
      </c>
      <c r="D523" t="s">
        <v>22</v>
      </c>
      <c r="E523" t="s">
        <v>13</v>
      </c>
      <c r="F523" t="s">
        <v>14</v>
      </c>
      <c r="G523" t="s">
        <v>45</v>
      </c>
      <c r="H523">
        <v>9</v>
      </c>
      <c r="I523">
        <v>3195.18</v>
      </c>
      <c r="J523">
        <v>25880.957999999999</v>
      </c>
      <c r="K523">
        <v>2875.6620000000003</v>
      </c>
      <c r="L523">
        <v>28756.62</v>
      </c>
      <c r="M523">
        <v>5176.1915999999992</v>
      </c>
      <c r="N523">
        <v>33932.811600000001</v>
      </c>
      <c r="O523" t="s">
        <v>87</v>
      </c>
      <c r="P523" t="s">
        <v>99</v>
      </c>
    </row>
    <row r="524" spans="1:16" x14ac:dyDescent="0.25">
      <c r="A524" s="2">
        <v>45203</v>
      </c>
      <c r="B524" t="s">
        <v>25</v>
      </c>
      <c r="C524" t="s">
        <v>17</v>
      </c>
      <c r="D524" t="s">
        <v>65</v>
      </c>
      <c r="E524" t="s">
        <v>64</v>
      </c>
      <c r="F524" t="s">
        <v>14</v>
      </c>
      <c r="G524" t="s">
        <v>51</v>
      </c>
      <c r="H524">
        <v>3</v>
      </c>
      <c r="I524">
        <v>384.96</v>
      </c>
      <c r="J524">
        <v>1039.3920000000001</v>
      </c>
      <c r="K524">
        <v>115.48800000000001</v>
      </c>
      <c r="L524">
        <v>1154.8800000000001</v>
      </c>
      <c r="M524">
        <v>207.8784</v>
      </c>
      <c r="N524">
        <v>1362.7584000000002</v>
      </c>
      <c r="O524" t="s">
        <v>87</v>
      </c>
      <c r="P524" t="s">
        <v>101</v>
      </c>
    </row>
    <row r="525" spans="1:16" x14ac:dyDescent="0.25">
      <c r="A525" s="2">
        <v>44980</v>
      </c>
      <c r="B525" t="s">
        <v>34</v>
      </c>
      <c r="C525" t="s">
        <v>11</v>
      </c>
      <c r="D525" t="s">
        <v>22</v>
      </c>
      <c r="E525" t="s">
        <v>13</v>
      </c>
      <c r="F525" t="s">
        <v>27</v>
      </c>
      <c r="G525" t="s">
        <v>42</v>
      </c>
      <c r="H525">
        <v>4</v>
      </c>
      <c r="I525">
        <v>3714.59</v>
      </c>
      <c r="J525">
        <v>13372.524000000001</v>
      </c>
      <c r="K525">
        <v>1485.8360000000002</v>
      </c>
      <c r="L525">
        <v>14858.36</v>
      </c>
      <c r="M525">
        <v>2674.5048000000002</v>
      </c>
      <c r="N525">
        <v>17532.864799999999</v>
      </c>
      <c r="O525" t="s">
        <v>87</v>
      </c>
      <c r="P525" t="s">
        <v>99</v>
      </c>
    </row>
    <row r="526" spans="1:16" x14ac:dyDescent="0.25">
      <c r="A526" s="2">
        <v>45096</v>
      </c>
      <c r="B526" t="s">
        <v>43</v>
      </c>
      <c r="C526" t="s">
        <v>54</v>
      </c>
      <c r="D526" t="s">
        <v>12</v>
      </c>
      <c r="E526" t="s">
        <v>18</v>
      </c>
      <c r="F526" t="s">
        <v>27</v>
      </c>
      <c r="G526" t="s">
        <v>46</v>
      </c>
      <c r="H526">
        <v>9</v>
      </c>
      <c r="I526">
        <v>1765.86</v>
      </c>
      <c r="J526">
        <v>14303.466</v>
      </c>
      <c r="K526">
        <v>1589.2740000000001</v>
      </c>
      <c r="L526">
        <v>15892.74</v>
      </c>
      <c r="M526">
        <v>2860.6931999999997</v>
      </c>
      <c r="N526">
        <v>18753.433199999999</v>
      </c>
      <c r="O526" t="s">
        <v>87</v>
      </c>
      <c r="P526" t="s">
        <v>100</v>
      </c>
    </row>
    <row r="527" spans="1:16" x14ac:dyDescent="0.25">
      <c r="A527" s="2">
        <v>45114</v>
      </c>
      <c r="B527" t="s">
        <v>10</v>
      </c>
      <c r="C527" t="s">
        <v>35</v>
      </c>
      <c r="D527" t="s">
        <v>65</v>
      </c>
      <c r="E527" t="s">
        <v>64</v>
      </c>
      <c r="F527" t="s">
        <v>27</v>
      </c>
      <c r="G527" t="s">
        <v>42</v>
      </c>
      <c r="H527">
        <v>8</v>
      </c>
      <c r="I527">
        <v>3069.86</v>
      </c>
      <c r="J527">
        <v>22102.992000000002</v>
      </c>
      <c r="K527">
        <v>2455.8880000000004</v>
      </c>
      <c r="L527">
        <v>24558.880000000001</v>
      </c>
      <c r="M527">
        <v>4420.5983999999999</v>
      </c>
      <c r="N527">
        <v>28979.4784</v>
      </c>
      <c r="O527" t="s">
        <v>87</v>
      </c>
      <c r="P527" t="s">
        <v>101</v>
      </c>
    </row>
    <row r="528" spans="1:16" x14ac:dyDescent="0.25">
      <c r="A528" s="2">
        <v>45157</v>
      </c>
      <c r="B528" t="s">
        <v>38</v>
      </c>
      <c r="C528" t="s">
        <v>61</v>
      </c>
      <c r="D528" t="s">
        <v>65</v>
      </c>
      <c r="E528" t="s">
        <v>64</v>
      </c>
      <c r="F528" t="s">
        <v>14</v>
      </c>
      <c r="G528" t="s">
        <v>15</v>
      </c>
      <c r="H528">
        <v>9</v>
      </c>
      <c r="I528">
        <v>1720.47</v>
      </c>
      <c r="J528">
        <v>13935.807000000001</v>
      </c>
      <c r="K528">
        <v>1548.423</v>
      </c>
      <c r="L528">
        <v>15484.23</v>
      </c>
      <c r="M528">
        <v>2787.1614</v>
      </c>
      <c r="N528">
        <v>18271.3914</v>
      </c>
      <c r="O528" t="s">
        <v>87</v>
      </c>
      <c r="P528" t="s">
        <v>101</v>
      </c>
    </row>
    <row r="529" spans="1:16" x14ac:dyDescent="0.25">
      <c r="A529" s="2">
        <v>45125</v>
      </c>
      <c r="B529" t="s">
        <v>29</v>
      </c>
      <c r="C529" t="s">
        <v>57</v>
      </c>
      <c r="D529" t="s">
        <v>22</v>
      </c>
      <c r="E529" t="s">
        <v>13</v>
      </c>
      <c r="F529" t="s">
        <v>23</v>
      </c>
      <c r="G529" t="s">
        <v>37</v>
      </c>
      <c r="H529">
        <v>7</v>
      </c>
      <c r="I529">
        <v>3416.74</v>
      </c>
      <c r="J529">
        <v>21525.462</v>
      </c>
      <c r="K529">
        <v>2391.7180000000003</v>
      </c>
      <c r="L529">
        <v>23917.18</v>
      </c>
      <c r="M529">
        <v>4305.0923999999995</v>
      </c>
      <c r="N529">
        <v>28222.272400000002</v>
      </c>
      <c r="O529" t="s">
        <v>87</v>
      </c>
      <c r="P529" t="s">
        <v>99</v>
      </c>
    </row>
    <row r="530" spans="1:16" x14ac:dyDescent="0.25">
      <c r="A530" s="2">
        <v>45186</v>
      </c>
      <c r="B530" t="s">
        <v>38</v>
      </c>
      <c r="C530" t="s">
        <v>57</v>
      </c>
      <c r="D530" t="s">
        <v>22</v>
      </c>
      <c r="E530" t="s">
        <v>13</v>
      </c>
      <c r="F530" t="s">
        <v>14</v>
      </c>
      <c r="G530" t="s">
        <v>15</v>
      </c>
      <c r="H530">
        <v>7</v>
      </c>
      <c r="I530">
        <v>4741.12</v>
      </c>
      <c r="J530">
        <v>29869.055999999997</v>
      </c>
      <c r="K530">
        <v>3318.7839999999997</v>
      </c>
      <c r="L530">
        <v>33187.839999999997</v>
      </c>
      <c r="M530">
        <v>5973.8111999999992</v>
      </c>
      <c r="N530">
        <v>39161.651199999993</v>
      </c>
      <c r="O530" t="s">
        <v>87</v>
      </c>
      <c r="P530" t="s">
        <v>99</v>
      </c>
    </row>
    <row r="531" spans="1:16" x14ac:dyDescent="0.25">
      <c r="A531" s="2">
        <v>45087</v>
      </c>
      <c r="B531" t="s">
        <v>40</v>
      </c>
      <c r="C531" t="s">
        <v>61</v>
      </c>
      <c r="D531" t="s">
        <v>65</v>
      </c>
      <c r="E531" t="s">
        <v>64</v>
      </c>
      <c r="F531" t="s">
        <v>23</v>
      </c>
      <c r="G531" t="s">
        <v>39</v>
      </c>
      <c r="H531">
        <v>20</v>
      </c>
      <c r="I531">
        <v>2721.24</v>
      </c>
      <c r="J531">
        <v>48982.320000000007</v>
      </c>
      <c r="K531">
        <v>5442.4800000000005</v>
      </c>
      <c r="L531">
        <v>54424.800000000003</v>
      </c>
      <c r="M531">
        <v>9796.4639999999999</v>
      </c>
      <c r="N531">
        <v>64221.264000000003</v>
      </c>
      <c r="O531" t="s">
        <v>87</v>
      </c>
      <c r="P531" t="s">
        <v>101</v>
      </c>
    </row>
    <row r="532" spans="1:16" x14ac:dyDescent="0.25">
      <c r="A532" s="2">
        <v>45131</v>
      </c>
      <c r="B532" t="s">
        <v>34</v>
      </c>
      <c r="C532" t="s">
        <v>35</v>
      </c>
      <c r="D532" t="s">
        <v>65</v>
      </c>
      <c r="E532" t="s">
        <v>64</v>
      </c>
      <c r="F532" t="s">
        <v>32</v>
      </c>
      <c r="G532" t="s">
        <v>36</v>
      </c>
      <c r="H532">
        <v>4</v>
      </c>
      <c r="I532">
        <v>3751.49</v>
      </c>
      <c r="J532">
        <v>13505.364</v>
      </c>
      <c r="K532">
        <v>1500.596</v>
      </c>
      <c r="L532">
        <v>15005.96</v>
      </c>
      <c r="M532">
        <v>2701.0727999999999</v>
      </c>
      <c r="N532">
        <v>17707.032800000001</v>
      </c>
      <c r="O532" t="s">
        <v>87</v>
      </c>
      <c r="P532" t="s">
        <v>101</v>
      </c>
    </row>
    <row r="533" spans="1:16" x14ac:dyDescent="0.25">
      <c r="A533" s="2">
        <v>45037</v>
      </c>
      <c r="B533" t="s">
        <v>43</v>
      </c>
      <c r="C533" t="s">
        <v>62</v>
      </c>
      <c r="D533" t="s">
        <v>65</v>
      </c>
      <c r="E533" t="s">
        <v>64</v>
      </c>
      <c r="F533" t="s">
        <v>23</v>
      </c>
      <c r="G533" t="s">
        <v>47</v>
      </c>
      <c r="H533">
        <v>19</v>
      </c>
      <c r="I533">
        <v>4513.6000000000004</v>
      </c>
      <c r="J533">
        <v>77182.559999999998</v>
      </c>
      <c r="K533">
        <v>8575.84</v>
      </c>
      <c r="L533">
        <v>85758.399999999994</v>
      </c>
      <c r="M533">
        <v>15436.511999999999</v>
      </c>
      <c r="N533">
        <v>101194.912</v>
      </c>
      <c r="O533" t="s">
        <v>87</v>
      </c>
      <c r="P533" t="s">
        <v>101</v>
      </c>
    </row>
    <row r="534" spans="1:16" x14ac:dyDescent="0.25">
      <c r="A534" s="2">
        <v>44937</v>
      </c>
      <c r="B534" t="s">
        <v>40</v>
      </c>
      <c r="C534" t="s">
        <v>17</v>
      </c>
      <c r="D534" t="s">
        <v>65</v>
      </c>
      <c r="E534" t="s">
        <v>64</v>
      </c>
      <c r="F534" t="s">
        <v>14</v>
      </c>
      <c r="G534" t="s">
        <v>53</v>
      </c>
      <c r="H534">
        <v>11</v>
      </c>
      <c r="I534">
        <v>3514.12</v>
      </c>
      <c r="J534">
        <v>34789.788</v>
      </c>
      <c r="K534">
        <v>3865.5320000000002</v>
      </c>
      <c r="L534">
        <v>38655.32</v>
      </c>
      <c r="M534">
        <v>6957.9575999999997</v>
      </c>
      <c r="N534">
        <v>45613.277600000001</v>
      </c>
      <c r="O534" t="s">
        <v>87</v>
      </c>
      <c r="P534" t="s">
        <v>101</v>
      </c>
    </row>
    <row r="535" spans="1:16" x14ac:dyDescent="0.25">
      <c r="A535" s="2">
        <v>45273</v>
      </c>
      <c r="B535" t="s">
        <v>38</v>
      </c>
      <c r="C535" t="s">
        <v>57</v>
      </c>
      <c r="D535" t="s">
        <v>22</v>
      </c>
      <c r="E535" t="s">
        <v>13</v>
      </c>
      <c r="F535" t="s">
        <v>14</v>
      </c>
      <c r="G535" t="s">
        <v>45</v>
      </c>
      <c r="H535">
        <v>13</v>
      </c>
      <c r="I535">
        <v>2109.15</v>
      </c>
      <c r="J535">
        <v>24677.055</v>
      </c>
      <c r="K535">
        <v>2741.8950000000004</v>
      </c>
      <c r="L535">
        <v>27418.95</v>
      </c>
      <c r="M535">
        <v>4935.4110000000001</v>
      </c>
      <c r="N535">
        <v>32354.361000000001</v>
      </c>
      <c r="O535" t="s">
        <v>87</v>
      </c>
      <c r="P535" t="s">
        <v>99</v>
      </c>
    </row>
    <row r="536" spans="1:16" x14ac:dyDescent="0.25">
      <c r="A536" s="2">
        <v>44985</v>
      </c>
      <c r="B536" t="s">
        <v>16</v>
      </c>
      <c r="C536" t="s">
        <v>17</v>
      </c>
      <c r="D536" t="s">
        <v>65</v>
      </c>
      <c r="E536" t="s">
        <v>64</v>
      </c>
      <c r="F536" t="s">
        <v>23</v>
      </c>
      <c r="G536" t="s">
        <v>37</v>
      </c>
      <c r="H536">
        <v>16</v>
      </c>
      <c r="I536">
        <v>4090.26</v>
      </c>
      <c r="J536">
        <v>58899.744000000006</v>
      </c>
      <c r="K536">
        <v>6544.4160000000011</v>
      </c>
      <c r="L536">
        <v>65444.160000000003</v>
      </c>
      <c r="M536">
        <v>11779.9488</v>
      </c>
      <c r="N536">
        <v>77224.108800000002</v>
      </c>
      <c r="O536" t="s">
        <v>87</v>
      </c>
      <c r="P536" t="s">
        <v>101</v>
      </c>
    </row>
    <row r="537" spans="1:16" x14ac:dyDescent="0.25">
      <c r="A537" s="2">
        <v>45132</v>
      </c>
      <c r="B537" t="s">
        <v>21</v>
      </c>
      <c r="C537" t="s">
        <v>63</v>
      </c>
      <c r="D537" t="s">
        <v>65</v>
      </c>
      <c r="E537" t="s">
        <v>64</v>
      </c>
      <c r="F537" t="s">
        <v>23</v>
      </c>
      <c r="G537" t="s">
        <v>39</v>
      </c>
      <c r="H537">
        <v>12</v>
      </c>
      <c r="I537">
        <v>219.32</v>
      </c>
      <c r="J537">
        <v>2368.6560000000004</v>
      </c>
      <c r="K537">
        <v>263.18400000000003</v>
      </c>
      <c r="L537">
        <v>2631.84</v>
      </c>
      <c r="M537">
        <v>473.7312</v>
      </c>
      <c r="N537">
        <v>3105.5712000000003</v>
      </c>
      <c r="O537" t="s">
        <v>87</v>
      </c>
      <c r="P537" t="s">
        <v>101</v>
      </c>
    </row>
    <row r="538" spans="1:16" x14ac:dyDescent="0.25">
      <c r="A538" s="2">
        <v>45277</v>
      </c>
      <c r="B538" t="s">
        <v>10</v>
      </c>
      <c r="C538" t="s">
        <v>61</v>
      </c>
      <c r="D538" t="s">
        <v>65</v>
      </c>
      <c r="E538" t="s">
        <v>64</v>
      </c>
      <c r="F538" t="s">
        <v>19</v>
      </c>
      <c r="G538" t="s">
        <v>48</v>
      </c>
      <c r="H538">
        <v>14</v>
      </c>
      <c r="I538">
        <v>264.77</v>
      </c>
      <c r="J538">
        <v>3336.1020000000003</v>
      </c>
      <c r="K538">
        <v>370.67800000000005</v>
      </c>
      <c r="L538">
        <v>3706.78</v>
      </c>
      <c r="M538">
        <v>667.22040000000004</v>
      </c>
      <c r="N538">
        <v>4374.0003999999999</v>
      </c>
      <c r="O538" t="s">
        <v>87</v>
      </c>
      <c r="P538" t="s">
        <v>101</v>
      </c>
    </row>
    <row r="539" spans="1:16" x14ac:dyDescent="0.25">
      <c r="A539" s="2">
        <v>45047</v>
      </c>
      <c r="B539" t="s">
        <v>40</v>
      </c>
      <c r="C539" t="s">
        <v>55</v>
      </c>
      <c r="D539" t="s">
        <v>66</v>
      </c>
      <c r="E539" t="s">
        <v>41</v>
      </c>
      <c r="F539" t="s">
        <v>23</v>
      </c>
      <c r="G539" t="s">
        <v>39</v>
      </c>
      <c r="H539">
        <v>9</v>
      </c>
      <c r="I539">
        <v>2624.88</v>
      </c>
      <c r="J539">
        <v>21261.527999999998</v>
      </c>
      <c r="K539">
        <v>2362.3919999999998</v>
      </c>
      <c r="L539">
        <v>23623.919999999998</v>
      </c>
      <c r="M539">
        <v>4252.3055999999997</v>
      </c>
      <c r="N539">
        <v>27876.225599999998</v>
      </c>
      <c r="O539" t="s">
        <v>87</v>
      </c>
      <c r="P539" t="s">
        <v>66</v>
      </c>
    </row>
    <row r="540" spans="1:16" x14ac:dyDescent="0.25">
      <c r="A540" s="2">
        <v>45081</v>
      </c>
      <c r="B540" t="s">
        <v>31</v>
      </c>
      <c r="C540" t="s">
        <v>60</v>
      </c>
      <c r="D540" t="s">
        <v>12</v>
      </c>
      <c r="E540" t="s">
        <v>18</v>
      </c>
      <c r="F540" t="s">
        <v>14</v>
      </c>
      <c r="G540" t="s">
        <v>51</v>
      </c>
      <c r="H540">
        <v>15</v>
      </c>
      <c r="I540">
        <v>1063.8800000000001</v>
      </c>
      <c r="J540">
        <v>14362.380000000001</v>
      </c>
      <c r="K540">
        <v>1595.8200000000002</v>
      </c>
      <c r="L540">
        <v>15958.2</v>
      </c>
      <c r="M540">
        <v>2872.4760000000001</v>
      </c>
      <c r="N540">
        <v>18830.675999999999</v>
      </c>
      <c r="O540" t="s">
        <v>87</v>
      </c>
      <c r="P540" t="s">
        <v>100</v>
      </c>
    </row>
    <row r="541" spans="1:16" x14ac:dyDescent="0.25">
      <c r="A541" s="2">
        <v>44980</v>
      </c>
      <c r="B541" t="s">
        <v>40</v>
      </c>
      <c r="C541" t="s">
        <v>56</v>
      </c>
      <c r="D541" t="s">
        <v>12</v>
      </c>
      <c r="E541" t="s">
        <v>18</v>
      </c>
      <c r="F541" t="s">
        <v>23</v>
      </c>
      <c r="G541" t="s">
        <v>39</v>
      </c>
      <c r="H541">
        <v>2</v>
      </c>
      <c r="I541">
        <v>4277.8999999999996</v>
      </c>
      <c r="J541">
        <v>7700.2199999999993</v>
      </c>
      <c r="K541">
        <v>855.57999999999993</v>
      </c>
      <c r="L541">
        <v>8555.7999999999993</v>
      </c>
      <c r="M541">
        <v>1540.0439999999999</v>
      </c>
      <c r="N541">
        <v>10095.843999999999</v>
      </c>
      <c r="O541" t="s">
        <v>87</v>
      </c>
      <c r="P541" t="s">
        <v>100</v>
      </c>
    </row>
    <row r="542" spans="1:16" x14ac:dyDescent="0.25">
      <c r="A542" s="2">
        <v>45249</v>
      </c>
      <c r="B542" t="s">
        <v>10</v>
      </c>
      <c r="C542" t="s">
        <v>35</v>
      </c>
      <c r="D542" t="s">
        <v>65</v>
      </c>
      <c r="E542" t="s">
        <v>64</v>
      </c>
      <c r="F542" t="s">
        <v>23</v>
      </c>
      <c r="G542" t="s">
        <v>47</v>
      </c>
      <c r="H542">
        <v>13</v>
      </c>
      <c r="I542">
        <v>1762.69</v>
      </c>
      <c r="J542">
        <v>20623.473000000002</v>
      </c>
      <c r="K542">
        <v>2291.4970000000003</v>
      </c>
      <c r="L542">
        <v>22914.97</v>
      </c>
      <c r="M542">
        <v>4124.6945999999998</v>
      </c>
      <c r="N542">
        <v>27039.6646</v>
      </c>
      <c r="O542" t="s">
        <v>87</v>
      </c>
      <c r="P542" t="s">
        <v>101</v>
      </c>
    </row>
    <row r="543" spans="1:16" x14ac:dyDescent="0.25">
      <c r="A543" s="2">
        <v>45043</v>
      </c>
      <c r="B543" t="s">
        <v>29</v>
      </c>
      <c r="C543" t="s">
        <v>57</v>
      </c>
      <c r="D543" t="s">
        <v>22</v>
      </c>
      <c r="E543" t="s">
        <v>13</v>
      </c>
      <c r="F543" t="s">
        <v>23</v>
      </c>
      <c r="G543" t="s">
        <v>47</v>
      </c>
      <c r="H543">
        <v>6</v>
      </c>
      <c r="I543">
        <v>2069.96</v>
      </c>
      <c r="J543">
        <v>11177.784</v>
      </c>
      <c r="K543">
        <v>1241.9760000000001</v>
      </c>
      <c r="L543">
        <v>12419.76</v>
      </c>
      <c r="M543">
        <v>2235.5567999999998</v>
      </c>
      <c r="N543">
        <v>14655.316800000001</v>
      </c>
      <c r="O543" t="s">
        <v>87</v>
      </c>
      <c r="P543" t="s">
        <v>99</v>
      </c>
    </row>
    <row r="544" spans="1:16" x14ac:dyDescent="0.25">
      <c r="A544" s="2">
        <v>45153</v>
      </c>
      <c r="B544" t="s">
        <v>16</v>
      </c>
      <c r="C544" t="s">
        <v>26</v>
      </c>
      <c r="D544" t="s">
        <v>12</v>
      </c>
      <c r="E544" t="s">
        <v>18</v>
      </c>
      <c r="F544" t="s">
        <v>23</v>
      </c>
      <c r="G544" t="s">
        <v>39</v>
      </c>
      <c r="H544">
        <v>19</v>
      </c>
      <c r="I544">
        <v>3822.54</v>
      </c>
      <c r="J544">
        <v>65365.433999999994</v>
      </c>
      <c r="K544">
        <v>7262.826</v>
      </c>
      <c r="L544">
        <v>72628.259999999995</v>
      </c>
      <c r="M544">
        <v>13073.086799999999</v>
      </c>
      <c r="N544">
        <v>85701.346799999999</v>
      </c>
      <c r="O544" t="s">
        <v>87</v>
      </c>
      <c r="P544" t="s">
        <v>100</v>
      </c>
    </row>
    <row r="545" spans="1:16" x14ac:dyDescent="0.25">
      <c r="A545" s="2">
        <v>45205</v>
      </c>
      <c r="B545" t="s">
        <v>16</v>
      </c>
      <c r="C545" t="s">
        <v>26</v>
      </c>
      <c r="D545" t="s">
        <v>12</v>
      </c>
      <c r="E545" t="s">
        <v>18</v>
      </c>
      <c r="F545" t="s">
        <v>27</v>
      </c>
      <c r="G545" t="s">
        <v>44</v>
      </c>
      <c r="H545">
        <v>16</v>
      </c>
      <c r="I545">
        <v>242.23</v>
      </c>
      <c r="J545">
        <v>3488.1120000000001</v>
      </c>
      <c r="K545">
        <v>387.56799999999998</v>
      </c>
      <c r="L545">
        <v>3875.68</v>
      </c>
      <c r="M545">
        <v>697.62239999999997</v>
      </c>
      <c r="N545">
        <v>4573.3023999999996</v>
      </c>
      <c r="O545" t="s">
        <v>87</v>
      </c>
      <c r="P545" t="s">
        <v>100</v>
      </c>
    </row>
    <row r="546" spans="1:16" x14ac:dyDescent="0.25">
      <c r="A546" s="2">
        <v>45106</v>
      </c>
      <c r="B546" t="s">
        <v>31</v>
      </c>
      <c r="C546" t="s">
        <v>60</v>
      </c>
      <c r="D546" t="s">
        <v>12</v>
      </c>
      <c r="E546" t="s">
        <v>18</v>
      </c>
      <c r="F546" t="s">
        <v>19</v>
      </c>
      <c r="G546" t="s">
        <v>30</v>
      </c>
      <c r="H546">
        <v>12</v>
      </c>
      <c r="I546">
        <v>2290.7600000000002</v>
      </c>
      <c r="J546">
        <v>24740.207999999999</v>
      </c>
      <c r="K546">
        <v>2748.9120000000003</v>
      </c>
      <c r="L546">
        <v>27489.119999999999</v>
      </c>
      <c r="M546">
        <v>4948.0415999999996</v>
      </c>
      <c r="N546">
        <v>32437.161599999999</v>
      </c>
      <c r="O546" t="s">
        <v>87</v>
      </c>
      <c r="P546" t="s">
        <v>100</v>
      </c>
    </row>
    <row r="547" spans="1:16" x14ac:dyDescent="0.25">
      <c r="A547" s="2">
        <v>45195</v>
      </c>
      <c r="B547" t="s">
        <v>43</v>
      </c>
      <c r="C547" t="s">
        <v>26</v>
      </c>
      <c r="D547" t="s">
        <v>12</v>
      </c>
      <c r="E547" t="s">
        <v>18</v>
      </c>
      <c r="F547" t="s">
        <v>23</v>
      </c>
      <c r="G547" t="s">
        <v>39</v>
      </c>
      <c r="H547">
        <v>18</v>
      </c>
      <c r="I547">
        <v>1957.78</v>
      </c>
      <c r="J547">
        <v>31716.036</v>
      </c>
      <c r="K547">
        <v>3524.0040000000004</v>
      </c>
      <c r="L547">
        <v>35240.04</v>
      </c>
      <c r="M547">
        <v>6343.2071999999998</v>
      </c>
      <c r="N547">
        <v>41583.247199999998</v>
      </c>
      <c r="O547" t="s">
        <v>87</v>
      </c>
      <c r="P547" t="s">
        <v>100</v>
      </c>
    </row>
    <row r="548" spans="1:16" x14ac:dyDescent="0.25">
      <c r="A548" s="2">
        <v>45236</v>
      </c>
      <c r="B548" t="s">
        <v>38</v>
      </c>
      <c r="C548" t="s">
        <v>26</v>
      </c>
      <c r="D548" t="s">
        <v>12</v>
      </c>
      <c r="E548" t="s">
        <v>18</v>
      </c>
      <c r="F548" t="s">
        <v>19</v>
      </c>
      <c r="G548" t="s">
        <v>52</v>
      </c>
      <c r="H548">
        <v>1</v>
      </c>
      <c r="I548">
        <v>4370.57</v>
      </c>
      <c r="J548">
        <v>3933.5129999999999</v>
      </c>
      <c r="K548">
        <v>437.05700000000002</v>
      </c>
      <c r="L548">
        <v>4370.57</v>
      </c>
      <c r="M548">
        <v>786.70259999999996</v>
      </c>
      <c r="N548">
        <v>5157.2725999999993</v>
      </c>
      <c r="O548" t="s">
        <v>87</v>
      </c>
      <c r="P548" t="s">
        <v>100</v>
      </c>
    </row>
    <row r="549" spans="1:16" x14ac:dyDescent="0.25">
      <c r="A549" s="2">
        <v>45065</v>
      </c>
      <c r="B549" t="s">
        <v>29</v>
      </c>
      <c r="C549" t="s">
        <v>26</v>
      </c>
      <c r="D549" t="s">
        <v>12</v>
      </c>
      <c r="E549" t="s">
        <v>18</v>
      </c>
      <c r="F549" t="s">
        <v>27</v>
      </c>
      <c r="G549" t="s">
        <v>42</v>
      </c>
      <c r="H549">
        <v>3</v>
      </c>
      <c r="I549">
        <v>1894.71</v>
      </c>
      <c r="J549">
        <v>5115.7170000000006</v>
      </c>
      <c r="K549">
        <v>568.41300000000001</v>
      </c>
      <c r="L549">
        <v>5684.13</v>
      </c>
      <c r="M549">
        <v>1023.1433999999999</v>
      </c>
      <c r="N549">
        <v>6707.2734</v>
      </c>
      <c r="O549" t="s">
        <v>87</v>
      </c>
      <c r="P549" t="s">
        <v>100</v>
      </c>
    </row>
    <row r="550" spans="1:16" x14ac:dyDescent="0.25">
      <c r="A550" s="2">
        <v>45242</v>
      </c>
      <c r="B550" t="s">
        <v>21</v>
      </c>
      <c r="C550" t="s">
        <v>60</v>
      </c>
      <c r="D550" t="s">
        <v>12</v>
      </c>
      <c r="E550" t="s">
        <v>18</v>
      </c>
      <c r="F550" t="s">
        <v>27</v>
      </c>
      <c r="G550" t="s">
        <v>46</v>
      </c>
      <c r="H550">
        <v>14</v>
      </c>
      <c r="I550">
        <v>367.1</v>
      </c>
      <c r="J550">
        <v>4625.46</v>
      </c>
      <c r="K550">
        <v>513.93999999999994</v>
      </c>
      <c r="L550">
        <v>5139.3999999999996</v>
      </c>
      <c r="M550">
        <v>925.09199999999987</v>
      </c>
      <c r="N550">
        <v>6064.4919999999993</v>
      </c>
      <c r="O550" t="s">
        <v>87</v>
      </c>
      <c r="P550" t="s">
        <v>100</v>
      </c>
    </row>
    <row r="551" spans="1:16" x14ac:dyDescent="0.25">
      <c r="A551" s="2">
        <v>45131</v>
      </c>
      <c r="B551" t="s">
        <v>25</v>
      </c>
      <c r="C551" t="s">
        <v>63</v>
      </c>
      <c r="D551" t="s">
        <v>65</v>
      </c>
      <c r="E551" t="s">
        <v>64</v>
      </c>
      <c r="F551" t="s">
        <v>32</v>
      </c>
      <c r="G551" t="s">
        <v>33</v>
      </c>
      <c r="H551">
        <v>10</v>
      </c>
      <c r="I551">
        <v>4678.49</v>
      </c>
      <c r="J551">
        <v>42106.41</v>
      </c>
      <c r="K551">
        <v>4678.4900000000007</v>
      </c>
      <c r="L551">
        <v>46784.9</v>
      </c>
      <c r="M551">
        <v>8421.2819999999992</v>
      </c>
      <c r="N551">
        <v>55206.182000000001</v>
      </c>
      <c r="O551" t="s">
        <v>87</v>
      </c>
      <c r="P551" t="s">
        <v>101</v>
      </c>
    </row>
    <row r="552" spans="1:16" x14ac:dyDescent="0.25">
      <c r="A552" s="2">
        <v>44967</v>
      </c>
      <c r="B552" t="s">
        <v>16</v>
      </c>
      <c r="C552" t="s">
        <v>61</v>
      </c>
      <c r="D552" t="s">
        <v>65</v>
      </c>
      <c r="E552" t="s">
        <v>64</v>
      </c>
      <c r="F552" t="s">
        <v>27</v>
      </c>
      <c r="G552" t="s">
        <v>44</v>
      </c>
      <c r="H552">
        <v>12</v>
      </c>
      <c r="I552">
        <v>1020.42</v>
      </c>
      <c r="J552">
        <v>11020.536000000002</v>
      </c>
      <c r="K552">
        <v>1224.5040000000001</v>
      </c>
      <c r="L552">
        <v>12245.04</v>
      </c>
      <c r="M552">
        <v>2204.1071999999999</v>
      </c>
      <c r="N552">
        <v>14449.147200000001</v>
      </c>
      <c r="O552" t="s">
        <v>87</v>
      </c>
      <c r="P552" t="s">
        <v>101</v>
      </c>
    </row>
    <row r="553" spans="1:16" x14ac:dyDescent="0.25">
      <c r="A553" s="2">
        <v>45065</v>
      </c>
      <c r="B553" t="s">
        <v>29</v>
      </c>
      <c r="C553" t="s">
        <v>54</v>
      </c>
      <c r="D553" t="s">
        <v>12</v>
      </c>
      <c r="E553" t="s">
        <v>18</v>
      </c>
      <c r="F553" t="s">
        <v>32</v>
      </c>
      <c r="G553" t="s">
        <v>36</v>
      </c>
      <c r="H553">
        <v>15</v>
      </c>
      <c r="I553">
        <v>1669.04</v>
      </c>
      <c r="J553">
        <v>22532.04</v>
      </c>
      <c r="K553">
        <v>2503.56</v>
      </c>
      <c r="L553">
        <v>25035.599999999999</v>
      </c>
      <c r="M553">
        <v>4506.4079999999994</v>
      </c>
      <c r="N553">
        <v>29542.007999999998</v>
      </c>
      <c r="O553" t="s">
        <v>87</v>
      </c>
      <c r="P553" t="s">
        <v>100</v>
      </c>
    </row>
    <row r="554" spans="1:16" x14ac:dyDescent="0.25">
      <c r="A554" s="2">
        <v>45186</v>
      </c>
      <c r="B554" t="s">
        <v>40</v>
      </c>
      <c r="C554" t="s">
        <v>59</v>
      </c>
      <c r="D554" t="s">
        <v>66</v>
      </c>
      <c r="E554" t="s">
        <v>41</v>
      </c>
      <c r="F554" t="s">
        <v>19</v>
      </c>
      <c r="G554" t="s">
        <v>52</v>
      </c>
      <c r="H554">
        <v>18</v>
      </c>
      <c r="I554">
        <v>138.01</v>
      </c>
      <c r="J554">
        <v>2235.7619999999997</v>
      </c>
      <c r="K554">
        <v>248.41800000000001</v>
      </c>
      <c r="L554">
        <v>2484.1799999999998</v>
      </c>
      <c r="M554">
        <v>447.15239999999994</v>
      </c>
      <c r="N554">
        <v>2931.3323999999998</v>
      </c>
      <c r="O554" t="s">
        <v>87</v>
      </c>
      <c r="P554" t="s">
        <v>66</v>
      </c>
    </row>
    <row r="555" spans="1:16" x14ac:dyDescent="0.25">
      <c r="A555" s="2">
        <v>45138</v>
      </c>
      <c r="B555" t="s">
        <v>40</v>
      </c>
      <c r="C555" t="s">
        <v>35</v>
      </c>
      <c r="D555" t="s">
        <v>65</v>
      </c>
      <c r="E555" t="s">
        <v>64</v>
      </c>
      <c r="F555" t="s">
        <v>19</v>
      </c>
      <c r="G555" t="s">
        <v>20</v>
      </c>
      <c r="H555">
        <v>6</v>
      </c>
      <c r="I555">
        <v>3847.76</v>
      </c>
      <c r="J555">
        <v>20777.904000000002</v>
      </c>
      <c r="K555">
        <v>2308.6560000000004</v>
      </c>
      <c r="L555">
        <v>23086.560000000001</v>
      </c>
      <c r="M555">
        <v>4155.5807999999997</v>
      </c>
      <c r="N555">
        <v>27242.140800000001</v>
      </c>
      <c r="O555" t="s">
        <v>87</v>
      </c>
      <c r="P555" t="s">
        <v>101</v>
      </c>
    </row>
    <row r="556" spans="1:16" x14ac:dyDescent="0.25">
      <c r="A556" s="2">
        <v>45147</v>
      </c>
      <c r="B556" t="s">
        <v>38</v>
      </c>
      <c r="C556" t="s">
        <v>26</v>
      </c>
      <c r="D556" t="s">
        <v>12</v>
      </c>
      <c r="E556" t="s">
        <v>18</v>
      </c>
      <c r="F556" t="s">
        <v>27</v>
      </c>
      <c r="G556" t="s">
        <v>28</v>
      </c>
      <c r="H556">
        <v>4</v>
      </c>
      <c r="I556">
        <v>3246.52</v>
      </c>
      <c r="J556">
        <v>11687.472</v>
      </c>
      <c r="K556">
        <v>1298.6080000000002</v>
      </c>
      <c r="L556">
        <v>12986.08</v>
      </c>
      <c r="M556">
        <v>2337.4944</v>
      </c>
      <c r="N556">
        <v>15323.5744</v>
      </c>
      <c r="O556" t="s">
        <v>87</v>
      </c>
      <c r="P556" t="s">
        <v>100</v>
      </c>
    </row>
    <row r="557" spans="1:16" x14ac:dyDescent="0.25">
      <c r="A557" s="2">
        <v>44956</v>
      </c>
      <c r="B557" t="s">
        <v>43</v>
      </c>
      <c r="C557" t="s">
        <v>26</v>
      </c>
      <c r="D557" t="s">
        <v>12</v>
      </c>
      <c r="E557" t="s">
        <v>18</v>
      </c>
      <c r="F557" t="s">
        <v>19</v>
      </c>
      <c r="G557" t="s">
        <v>48</v>
      </c>
      <c r="H557">
        <v>14</v>
      </c>
      <c r="I557">
        <v>569.91</v>
      </c>
      <c r="J557">
        <v>7180.866</v>
      </c>
      <c r="K557">
        <v>797.87400000000002</v>
      </c>
      <c r="L557">
        <v>7978.74</v>
      </c>
      <c r="M557">
        <v>1436.1732</v>
      </c>
      <c r="N557">
        <v>9414.9131999999991</v>
      </c>
      <c r="O557" t="s">
        <v>87</v>
      </c>
      <c r="P557" t="s">
        <v>100</v>
      </c>
    </row>
    <row r="558" spans="1:16" x14ac:dyDescent="0.25">
      <c r="A558" s="2">
        <v>44938</v>
      </c>
      <c r="B558" t="s">
        <v>34</v>
      </c>
      <c r="C558" t="s">
        <v>56</v>
      </c>
      <c r="D558" t="s">
        <v>12</v>
      </c>
      <c r="E558" t="s">
        <v>18</v>
      </c>
      <c r="F558" t="s">
        <v>32</v>
      </c>
      <c r="G558" t="s">
        <v>36</v>
      </c>
      <c r="H558">
        <v>15</v>
      </c>
      <c r="I558">
        <v>4316.17</v>
      </c>
      <c r="J558">
        <v>58268.295000000006</v>
      </c>
      <c r="K558">
        <v>6474.255000000001</v>
      </c>
      <c r="L558">
        <v>64742.55</v>
      </c>
      <c r="M558">
        <v>11653.659</v>
      </c>
      <c r="N558">
        <v>76396.209000000003</v>
      </c>
      <c r="O558" t="s">
        <v>87</v>
      </c>
      <c r="P558" t="s">
        <v>100</v>
      </c>
    </row>
    <row r="559" spans="1:16" x14ac:dyDescent="0.25">
      <c r="A559" s="2">
        <v>45219</v>
      </c>
      <c r="B559" t="s">
        <v>16</v>
      </c>
      <c r="C559" t="s">
        <v>56</v>
      </c>
      <c r="D559" t="s">
        <v>12</v>
      </c>
      <c r="E559" t="s">
        <v>18</v>
      </c>
      <c r="F559" t="s">
        <v>23</v>
      </c>
      <c r="G559" t="s">
        <v>24</v>
      </c>
      <c r="H559">
        <v>17</v>
      </c>
      <c r="I559">
        <v>2209.62</v>
      </c>
      <c r="J559">
        <v>33807.186000000002</v>
      </c>
      <c r="K559">
        <v>3756.3540000000003</v>
      </c>
      <c r="L559">
        <v>37563.54</v>
      </c>
      <c r="M559">
        <v>6761.4372000000003</v>
      </c>
      <c r="N559">
        <v>44324.977200000001</v>
      </c>
      <c r="O559" t="s">
        <v>87</v>
      </c>
      <c r="P559" t="s">
        <v>100</v>
      </c>
    </row>
    <row r="560" spans="1:16" x14ac:dyDescent="0.25">
      <c r="A560" s="2">
        <v>45206</v>
      </c>
      <c r="B560" t="s">
        <v>34</v>
      </c>
      <c r="C560" t="s">
        <v>58</v>
      </c>
      <c r="D560" t="s">
        <v>12</v>
      </c>
      <c r="E560" t="s">
        <v>18</v>
      </c>
      <c r="F560" t="s">
        <v>14</v>
      </c>
      <c r="G560" t="s">
        <v>51</v>
      </c>
      <c r="H560">
        <v>16</v>
      </c>
      <c r="I560">
        <v>3296.61</v>
      </c>
      <c r="J560">
        <v>47471.184000000001</v>
      </c>
      <c r="K560">
        <v>5274.5760000000009</v>
      </c>
      <c r="L560">
        <v>52745.760000000002</v>
      </c>
      <c r="M560">
        <v>9494.2368000000006</v>
      </c>
      <c r="N560">
        <v>62239.996800000001</v>
      </c>
      <c r="O560" t="s">
        <v>87</v>
      </c>
      <c r="P560" t="s">
        <v>100</v>
      </c>
    </row>
    <row r="561" spans="1:16" x14ac:dyDescent="0.25">
      <c r="A561" s="2">
        <v>45078</v>
      </c>
      <c r="B561" t="s">
        <v>10</v>
      </c>
      <c r="C561" t="s">
        <v>26</v>
      </c>
      <c r="D561" t="s">
        <v>12</v>
      </c>
      <c r="E561" t="s">
        <v>18</v>
      </c>
      <c r="F561" t="s">
        <v>14</v>
      </c>
      <c r="G561" t="s">
        <v>15</v>
      </c>
      <c r="H561">
        <v>13</v>
      </c>
      <c r="I561">
        <v>523.83000000000004</v>
      </c>
      <c r="J561">
        <v>6128.8109999999997</v>
      </c>
      <c r="K561">
        <v>680.97900000000004</v>
      </c>
      <c r="L561">
        <v>6809.79</v>
      </c>
      <c r="M561">
        <v>1225.7621999999999</v>
      </c>
      <c r="N561">
        <v>8035.5522000000001</v>
      </c>
      <c r="O561" t="s">
        <v>87</v>
      </c>
      <c r="P561" t="s">
        <v>100</v>
      </c>
    </row>
    <row r="562" spans="1:16" x14ac:dyDescent="0.25">
      <c r="A562" s="2">
        <v>45182</v>
      </c>
      <c r="B562" t="s">
        <v>29</v>
      </c>
      <c r="C562" t="s">
        <v>54</v>
      </c>
      <c r="D562" t="s">
        <v>12</v>
      </c>
      <c r="E562" t="s">
        <v>18</v>
      </c>
      <c r="F562" t="s">
        <v>32</v>
      </c>
      <c r="G562" t="s">
        <v>36</v>
      </c>
      <c r="H562">
        <v>3</v>
      </c>
      <c r="I562">
        <v>916.53</v>
      </c>
      <c r="J562">
        <v>2474.6310000000003</v>
      </c>
      <c r="K562">
        <v>274.959</v>
      </c>
      <c r="L562">
        <v>2749.59</v>
      </c>
      <c r="M562">
        <v>494.92619999999999</v>
      </c>
      <c r="N562">
        <v>3244.5162</v>
      </c>
      <c r="O562" t="s">
        <v>87</v>
      </c>
      <c r="P562" t="s">
        <v>100</v>
      </c>
    </row>
    <row r="563" spans="1:16" x14ac:dyDescent="0.25">
      <c r="A563" s="2">
        <v>45089</v>
      </c>
      <c r="B563" t="s">
        <v>10</v>
      </c>
      <c r="C563" t="s">
        <v>59</v>
      </c>
      <c r="D563" t="s">
        <v>66</v>
      </c>
      <c r="E563" t="s">
        <v>41</v>
      </c>
      <c r="F563" t="s">
        <v>23</v>
      </c>
      <c r="G563" t="s">
        <v>39</v>
      </c>
      <c r="H563">
        <v>13</v>
      </c>
      <c r="I563">
        <v>1836.55</v>
      </c>
      <c r="J563">
        <v>21487.635000000002</v>
      </c>
      <c r="K563">
        <v>2387.5150000000003</v>
      </c>
      <c r="L563">
        <v>23875.15</v>
      </c>
      <c r="M563">
        <v>4297.527</v>
      </c>
      <c r="N563">
        <v>28172.677000000003</v>
      </c>
      <c r="O563" t="s">
        <v>87</v>
      </c>
      <c r="P563" t="s">
        <v>66</v>
      </c>
    </row>
    <row r="564" spans="1:16" x14ac:dyDescent="0.25">
      <c r="A564" s="2">
        <v>45033</v>
      </c>
      <c r="B564" t="s">
        <v>25</v>
      </c>
      <c r="C564" t="s">
        <v>61</v>
      </c>
      <c r="D564" t="s">
        <v>65</v>
      </c>
      <c r="E564" t="s">
        <v>64</v>
      </c>
      <c r="F564" t="s">
        <v>23</v>
      </c>
      <c r="G564" t="s">
        <v>24</v>
      </c>
      <c r="H564">
        <v>19</v>
      </c>
      <c r="I564">
        <v>2253.92</v>
      </c>
      <c r="J564">
        <v>38542.032000000007</v>
      </c>
      <c r="K564">
        <v>4282.4480000000003</v>
      </c>
      <c r="L564">
        <v>42824.480000000003</v>
      </c>
      <c r="M564">
        <v>7708.4063999999998</v>
      </c>
      <c r="N564">
        <v>50532.886400000003</v>
      </c>
      <c r="O564" t="s">
        <v>87</v>
      </c>
      <c r="P564" t="s">
        <v>101</v>
      </c>
    </row>
    <row r="565" spans="1:16" x14ac:dyDescent="0.25">
      <c r="A565" s="2">
        <v>45066</v>
      </c>
      <c r="B565" t="s">
        <v>25</v>
      </c>
      <c r="C565" t="s">
        <v>59</v>
      </c>
      <c r="D565" t="s">
        <v>66</v>
      </c>
      <c r="E565" t="s">
        <v>41</v>
      </c>
      <c r="F565" t="s">
        <v>14</v>
      </c>
      <c r="G565" t="s">
        <v>15</v>
      </c>
      <c r="H565">
        <v>13</v>
      </c>
      <c r="I565">
        <v>3617.07</v>
      </c>
      <c r="J565">
        <v>42319.719000000005</v>
      </c>
      <c r="K565">
        <v>4702.1910000000007</v>
      </c>
      <c r="L565">
        <v>47021.91</v>
      </c>
      <c r="M565">
        <v>8463.9438000000009</v>
      </c>
      <c r="N565">
        <v>55485.853800000004</v>
      </c>
      <c r="O565" t="s">
        <v>87</v>
      </c>
      <c r="P565" t="s">
        <v>66</v>
      </c>
    </row>
    <row r="566" spans="1:16" x14ac:dyDescent="0.25">
      <c r="A566" s="2">
        <v>44957</v>
      </c>
      <c r="B566" t="s">
        <v>38</v>
      </c>
      <c r="C566" t="s">
        <v>57</v>
      </c>
      <c r="D566" t="s">
        <v>22</v>
      </c>
      <c r="E566" t="s">
        <v>13</v>
      </c>
      <c r="F566" t="s">
        <v>27</v>
      </c>
      <c r="G566" t="s">
        <v>46</v>
      </c>
      <c r="H566">
        <v>5</v>
      </c>
      <c r="I566">
        <v>417.76</v>
      </c>
      <c r="J566">
        <v>1879.9200000000003</v>
      </c>
      <c r="K566">
        <v>208.88000000000002</v>
      </c>
      <c r="L566">
        <v>2088.8000000000002</v>
      </c>
      <c r="M566">
        <v>375.98400000000004</v>
      </c>
      <c r="N566">
        <v>2464.7840000000001</v>
      </c>
      <c r="O566" t="s">
        <v>87</v>
      </c>
      <c r="P566" t="s">
        <v>99</v>
      </c>
    </row>
    <row r="567" spans="1:16" x14ac:dyDescent="0.25">
      <c r="A567" s="2">
        <v>45085</v>
      </c>
      <c r="B567" t="s">
        <v>16</v>
      </c>
      <c r="C567" t="s">
        <v>11</v>
      </c>
      <c r="D567" t="s">
        <v>22</v>
      </c>
      <c r="E567" t="s">
        <v>13</v>
      </c>
      <c r="F567" t="s">
        <v>32</v>
      </c>
      <c r="G567" t="s">
        <v>33</v>
      </c>
      <c r="H567">
        <v>11</v>
      </c>
      <c r="I567">
        <v>864.29</v>
      </c>
      <c r="J567">
        <v>8556.4710000000014</v>
      </c>
      <c r="K567">
        <v>950.71900000000005</v>
      </c>
      <c r="L567">
        <v>9507.19</v>
      </c>
      <c r="M567">
        <v>1711.2942</v>
      </c>
      <c r="N567">
        <v>11218.484200000001</v>
      </c>
      <c r="O567" t="s">
        <v>87</v>
      </c>
      <c r="P567" t="s">
        <v>99</v>
      </c>
    </row>
    <row r="568" spans="1:16" x14ac:dyDescent="0.25">
      <c r="A568" s="2">
        <v>45004</v>
      </c>
      <c r="B568" t="s">
        <v>29</v>
      </c>
      <c r="C568" t="s">
        <v>58</v>
      </c>
      <c r="D568" t="s">
        <v>12</v>
      </c>
      <c r="E568" t="s">
        <v>18</v>
      </c>
      <c r="F568" t="s">
        <v>32</v>
      </c>
      <c r="G568" t="s">
        <v>33</v>
      </c>
      <c r="H568">
        <v>19</v>
      </c>
      <c r="I568">
        <v>2006.79</v>
      </c>
      <c r="J568">
        <v>34316.109000000004</v>
      </c>
      <c r="K568">
        <v>3812.9010000000003</v>
      </c>
      <c r="L568">
        <v>38129.01</v>
      </c>
      <c r="M568">
        <v>6863.2218000000003</v>
      </c>
      <c r="N568">
        <v>44992.231800000001</v>
      </c>
      <c r="O568" t="s">
        <v>87</v>
      </c>
      <c r="P568" t="s">
        <v>100</v>
      </c>
    </row>
    <row r="569" spans="1:16" x14ac:dyDescent="0.25">
      <c r="A569" s="2">
        <v>45060</v>
      </c>
      <c r="B569" t="s">
        <v>16</v>
      </c>
      <c r="C569" t="s">
        <v>35</v>
      </c>
      <c r="D569" t="s">
        <v>65</v>
      </c>
      <c r="E569" t="s">
        <v>64</v>
      </c>
      <c r="F569" t="s">
        <v>27</v>
      </c>
      <c r="G569" t="s">
        <v>44</v>
      </c>
      <c r="H569">
        <v>1</v>
      </c>
      <c r="I569">
        <v>403.2</v>
      </c>
      <c r="J569">
        <v>362.88</v>
      </c>
      <c r="K569">
        <v>40.32</v>
      </c>
      <c r="L569">
        <v>403.2</v>
      </c>
      <c r="M569">
        <v>72.575999999999993</v>
      </c>
      <c r="N569">
        <v>475.77599999999995</v>
      </c>
      <c r="O569" t="s">
        <v>87</v>
      </c>
      <c r="P569" t="s">
        <v>101</v>
      </c>
    </row>
    <row r="570" spans="1:16" x14ac:dyDescent="0.25">
      <c r="A570" s="2">
        <v>45247</v>
      </c>
      <c r="B570" t="s">
        <v>40</v>
      </c>
      <c r="C570" t="s">
        <v>59</v>
      </c>
      <c r="D570" t="s">
        <v>66</v>
      </c>
      <c r="E570" t="s">
        <v>41</v>
      </c>
      <c r="F570" t="s">
        <v>14</v>
      </c>
      <c r="G570" t="s">
        <v>53</v>
      </c>
      <c r="H570">
        <v>7</v>
      </c>
      <c r="I570">
        <v>2846.83</v>
      </c>
      <c r="J570">
        <v>17935.029000000002</v>
      </c>
      <c r="K570">
        <v>1992.7810000000002</v>
      </c>
      <c r="L570">
        <v>19927.810000000001</v>
      </c>
      <c r="M570">
        <v>3587.0057999999999</v>
      </c>
      <c r="N570">
        <v>23514.8158</v>
      </c>
      <c r="O570" t="s">
        <v>87</v>
      </c>
      <c r="P570" t="s">
        <v>66</v>
      </c>
    </row>
    <row r="571" spans="1:16" x14ac:dyDescent="0.25">
      <c r="A571" s="2">
        <v>44971</v>
      </c>
      <c r="B571" t="s">
        <v>10</v>
      </c>
      <c r="C571" t="s">
        <v>56</v>
      </c>
      <c r="D571" t="s">
        <v>12</v>
      </c>
      <c r="E571" t="s">
        <v>18</v>
      </c>
      <c r="F571" t="s">
        <v>23</v>
      </c>
      <c r="G571" t="s">
        <v>24</v>
      </c>
      <c r="H571">
        <v>5</v>
      </c>
      <c r="I571">
        <v>850.9</v>
      </c>
      <c r="J571">
        <v>3829.05</v>
      </c>
      <c r="K571">
        <v>425.45000000000005</v>
      </c>
      <c r="L571">
        <v>4254.5</v>
      </c>
      <c r="M571">
        <v>765.81</v>
      </c>
      <c r="N571">
        <v>5020.3099999999995</v>
      </c>
      <c r="O571" t="s">
        <v>87</v>
      </c>
      <c r="P571" t="s">
        <v>100</v>
      </c>
    </row>
    <row r="572" spans="1:16" x14ac:dyDescent="0.25">
      <c r="A572" s="2">
        <v>45223</v>
      </c>
      <c r="B572" t="s">
        <v>31</v>
      </c>
      <c r="C572" t="s">
        <v>58</v>
      </c>
      <c r="D572" t="s">
        <v>12</v>
      </c>
      <c r="E572" t="s">
        <v>18</v>
      </c>
      <c r="F572" t="s">
        <v>32</v>
      </c>
      <c r="G572" t="s">
        <v>49</v>
      </c>
      <c r="H572">
        <v>16</v>
      </c>
      <c r="I572">
        <v>3337.15</v>
      </c>
      <c r="J572">
        <v>48054.96</v>
      </c>
      <c r="K572">
        <v>5339.4400000000005</v>
      </c>
      <c r="L572">
        <v>53394.400000000001</v>
      </c>
      <c r="M572">
        <v>9610.9920000000002</v>
      </c>
      <c r="N572">
        <v>63005.392</v>
      </c>
      <c r="O572" t="s">
        <v>87</v>
      </c>
      <c r="P572" t="s">
        <v>100</v>
      </c>
    </row>
    <row r="573" spans="1:16" x14ac:dyDescent="0.25">
      <c r="A573" s="2">
        <v>45188</v>
      </c>
      <c r="B573" t="s">
        <v>31</v>
      </c>
      <c r="C573" t="s">
        <v>54</v>
      </c>
      <c r="D573" t="s">
        <v>12</v>
      </c>
      <c r="E573" t="s">
        <v>18</v>
      </c>
      <c r="F573" t="s">
        <v>23</v>
      </c>
      <c r="G573" t="s">
        <v>37</v>
      </c>
      <c r="H573">
        <v>15</v>
      </c>
      <c r="I573">
        <v>1299.55</v>
      </c>
      <c r="J573">
        <v>17543.924999999999</v>
      </c>
      <c r="K573">
        <v>1949.325</v>
      </c>
      <c r="L573">
        <v>19493.25</v>
      </c>
      <c r="M573">
        <v>3508.7849999999999</v>
      </c>
      <c r="N573">
        <v>23002.035</v>
      </c>
      <c r="O573" t="s">
        <v>87</v>
      </c>
      <c r="P573" t="s">
        <v>100</v>
      </c>
    </row>
    <row r="574" spans="1:16" x14ac:dyDescent="0.25">
      <c r="A574" s="2">
        <v>45043</v>
      </c>
      <c r="B574" t="s">
        <v>31</v>
      </c>
      <c r="C574" t="s">
        <v>54</v>
      </c>
      <c r="D574" t="s">
        <v>12</v>
      </c>
      <c r="E574" t="s">
        <v>18</v>
      </c>
      <c r="F574" t="s">
        <v>27</v>
      </c>
      <c r="G574" t="s">
        <v>44</v>
      </c>
      <c r="H574">
        <v>7</v>
      </c>
      <c r="I574">
        <v>4898.57</v>
      </c>
      <c r="J574">
        <v>30860.990999999998</v>
      </c>
      <c r="K574">
        <v>3428.9989999999998</v>
      </c>
      <c r="L574">
        <v>34289.99</v>
      </c>
      <c r="M574">
        <v>6172.1981999999998</v>
      </c>
      <c r="N574">
        <v>40462.188199999997</v>
      </c>
      <c r="O574" t="s">
        <v>87</v>
      </c>
      <c r="P574" t="s">
        <v>100</v>
      </c>
    </row>
    <row r="575" spans="1:16" x14ac:dyDescent="0.25">
      <c r="A575" s="2">
        <v>44964</v>
      </c>
      <c r="B575" t="s">
        <v>10</v>
      </c>
      <c r="C575" t="s">
        <v>17</v>
      </c>
      <c r="D575" t="s">
        <v>65</v>
      </c>
      <c r="E575" t="s">
        <v>64</v>
      </c>
      <c r="F575" t="s">
        <v>23</v>
      </c>
      <c r="G575" t="s">
        <v>47</v>
      </c>
      <c r="H575">
        <v>11</v>
      </c>
      <c r="I575">
        <v>2471.65</v>
      </c>
      <c r="J575">
        <v>24469.335000000003</v>
      </c>
      <c r="K575">
        <v>2718.8150000000005</v>
      </c>
      <c r="L575">
        <v>27188.15</v>
      </c>
      <c r="M575">
        <v>4893.8670000000002</v>
      </c>
      <c r="N575">
        <v>32082.017</v>
      </c>
      <c r="O575" t="s">
        <v>87</v>
      </c>
      <c r="P575" t="s">
        <v>101</v>
      </c>
    </row>
    <row r="576" spans="1:16" x14ac:dyDescent="0.25">
      <c r="A576" s="2">
        <v>44942</v>
      </c>
      <c r="B576" t="s">
        <v>31</v>
      </c>
      <c r="C576" t="s">
        <v>55</v>
      </c>
      <c r="D576" t="s">
        <v>66</v>
      </c>
      <c r="E576" t="s">
        <v>41</v>
      </c>
      <c r="F576" t="s">
        <v>19</v>
      </c>
      <c r="G576" t="s">
        <v>30</v>
      </c>
      <c r="H576">
        <v>2</v>
      </c>
      <c r="I576">
        <v>1125.53</v>
      </c>
      <c r="J576">
        <v>2025.954</v>
      </c>
      <c r="K576">
        <v>225.10599999999999</v>
      </c>
      <c r="L576">
        <v>2251.06</v>
      </c>
      <c r="M576">
        <v>405.19079999999997</v>
      </c>
      <c r="N576">
        <v>2656.2507999999998</v>
      </c>
      <c r="O576" t="s">
        <v>87</v>
      </c>
      <c r="P576" t="s">
        <v>66</v>
      </c>
    </row>
    <row r="577" spans="1:16" x14ac:dyDescent="0.25">
      <c r="A577" s="2">
        <v>45171</v>
      </c>
      <c r="B577" t="s">
        <v>21</v>
      </c>
      <c r="C577" t="s">
        <v>35</v>
      </c>
      <c r="D577" t="s">
        <v>65</v>
      </c>
      <c r="E577" t="s">
        <v>64</v>
      </c>
      <c r="F577" t="s">
        <v>14</v>
      </c>
      <c r="G577" t="s">
        <v>15</v>
      </c>
      <c r="H577">
        <v>13</v>
      </c>
      <c r="I577">
        <v>2835.8</v>
      </c>
      <c r="J577">
        <v>33178.86</v>
      </c>
      <c r="K577">
        <v>3686.5400000000004</v>
      </c>
      <c r="L577">
        <v>36865.4</v>
      </c>
      <c r="M577">
        <v>6635.7719999999999</v>
      </c>
      <c r="N577">
        <v>43501.171999999999</v>
      </c>
      <c r="O577" t="s">
        <v>87</v>
      </c>
      <c r="P577" t="s">
        <v>101</v>
      </c>
    </row>
    <row r="578" spans="1:16" x14ac:dyDescent="0.25">
      <c r="A578" s="2">
        <v>45027</v>
      </c>
      <c r="B578" t="s">
        <v>34</v>
      </c>
      <c r="C578" t="s">
        <v>54</v>
      </c>
      <c r="D578" t="s">
        <v>12</v>
      </c>
      <c r="E578" t="s">
        <v>18</v>
      </c>
      <c r="F578" t="s">
        <v>27</v>
      </c>
      <c r="G578" t="s">
        <v>44</v>
      </c>
      <c r="H578">
        <v>17</v>
      </c>
      <c r="I578">
        <v>3973.87</v>
      </c>
      <c r="J578">
        <v>60800.210999999996</v>
      </c>
      <c r="K578">
        <v>6755.5789999999997</v>
      </c>
      <c r="L578">
        <v>67555.789999999994</v>
      </c>
      <c r="M578">
        <v>12160.042199999998</v>
      </c>
      <c r="N578">
        <v>79715.83219999999</v>
      </c>
      <c r="O578" t="s">
        <v>87</v>
      </c>
      <c r="P578" t="s">
        <v>100</v>
      </c>
    </row>
    <row r="579" spans="1:16" x14ac:dyDescent="0.25">
      <c r="A579" s="2">
        <v>44938</v>
      </c>
      <c r="B579" t="s">
        <v>21</v>
      </c>
      <c r="C579" t="s">
        <v>59</v>
      </c>
      <c r="D579" t="s">
        <v>66</v>
      </c>
      <c r="E579" t="s">
        <v>41</v>
      </c>
      <c r="F579" t="s">
        <v>32</v>
      </c>
      <c r="G579" t="s">
        <v>50</v>
      </c>
      <c r="H579">
        <v>4</v>
      </c>
      <c r="I579">
        <v>1998.26</v>
      </c>
      <c r="J579">
        <v>7193.7359999999999</v>
      </c>
      <c r="K579">
        <v>799.30400000000009</v>
      </c>
      <c r="L579">
        <v>7993.04</v>
      </c>
      <c r="M579">
        <v>1438.7472</v>
      </c>
      <c r="N579">
        <v>9431.7872000000007</v>
      </c>
      <c r="O579" t="s">
        <v>87</v>
      </c>
      <c r="P579" t="s">
        <v>66</v>
      </c>
    </row>
    <row r="580" spans="1:16" x14ac:dyDescent="0.25">
      <c r="A580" s="2">
        <v>45207</v>
      </c>
      <c r="B580" t="s">
        <v>29</v>
      </c>
      <c r="C580" t="s">
        <v>57</v>
      </c>
      <c r="D580" t="s">
        <v>22</v>
      </c>
      <c r="E580" t="s">
        <v>13</v>
      </c>
      <c r="F580" t="s">
        <v>19</v>
      </c>
      <c r="G580" t="s">
        <v>30</v>
      </c>
      <c r="H580">
        <v>7</v>
      </c>
      <c r="I580">
        <v>3820.3</v>
      </c>
      <c r="J580">
        <v>24067.89</v>
      </c>
      <c r="K580">
        <v>2674.21</v>
      </c>
      <c r="L580">
        <v>26742.1</v>
      </c>
      <c r="M580">
        <v>4813.5779999999995</v>
      </c>
      <c r="N580">
        <v>31555.678</v>
      </c>
      <c r="O580" t="s">
        <v>87</v>
      </c>
      <c r="P580" t="s">
        <v>99</v>
      </c>
    </row>
    <row r="581" spans="1:16" x14ac:dyDescent="0.25">
      <c r="A581" s="2">
        <v>44979</v>
      </c>
      <c r="B581" t="s">
        <v>10</v>
      </c>
      <c r="C581" t="s">
        <v>60</v>
      </c>
      <c r="D581" t="s">
        <v>12</v>
      </c>
      <c r="E581" t="s">
        <v>18</v>
      </c>
      <c r="F581" t="s">
        <v>19</v>
      </c>
      <c r="G581" t="s">
        <v>52</v>
      </c>
      <c r="H581">
        <v>19</v>
      </c>
      <c r="I581">
        <v>2199.3200000000002</v>
      </c>
      <c r="J581">
        <v>37608.372000000003</v>
      </c>
      <c r="K581">
        <v>4178.7080000000005</v>
      </c>
      <c r="L581">
        <v>41787.08</v>
      </c>
      <c r="M581">
        <v>7521.6743999999999</v>
      </c>
      <c r="N581">
        <v>49308.754400000005</v>
      </c>
      <c r="O581" t="s">
        <v>87</v>
      </c>
      <c r="P581" t="s">
        <v>100</v>
      </c>
    </row>
    <row r="582" spans="1:16" x14ac:dyDescent="0.25">
      <c r="A582" s="2">
        <v>45091</v>
      </c>
      <c r="B582" t="s">
        <v>25</v>
      </c>
      <c r="C582" t="s">
        <v>17</v>
      </c>
      <c r="D582" t="s">
        <v>65</v>
      </c>
      <c r="E582" t="s">
        <v>64</v>
      </c>
      <c r="F582" t="s">
        <v>27</v>
      </c>
      <c r="G582" t="s">
        <v>28</v>
      </c>
      <c r="H582">
        <v>6</v>
      </c>
      <c r="I582">
        <v>578.64</v>
      </c>
      <c r="J582">
        <v>3124.6560000000004</v>
      </c>
      <c r="K582">
        <v>347.18400000000003</v>
      </c>
      <c r="L582">
        <v>3471.84</v>
      </c>
      <c r="M582">
        <v>624.93119999999999</v>
      </c>
      <c r="N582">
        <v>4096.7712000000001</v>
      </c>
      <c r="O582" t="s">
        <v>87</v>
      </c>
      <c r="P582" t="s">
        <v>101</v>
      </c>
    </row>
    <row r="583" spans="1:16" x14ac:dyDescent="0.25">
      <c r="A583" s="2">
        <v>45237</v>
      </c>
      <c r="B583" t="s">
        <v>29</v>
      </c>
      <c r="C583" t="s">
        <v>56</v>
      </c>
      <c r="D583" t="s">
        <v>12</v>
      </c>
      <c r="E583" t="s">
        <v>18</v>
      </c>
      <c r="F583" t="s">
        <v>32</v>
      </c>
      <c r="G583" t="s">
        <v>36</v>
      </c>
      <c r="H583">
        <v>5</v>
      </c>
      <c r="I583">
        <v>1488.21</v>
      </c>
      <c r="J583">
        <v>6696.9450000000006</v>
      </c>
      <c r="K583">
        <v>744.10500000000002</v>
      </c>
      <c r="L583">
        <v>7441.05</v>
      </c>
      <c r="M583">
        <v>1339.3889999999999</v>
      </c>
      <c r="N583">
        <v>8780.4390000000003</v>
      </c>
      <c r="O583" t="s">
        <v>87</v>
      </c>
      <c r="P583" t="s">
        <v>100</v>
      </c>
    </row>
    <row r="584" spans="1:16" x14ac:dyDescent="0.25">
      <c r="A584" s="2">
        <v>45282</v>
      </c>
      <c r="B584" t="s">
        <v>38</v>
      </c>
      <c r="C584" t="s">
        <v>17</v>
      </c>
      <c r="D584" t="s">
        <v>65</v>
      </c>
      <c r="E584" t="s">
        <v>64</v>
      </c>
      <c r="F584" t="s">
        <v>14</v>
      </c>
      <c r="G584" t="s">
        <v>53</v>
      </c>
      <c r="H584">
        <v>19</v>
      </c>
      <c r="I584">
        <v>3196.27</v>
      </c>
      <c r="J584">
        <v>54656.216999999997</v>
      </c>
      <c r="K584">
        <v>6072.9130000000005</v>
      </c>
      <c r="L584">
        <v>60729.13</v>
      </c>
      <c r="M584">
        <v>10931.243399999999</v>
      </c>
      <c r="N584">
        <v>71660.373399999997</v>
      </c>
      <c r="O584" t="s">
        <v>87</v>
      </c>
      <c r="P584" t="s">
        <v>101</v>
      </c>
    </row>
    <row r="585" spans="1:16" x14ac:dyDescent="0.25">
      <c r="A585" s="2">
        <v>45087</v>
      </c>
      <c r="B585" t="s">
        <v>21</v>
      </c>
      <c r="C585" t="s">
        <v>63</v>
      </c>
      <c r="D585" t="s">
        <v>65</v>
      </c>
      <c r="E585" t="s">
        <v>64</v>
      </c>
      <c r="F585" t="s">
        <v>27</v>
      </c>
      <c r="G585" t="s">
        <v>28</v>
      </c>
      <c r="H585">
        <v>5</v>
      </c>
      <c r="I585">
        <v>1018.53</v>
      </c>
      <c r="J585">
        <v>4583.3850000000002</v>
      </c>
      <c r="K585">
        <v>509.26499999999999</v>
      </c>
      <c r="L585">
        <v>5092.6499999999996</v>
      </c>
      <c r="M585">
        <v>916.67699999999991</v>
      </c>
      <c r="N585">
        <v>6009.3269999999993</v>
      </c>
      <c r="O585" t="s">
        <v>87</v>
      </c>
      <c r="P585" t="s">
        <v>101</v>
      </c>
    </row>
    <row r="586" spans="1:16" x14ac:dyDescent="0.25">
      <c r="A586" s="2">
        <v>45105</v>
      </c>
      <c r="B586" t="s">
        <v>34</v>
      </c>
      <c r="C586" t="s">
        <v>58</v>
      </c>
      <c r="D586" t="s">
        <v>12</v>
      </c>
      <c r="E586" t="s">
        <v>18</v>
      </c>
      <c r="F586" t="s">
        <v>19</v>
      </c>
      <c r="G586" t="s">
        <v>48</v>
      </c>
      <c r="H586">
        <v>13</v>
      </c>
      <c r="I586">
        <v>1367.15</v>
      </c>
      <c r="J586">
        <v>15995.655000000001</v>
      </c>
      <c r="K586">
        <v>1777.2950000000001</v>
      </c>
      <c r="L586">
        <v>17772.95</v>
      </c>
      <c r="M586">
        <v>3199.1309999999999</v>
      </c>
      <c r="N586">
        <v>20972.081000000002</v>
      </c>
      <c r="O586" t="s">
        <v>87</v>
      </c>
      <c r="P586" t="s">
        <v>100</v>
      </c>
    </row>
    <row r="587" spans="1:16" x14ac:dyDescent="0.25">
      <c r="A587" s="2">
        <v>45206</v>
      </c>
      <c r="B587" t="s">
        <v>21</v>
      </c>
      <c r="C587" t="s">
        <v>56</v>
      </c>
      <c r="D587" t="s">
        <v>12</v>
      </c>
      <c r="E587" t="s">
        <v>18</v>
      </c>
      <c r="F587" t="s">
        <v>32</v>
      </c>
      <c r="G587" t="s">
        <v>50</v>
      </c>
      <c r="H587">
        <v>19</v>
      </c>
      <c r="I587">
        <v>4996.28</v>
      </c>
      <c r="J587">
        <v>85436.388000000006</v>
      </c>
      <c r="K587">
        <v>9492.9320000000007</v>
      </c>
      <c r="L587">
        <v>94929.32</v>
      </c>
      <c r="M587">
        <v>17087.277600000001</v>
      </c>
      <c r="N587">
        <v>112016.59760000001</v>
      </c>
      <c r="O587" t="s">
        <v>87</v>
      </c>
      <c r="P587" t="s">
        <v>100</v>
      </c>
    </row>
    <row r="588" spans="1:16" x14ac:dyDescent="0.25">
      <c r="A588" s="2">
        <v>45230</v>
      </c>
      <c r="B588" t="s">
        <v>43</v>
      </c>
      <c r="C588" t="s">
        <v>26</v>
      </c>
      <c r="D588" t="s">
        <v>12</v>
      </c>
      <c r="E588" t="s">
        <v>18</v>
      </c>
      <c r="F588" t="s">
        <v>23</v>
      </c>
      <c r="G588" t="s">
        <v>39</v>
      </c>
      <c r="H588">
        <v>3</v>
      </c>
      <c r="I588">
        <v>4447.8999999999996</v>
      </c>
      <c r="J588">
        <v>12009.330000000002</v>
      </c>
      <c r="K588">
        <v>1334.3700000000001</v>
      </c>
      <c r="L588">
        <v>13343.7</v>
      </c>
      <c r="M588">
        <v>2401.866</v>
      </c>
      <c r="N588">
        <v>15745.566000000001</v>
      </c>
      <c r="O588" t="s">
        <v>87</v>
      </c>
      <c r="P588" t="s">
        <v>100</v>
      </c>
    </row>
    <row r="589" spans="1:16" x14ac:dyDescent="0.25">
      <c r="A589" s="2">
        <v>45067</v>
      </c>
      <c r="B589" t="s">
        <v>34</v>
      </c>
      <c r="C589" t="s">
        <v>59</v>
      </c>
      <c r="D589" t="s">
        <v>66</v>
      </c>
      <c r="E589" t="s">
        <v>41</v>
      </c>
      <c r="F589" t="s">
        <v>19</v>
      </c>
      <c r="G589" t="s">
        <v>20</v>
      </c>
      <c r="H589">
        <v>10</v>
      </c>
      <c r="I589">
        <v>1318.51</v>
      </c>
      <c r="J589">
        <v>11866.59</v>
      </c>
      <c r="K589">
        <v>1318.5100000000002</v>
      </c>
      <c r="L589">
        <v>13185.1</v>
      </c>
      <c r="M589">
        <v>2373.3179999999998</v>
      </c>
      <c r="N589">
        <v>15558.418</v>
      </c>
      <c r="O589" t="s">
        <v>87</v>
      </c>
      <c r="P589" t="s">
        <v>66</v>
      </c>
    </row>
    <row r="590" spans="1:16" x14ac:dyDescent="0.25">
      <c r="A590" s="2">
        <v>44976</v>
      </c>
      <c r="B590" t="s">
        <v>10</v>
      </c>
      <c r="C590" t="s">
        <v>17</v>
      </c>
      <c r="D590" t="s">
        <v>65</v>
      </c>
      <c r="E590" t="s">
        <v>64</v>
      </c>
      <c r="F590" t="s">
        <v>27</v>
      </c>
      <c r="G590" t="s">
        <v>46</v>
      </c>
      <c r="H590">
        <v>20</v>
      </c>
      <c r="I590">
        <v>1731.99</v>
      </c>
      <c r="J590">
        <v>31175.820000000003</v>
      </c>
      <c r="K590">
        <v>3463.9800000000005</v>
      </c>
      <c r="L590">
        <v>34639.800000000003</v>
      </c>
      <c r="M590">
        <v>6235.1640000000007</v>
      </c>
      <c r="N590">
        <v>40874.964000000007</v>
      </c>
      <c r="O590" t="s">
        <v>87</v>
      </c>
      <c r="P590" t="s">
        <v>101</v>
      </c>
    </row>
    <row r="591" spans="1:16" x14ac:dyDescent="0.25">
      <c r="A591" s="2">
        <v>45261</v>
      </c>
      <c r="B591" t="s">
        <v>34</v>
      </c>
      <c r="C591" t="s">
        <v>11</v>
      </c>
      <c r="D591" t="s">
        <v>22</v>
      </c>
      <c r="E591" t="s">
        <v>13</v>
      </c>
      <c r="F591" t="s">
        <v>23</v>
      </c>
      <c r="G591" t="s">
        <v>24</v>
      </c>
      <c r="H591">
        <v>12</v>
      </c>
      <c r="I591">
        <v>4514.3900000000003</v>
      </c>
      <c r="J591">
        <v>48755.412000000004</v>
      </c>
      <c r="K591">
        <v>5417.268</v>
      </c>
      <c r="L591">
        <v>54172.68</v>
      </c>
      <c r="M591">
        <v>9751.0823999999993</v>
      </c>
      <c r="N591">
        <v>63923.7624</v>
      </c>
      <c r="O591" t="s">
        <v>87</v>
      </c>
      <c r="P591" t="s">
        <v>99</v>
      </c>
    </row>
    <row r="592" spans="1:16" x14ac:dyDescent="0.25">
      <c r="A592" s="2">
        <v>45205</v>
      </c>
      <c r="B592" t="s">
        <v>43</v>
      </c>
      <c r="C592" t="s">
        <v>54</v>
      </c>
      <c r="D592" t="s">
        <v>12</v>
      </c>
      <c r="E592" t="s">
        <v>18</v>
      </c>
      <c r="F592" t="s">
        <v>14</v>
      </c>
      <c r="G592" t="s">
        <v>51</v>
      </c>
      <c r="H592">
        <v>20</v>
      </c>
      <c r="I592">
        <v>1710.93</v>
      </c>
      <c r="J592">
        <v>30796.739999999998</v>
      </c>
      <c r="K592">
        <v>3421.86</v>
      </c>
      <c r="L592">
        <v>34218.6</v>
      </c>
      <c r="M592">
        <v>6159.348</v>
      </c>
      <c r="N592">
        <v>40377.947999999997</v>
      </c>
      <c r="O592" t="s">
        <v>87</v>
      </c>
      <c r="P592" t="s">
        <v>100</v>
      </c>
    </row>
    <row r="593" spans="1:16" x14ac:dyDescent="0.25">
      <c r="A593" s="2">
        <v>45056</v>
      </c>
      <c r="B593" t="s">
        <v>16</v>
      </c>
      <c r="C593" t="s">
        <v>62</v>
      </c>
      <c r="D593" t="s">
        <v>65</v>
      </c>
      <c r="E593" t="s">
        <v>64</v>
      </c>
      <c r="F593" t="s">
        <v>19</v>
      </c>
      <c r="G593" t="s">
        <v>30</v>
      </c>
      <c r="H593">
        <v>19</v>
      </c>
      <c r="I593">
        <v>491.53</v>
      </c>
      <c r="J593">
        <v>8405.1630000000005</v>
      </c>
      <c r="K593">
        <v>933.90700000000004</v>
      </c>
      <c r="L593">
        <v>9339.07</v>
      </c>
      <c r="M593">
        <v>1681.0325999999998</v>
      </c>
      <c r="N593">
        <v>11020.1026</v>
      </c>
      <c r="O593" t="s">
        <v>87</v>
      </c>
      <c r="P593" t="s">
        <v>101</v>
      </c>
    </row>
    <row r="594" spans="1:16" x14ac:dyDescent="0.25">
      <c r="A594" s="2">
        <v>45150</v>
      </c>
      <c r="B594" t="s">
        <v>43</v>
      </c>
      <c r="C594" t="s">
        <v>54</v>
      </c>
      <c r="D594" t="s">
        <v>12</v>
      </c>
      <c r="E594" t="s">
        <v>18</v>
      </c>
      <c r="F594" t="s">
        <v>27</v>
      </c>
      <c r="G594" t="s">
        <v>28</v>
      </c>
      <c r="H594">
        <v>6</v>
      </c>
      <c r="I594">
        <v>203.88</v>
      </c>
      <c r="J594">
        <v>1100.952</v>
      </c>
      <c r="K594">
        <v>122.328</v>
      </c>
      <c r="L594">
        <v>1223.28</v>
      </c>
      <c r="M594">
        <v>220.19039999999998</v>
      </c>
      <c r="N594">
        <v>1443.4703999999999</v>
      </c>
      <c r="O594" t="s">
        <v>87</v>
      </c>
      <c r="P594" t="s">
        <v>100</v>
      </c>
    </row>
    <row r="595" spans="1:16" x14ac:dyDescent="0.25">
      <c r="A595" s="2">
        <v>45011</v>
      </c>
      <c r="B595" t="s">
        <v>16</v>
      </c>
      <c r="C595" t="s">
        <v>26</v>
      </c>
      <c r="D595" t="s">
        <v>12</v>
      </c>
      <c r="E595" t="s">
        <v>18</v>
      </c>
      <c r="F595" t="s">
        <v>19</v>
      </c>
      <c r="G595" t="s">
        <v>20</v>
      </c>
      <c r="H595">
        <v>19</v>
      </c>
      <c r="I595">
        <v>4786.8900000000003</v>
      </c>
      <c r="J595">
        <v>81855.819000000003</v>
      </c>
      <c r="K595">
        <v>9095.0910000000003</v>
      </c>
      <c r="L595">
        <v>90950.91</v>
      </c>
      <c r="M595">
        <v>16371.1638</v>
      </c>
      <c r="N595">
        <v>107322.0738</v>
      </c>
      <c r="O595" t="s">
        <v>87</v>
      </c>
      <c r="P595" t="s">
        <v>100</v>
      </c>
    </row>
    <row r="596" spans="1:16" x14ac:dyDescent="0.25">
      <c r="A596" s="2">
        <v>45240</v>
      </c>
      <c r="B596" t="s">
        <v>43</v>
      </c>
      <c r="C596" t="s">
        <v>57</v>
      </c>
      <c r="D596" t="s">
        <v>22</v>
      </c>
      <c r="E596" t="s">
        <v>13</v>
      </c>
      <c r="F596" t="s">
        <v>23</v>
      </c>
      <c r="G596" t="s">
        <v>39</v>
      </c>
      <c r="H596">
        <v>11</v>
      </c>
      <c r="I596">
        <v>2666.77</v>
      </c>
      <c r="J596">
        <v>26401.023000000001</v>
      </c>
      <c r="K596">
        <v>2933.4470000000001</v>
      </c>
      <c r="L596">
        <v>29334.47</v>
      </c>
      <c r="M596">
        <v>5280.2046</v>
      </c>
      <c r="N596">
        <v>34614.674599999998</v>
      </c>
      <c r="O596" t="s">
        <v>87</v>
      </c>
      <c r="P596" t="s">
        <v>99</v>
      </c>
    </row>
    <row r="597" spans="1:16" x14ac:dyDescent="0.25">
      <c r="A597" s="2">
        <v>44967</v>
      </c>
      <c r="B597" t="s">
        <v>25</v>
      </c>
      <c r="C597" t="s">
        <v>11</v>
      </c>
      <c r="D597" t="s">
        <v>22</v>
      </c>
      <c r="E597" t="s">
        <v>13</v>
      </c>
      <c r="F597" t="s">
        <v>32</v>
      </c>
      <c r="G597" t="s">
        <v>33</v>
      </c>
      <c r="H597">
        <v>19</v>
      </c>
      <c r="I597">
        <v>2174.7600000000002</v>
      </c>
      <c r="J597">
        <v>37188.396000000001</v>
      </c>
      <c r="K597">
        <v>4132.0440000000008</v>
      </c>
      <c r="L597">
        <v>41320.44</v>
      </c>
      <c r="M597">
        <v>7437.6792000000005</v>
      </c>
      <c r="N597">
        <v>48758.119200000001</v>
      </c>
      <c r="O597" t="s">
        <v>87</v>
      </c>
      <c r="P597" t="s">
        <v>99</v>
      </c>
    </row>
    <row r="598" spans="1:16" x14ac:dyDescent="0.25">
      <c r="A598" s="2">
        <v>45163</v>
      </c>
      <c r="B598" t="s">
        <v>25</v>
      </c>
      <c r="C598" t="s">
        <v>63</v>
      </c>
      <c r="D598" t="s">
        <v>65</v>
      </c>
      <c r="E598" t="s">
        <v>64</v>
      </c>
      <c r="F598" t="s">
        <v>19</v>
      </c>
      <c r="G598" t="s">
        <v>52</v>
      </c>
      <c r="H598">
        <v>1</v>
      </c>
      <c r="I598">
        <v>1678.18</v>
      </c>
      <c r="J598">
        <v>1510.3620000000001</v>
      </c>
      <c r="K598">
        <v>167.81800000000001</v>
      </c>
      <c r="L598">
        <v>1678.18</v>
      </c>
      <c r="M598">
        <v>302.07240000000002</v>
      </c>
      <c r="N598">
        <v>1980.2524000000001</v>
      </c>
      <c r="O598" t="s">
        <v>87</v>
      </c>
      <c r="P598" t="s">
        <v>101</v>
      </c>
    </row>
    <row r="599" spans="1:16" x14ac:dyDescent="0.25">
      <c r="A599" s="2">
        <v>45042</v>
      </c>
      <c r="B599" t="s">
        <v>31</v>
      </c>
      <c r="C599" t="s">
        <v>11</v>
      </c>
      <c r="D599" t="s">
        <v>22</v>
      </c>
      <c r="E599" t="s">
        <v>13</v>
      </c>
      <c r="F599" t="s">
        <v>32</v>
      </c>
      <c r="G599" t="s">
        <v>49</v>
      </c>
      <c r="H599">
        <v>20</v>
      </c>
      <c r="I599">
        <v>2163.9499999999998</v>
      </c>
      <c r="J599">
        <v>38951.1</v>
      </c>
      <c r="K599">
        <v>4327.9000000000005</v>
      </c>
      <c r="L599">
        <v>43279</v>
      </c>
      <c r="M599">
        <v>7790.2199999999993</v>
      </c>
      <c r="N599">
        <v>51069.22</v>
      </c>
      <c r="O599" t="s">
        <v>87</v>
      </c>
      <c r="P599" t="s">
        <v>99</v>
      </c>
    </row>
    <row r="600" spans="1:16" x14ac:dyDescent="0.25">
      <c r="A600" s="2">
        <v>45265</v>
      </c>
      <c r="B600" t="s">
        <v>25</v>
      </c>
      <c r="C600" t="s">
        <v>11</v>
      </c>
      <c r="D600" t="s">
        <v>22</v>
      </c>
      <c r="E600" t="s">
        <v>13</v>
      </c>
      <c r="F600" t="s">
        <v>14</v>
      </c>
      <c r="G600" t="s">
        <v>15</v>
      </c>
      <c r="H600">
        <v>18</v>
      </c>
      <c r="I600">
        <v>3511.28</v>
      </c>
      <c r="J600">
        <v>56882.736000000004</v>
      </c>
      <c r="K600">
        <v>6320.3040000000001</v>
      </c>
      <c r="L600">
        <v>63203.040000000001</v>
      </c>
      <c r="M600">
        <v>11376.547199999999</v>
      </c>
      <c r="N600">
        <v>74579.587199999994</v>
      </c>
      <c r="O600" t="s">
        <v>87</v>
      </c>
      <c r="P600" t="s">
        <v>99</v>
      </c>
    </row>
    <row r="601" spans="1:16" x14ac:dyDescent="0.25">
      <c r="A601" s="2">
        <v>44931</v>
      </c>
      <c r="B601" t="s">
        <v>16</v>
      </c>
      <c r="C601" t="s">
        <v>57</v>
      </c>
      <c r="D601" t="s">
        <v>22</v>
      </c>
      <c r="E601" t="s">
        <v>13</v>
      </c>
      <c r="F601" t="s">
        <v>19</v>
      </c>
      <c r="G601" t="s">
        <v>48</v>
      </c>
      <c r="H601">
        <v>13</v>
      </c>
      <c r="I601">
        <v>2979.65</v>
      </c>
      <c r="J601">
        <v>34861.904999999999</v>
      </c>
      <c r="K601">
        <v>3873.5450000000001</v>
      </c>
      <c r="L601">
        <v>38735.449999999997</v>
      </c>
      <c r="M601">
        <v>6972.3809999999994</v>
      </c>
      <c r="N601">
        <v>45707.830999999998</v>
      </c>
      <c r="O601" t="s">
        <v>87</v>
      </c>
      <c r="P601" t="s">
        <v>99</v>
      </c>
    </row>
    <row r="602" spans="1:16" x14ac:dyDescent="0.25">
      <c r="A602" s="2">
        <v>45003</v>
      </c>
      <c r="B602" t="s">
        <v>40</v>
      </c>
      <c r="C602" t="s">
        <v>11</v>
      </c>
      <c r="D602" t="s">
        <v>22</v>
      </c>
      <c r="E602" t="s">
        <v>13</v>
      </c>
      <c r="F602" t="s">
        <v>23</v>
      </c>
      <c r="G602" t="s">
        <v>37</v>
      </c>
      <c r="H602">
        <v>4</v>
      </c>
      <c r="I602">
        <v>2985.48</v>
      </c>
      <c r="J602">
        <v>10747.728000000001</v>
      </c>
      <c r="K602">
        <v>1194.192</v>
      </c>
      <c r="L602">
        <v>11941.92</v>
      </c>
      <c r="M602">
        <v>2149.5455999999999</v>
      </c>
      <c r="N602">
        <v>14091.4656</v>
      </c>
      <c r="O602" t="s">
        <v>87</v>
      </c>
      <c r="P602" t="s">
        <v>99</v>
      </c>
    </row>
    <row r="603" spans="1:16" x14ac:dyDescent="0.25">
      <c r="A603" s="2">
        <v>45036</v>
      </c>
      <c r="B603" t="s">
        <v>29</v>
      </c>
      <c r="C603" t="s">
        <v>57</v>
      </c>
      <c r="D603" t="s">
        <v>22</v>
      </c>
      <c r="E603" t="s">
        <v>13</v>
      </c>
      <c r="F603" t="s">
        <v>19</v>
      </c>
      <c r="G603" t="s">
        <v>30</v>
      </c>
      <c r="H603">
        <v>18</v>
      </c>
      <c r="I603">
        <v>3989.44</v>
      </c>
      <c r="J603">
        <v>64628.928</v>
      </c>
      <c r="K603">
        <v>7180.9920000000002</v>
      </c>
      <c r="L603">
        <v>71809.919999999998</v>
      </c>
      <c r="M603">
        <v>12925.785599999999</v>
      </c>
      <c r="N603">
        <v>84735.705600000001</v>
      </c>
      <c r="O603" t="s">
        <v>87</v>
      </c>
      <c r="P603" t="s">
        <v>99</v>
      </c>
    </row>
    <row r="604" spans="1:16" x14ac:dyDescent="0.25">
      <c r="A604" s="2">
        <v>45195</v>
      </c>
      <c r="B604" t="s">
        <v>29</v>
      </c>
      <c r="C604" t="s">
        <v>35</v>
      </c>
      <c r="D604" t="s">
        <v>65</v>
      </c>
      <c r="E604" t="s">
        <v>64</v>
      </c>
      <c r="F604" t="s">
        <v>32</v>
      </c>
      <c r="G604" t="s">
        <v>50</v>
      </c>
      <c r="H604">
        <v>14</v>
      </c>
      <c r="I604">
        <v>2251.87</v>
      </c>
      <c r="J604">
        <v>28373.562000000002</v>
      </c>
      <c r="K604">
        <v>3152.6180000000004</v>
      </c>
      <c r="L604">
        <v>31526.18</v>
      </c>
      <c r="M604">
        <v>5674.7123999999994</v>
      </c>
      <c r="N604">
        <v>37200.892399999997</v>
      </c>
      <c r="O604" t="s">
        <v>87</v>
      </c>
      <c r="P604" t="s">
        <v>101</v>
      </c>
    </row>
    <row r="605" spans="1:16" x14ac:dyDescent="0.25">
      <c r="A605" s="2">
        <v>45025</v>
      </c>
      <c r="B605" t="s">
        <v>43</v>
      </c>
      <c r="C605" t="s">
        <v>60</v>
      </c>
      <c r="D605" t="s">
        <v>12</v>
      </c>
      <c r="E605" t="s">
        <v>18</v>
      </c>
      <c r="F605" t="s">
        <v>27</v>
      </c>
      <c r="G605" t="s">
        <v>46</v>
      </c>
      <c r="H605">
        <v>8</v>
      </c>
      <c r="I605">
        <v>2519.3000000000002</v>
      </c>
      <c r="J605">
        <v>18138.960000000003</v>
      </c>
      <c r="K605">
        <v>2015.4400000000003</v>
      </c>
      <c r="L605">
        <v>20154.400000000001</v>
      </c>
      <c r="M605">
        <v>3627.7919999999999</v>
      </c>
      <c r="N605">
        <v>23782.192000000003</v>
      </c>
      <c r="O605" t="s">
        <v>87</v>
      </c>
      <c r="P605" t="s">
        <v>100</v>
      </c>
    </row>
    <row r="606" spans="1:16" x14ac:dyDescent="0.25">
      <c r="A606" s="2">
        <v>45123</v>
      </c>
      <c r="B606" t="s">
        <v>21</v>
      </c>
      <c r="C606" t="s">
        <v>57</v>
      </c>
      <c r="D606" t="s">
        <v>22</v>
      </c>
      <c r="E606" t="s">
        <v>13</v>
      </c>
      <c r="F606" t="s">
        <v>23</v>
      </c>
      <c r="G606" t="s">
        <v>24</v>
      </c>
      <c r="H606">
        <v>3</v>
      </c>
      <c r="I606">
        <v>1129.8800000000001</v>
      </c>
      <c r="J606">
        <v>3050.6759999999999</v>
      </c>
      <c r="K606">
        <v>338.964</v>
      </c>
      <c r="L606">
        <v>3389.64</v>
      </c>
      <c r="M606">
        <v>610.13519999999994</v>
      </c>
      <c r="N606">
        <v>3999.7752</v>
      </c>
      <c r="O606" t="s">
        <v>87</v>
      </c>
      <c r="P606" t="s">
        <v>99</v>
      </c>
    </row>
    <row r="607" spans="1:16" x14ac:dyDescent="0.25">
      <c r="A607" s="2">
        <v>45205</v>
      </c>
      <c r="B607" t="s">
        <v>10</v>
      </c>
      <c r="C607" t="s">
        <v>35</v>
      </c>
      <c r="D607" t="s">
        <v>65</v>
      </c>
      <c r="E607" t="s">
        <v>64</v>
      </c>
      <c r="F607" t="s">
        <v>14</v>
      </c>
      <c r="G607" t="s">
        <v>51</v>
      </c>
      <c r="H607">
        <v>15</v>
      </c>
      <c r="I607">
        <v>4146.03</v>
      </c>
      <c r="J607">
        <v>55971.404999999999</v>
      </c>
      <c r="K607">
        <v>6219.0450000000001</v>
      </c>
      <c r="L607">
        <v>62190.45</v>
      </c>
      <c r="M607">
        <v>11194.280999999999</v>
      </c>
      <c r="N607">
        <v>73384.731</v>
      </c>
      <c r="O607" t="s">
        <v>87</v>
      </c>
      <c r="P607" t="s">
        <v>101</v>
      </c>
    </row>
    <row r="608" spans="1:16" x14ac:dyDescent="0.25">
      <c r="A608" s="2">
        <v>45084</v>
      </c>
      <c r="B608" t="s">
        <v>40</v>
      </c>
      <c r="C608" t="s">
        <v>11</v>
      </c>
      <c r="D608" t="s">
        <v>22</v>
      </c>
      <c r="E608" t="s">
        <v>13</v>
      </c>
      <c r="F608" t="s">
        <v>14</v>
      </c>
      <c r="G608" t="s">
        <v>45</v>
      </c>
      <c r="H608">
        <v>4</v>
      </c>
      <c r="I608">
        <v>3564.22</v>
      </c>
      <c r="J608">
        <v>12831.191999999999</v>
      </c>
      <c r="K608">
        <v>1425.6880000000001</v>
      </c>
      <c r="L608">
        <v>14256.88</v>
      </c>
      <c r="M608">
        <v>2566.2383999999997</v>
      </c>
      <c r="N608">
        <v>16823.118399999999</v>
      </c>
      <c r="O608" t="s">
        <v>87</v>
      </c>
      <c r="P608" t="s">
        <v>99</v>
      </c>
    </row>
    <row r="609" spans="1:16" x14ac:dyDescent="0.25">
      <c r="A609" s="2">
        <v>45246</v>
      </c>
      <c r="B609" t="s">
        <v>40</v>
      </c>
      <c r="C609" t="s">
        <v>17</v>
      </c>
      <c r="D609" t="s">
        <v>65</v>
      </c>
      <c r="E609" t="s">
        <v>64</v>
      </c>
      <c r="F609" t="s">
        <v>14</v>
      </c>
      <c r="G609" t="s">
        <v>51</v>
      </c>
      <c r="H609">
        <v>14</v>
      </c>
      <c r="I609">
        <v>414.51</v>
      </c>
      <c r="J609">
        <v>5222.826</v>
      </c>
      <c r="K609">
        <v>580.31400000000008</v>
      </c>
      <c r="L609">
        <v>5803.14</v>
      </c>
      <c r="M609">
        <v>1044.5652</v>
      </c>
      <c r="N609">
        <v>6847.7052000000003</v>
      </c>
      <c r="O609" t="s">
        <v>87</v>
      </c>
      <c r="P609" t="s">
        <v>101</v>
      </c>
    </row>
    <row r="610" spans="1:16" x14ac:dyDescent="0.25">
      <c r="A610" s="2">
        <v>44951</v>
      </c>
      <c r="B610" t="s">
        <v>43</v>
      </c>
      <c r="C610" t="s">
        <v>35</v>
      </c>
      <c r="D610" t="s">
        <v>65</v>
      </c>
      <c r="E610" t="s">
        <v>64</v>
      </c>
      <c r="F610" t="s">
        <v>14</v>
      </c>
      <c r="G610" t="s">
        <v>45</v>
      </c>
      <c r="H610">
        <v>11</v>
      </c>
      <c r="I610">
        <v>1788.39</v>
      </c>
      <c r="J610">
        <v>17705.061000000002</v>
      </c>
      <c r="K610">
        <v>1967.2290000000003</v>
      </c>
      <c r="L610">
        <v>19672.29</v>
      </c>
      <c r="M610">
        <v>3541.0122000000001</v>
      </c>
      <c r="N610">
        <v>23213.302200000002</v>
      </c>
      <c r="O610" t="s">
        <v>87</v>
      </c>
      <c r="P610" t="s">
        <v>101</v>
      </c>
    </row>
    <row r="611" spans="1:16" x14ac:dyDescent="0.25">
      <c r="A611" s="2">
        <v>45258</v>
      </c>
      <c r="B611" t="s">
        <v>31</v>
      </c>
      <c r="C611" t="s">
        <v>62</v>
      </c>
      <c r="D611" t="s">
        <v>65</v>
      </c>
      <c r="E611" t="s">
        <v>64</v>
      </c>
      <c r="F611" t="s">
        <v>23</v>
      </c>
      <c r="G611" t="s">
        <v>47</v>
      </c>
      <c r="H611">
        <v>6</v>
      </c>
      <c r="I611">
        <v>2867.98</v>
      </c>
      <c r="J611">
        <v>15487.092000000001</v>
      </c>
      <c r="K611">
        <v>1720.7880000000002</v>
      </c>
      <c r="L611">
        <v>17207.88</v>
      </c>
      <c r="M611">
        <v>3097.4184</v>
      </c>
      <c r="N611">
        <v>20305.2984</v>
      </c>
      <c r="O611" t="s">
        <v>87</v>
      </c>
      <c r="P611" t="s">
        <v>101</v>
      </c>
    </row>
    <row r="612" spans="1:16" x14ac:dyDescent="0.25">
      <c r="A612" s="2">
        <v>45123</v>
      </c>
      <c r="B612" t="s">
        <v>25</v>
      </c>
      <c r="C612" t="s">
        <v>11</v>
      </c>
      <c r="D612" t="s">
        <v>22</v>
      </c>
      <c r="E612" t="s">
        <v>13</v>
      </c>
      <c r="F612" t="s">
        <v>23</v>
      </c>
      <c r="G612" t="s">
        <v>24</v>
      </c>
      <c r="H612">
        <v>6</v>
      </c>
      <c r="I612">
        <v>3566.53</v>
      </c>
      <c r="J612">
        <v>19259.262000000002</v>
      </c>
      <c r="K612">
        <v>2139.9180000000001</v>
      </c>
      <c r="L612">
        <v>21399.18</v>
      </c>
      <c r="M612">
        <v>3851.8523999999998</v>
      </c>
      <c r="N612">
        <v>25251.0324</v>
      </c>
      <c r="O612" t="s">
        <v>87</v>
      </c>
      <c r="P612" t="s">
        <v>99</v>
      </c>
    </row>
    <row r="613" spans="1:16" x14ac:dyDescent="0.25">
      <c r="A613" s="2">
        <v>45173</v>
      </c>
      <c r="B613" t="s">
        <v>38</v>
      </c>
      <c r="C613" t="s">
        <v>60</v>
      </c>
      <c r="D613" t="s">
        <v>12</v>
      </c>
      <c r="E613" t="s">
        <v>18</v>
      </c>
      <c r="F613" t="s">
        <v>19</v>
      </c>
      <c r="G613" t="s">
        <v>30</v>
      </c>
      <c r="H613">
        <v>13</v>
      </c>
      <c r="I613">
        <v>2669.5</v>
      </c>
      <c r="J613">
        <v>31233.15</v>
      </c>
      <c r="K613">
        <v>3470.3500000000004</v>
      </c>
      <c r="L613">
        <v>34703.5</v>
      </c>
      <c r="M613">
        <v>6246.63</v>
      </c>
      <c r="N613">
        <v>40950.129999999997</v>
      </c>
      <c r="O613" t="s">
        <v>87</v>
      </c>
      <c r="P613" t="s">
        <v>100</v>
      </c>
    </row>
    <row r="614" spans="1:16" x14ac:dyDescent="0.25">
      <c r="A614" s="2">
        <v>45144</v>
      </c>
      <c r="B614" t="s">
        <v>34</v>
      </c>
      <c r="C614" t="s">
        <v>56</v>
      </c>
      <c r="D614" t="s">
        <v>12</v>
      </c>
      <c r="E614" t="s">
        <v>18</v>
      </c>
      <c r="F614" t="s">
        <v>27</v>
      </c>
      <c r="G614" t="s">
        <v>46</v>
      </c>
      <c r="H614">
        <v>6</v>
      </c>
      <c r="I614">
        <v>3842.46</v>
      </c>
      <c r="J614">
        <v>20749.284</v>
      </c>
      <c r="K614">
        <v>2305.4760000000001</v>
      </c>
      <c r="L614">
        <v>23054.76</v>
      </c>
      <c r="M614">
        <v>4149.8567999999996</v>
      </c>
      <c r="N614">
        <v>27204.616799999996</v>
      </c>
      <c r="O614" t="s">
        <v>87</v>
      </c>
      <c r="P614" t="s">
        <v>100</v>
      </c>
    </row>
    <row r="615" spans="1:16" x14ac:dyDescent="0.25">
      <c r="A615" s="2">
        <v>45075</v>
      </c>
      <c r="B615" t="s">
        <v>29</v>
      </c>
      <c r="C615" t="s">
        <v>59</v>
      </c>
      <c r="D615" t="s">
        <v>66</v>
      </c>
      <c r="E615" t="s">
        <v>41</v>
      </c>
      <c r="F615" t="s">
        <v>14</v>
      </c>
      <c r="G615" t="s">
        <v>15</v>
      </c>
      <c r="H615">
        <v>13</v>
      </c>
      <c r="I615">
        <v>1419.3</v>
      </c>
      <c r="J615">
        <v>16605.810000000001</v>
      </c>
      <c r="K615">
        <v>1845.0900000000001</v>
      </c>
      <c r="L615">
        <v>18450.900000000001</v>
      </c>
      <c r="M615">
        <v>3321.1620000000003</v>
      </c>
      <c r="N615">
        <v>21772.062000000002</v>
      </c>
      <c r="O615" t="s">
        <v>87</v>
      </c>
      <c r="P615" t="s">
        <v>66</v>
      </c>
    </row>
    <row r="616" spans="1:16" x14ac:dyDescent="0.25">
      <c r="A616" s="2">
        <v>45018</v>
      </c>
      <c r="B616" t="s">
        <v>25</v>
      </c>
      <c r="C616" t="s">
        <v>58</v>
      </c>
      <c r="D616" t="s">
        <v>12</v>
      </c>
      <c r="E616" t="s">
        <v>18</v>
      </c>
      <c r="F616" t="s">
        <v>32</v>
      </c>
      <c r="G616" t="s">
        <v>33</v>
      </c>
      <c r="H616">
        <v>1</v>
      </c>
      <c r="I616">
        <v>3187.31</v>
      </c>
      <c r="J616">
        <v>2868.5790000000002</v>
      </c>
      <c r="K616">
        <v>318.73099999999999</v>
      </c>
      <c r="L616">
        <v>3187.31</v>
      </c>
      <c r="M616">
        <v>573.71579999999994</v>
      </c>
      <c r="N616">
        <v>3761.0257999999999</v>
      </c>
      <c r="O616" t="s">
        <v>87</v>
      </c>
      <c r="P616" t="s">
        <v>100</v>
      </c>
    </row>
    <row r="617" spans="1:16" x14ac:dyDescent="0.25">
      <c r="A617" s="2">
        <v>45232</v>
      </c>
      <c r="B617" t="s">
        <v>10</v>
      </c>
      <c r="C617" t="s">
        <v>54</v>
      </c>
      <c r="D617" t="s">
        <v>12</v>
      </c>
      <c r="E617" t="s">
        <v>18</v>
      </c>
      <c r="F617" t="s">
        <v>27</v>
      </c>
      <c r="G617" t="s">
        <v>46</v>
      </c>
      <c r="H617">
        <v>12</v>
      </c>
      <c r="I617">
        <v>1837.2</v>
      </c>
      <c r="J617">
        <v>19841.760000000002</v>
      </c>
      <c r="K617">
        <v>2204.6400000000003</v>
      </c>
      <c r="L617">
        <v>22046.400000000001</v>
      </c>
      <c r="M617">
        <v>3968.3520000000003</v>
      </c>
      <c r="N617">
        <v>26014.752</v>
      </c>
      <c r="O617" t="s">
        <v>87</v>
      </c>
      <c r="P617" t="s">
        <v>100</v>
      </c>
    </row>
    <row r="618" spans="1:16" x14ac:dyDescent="0.25">
      <c r="A618" s="2">
        <v>45285</v>
      </c>
      <c r="B618" t="s">
        <v>25</v>
      </c>
      <c r="C618" t="s">
        <v>35</v>
      </c>
      <c r="D618" t="s">
        <v>65</v>
      </c>
      <c r="E618" t="s">
        <v>64</v>
      </c>
      <c r="F618" t="s">
        <v>32</v>
      </c>
      <c r="G618" t="s">
        <v>50</v>
      </c>
      <c r="H618">
        <v>2</v>
      </c>
      <c r="I618">
        <v>4081.92</v>
      </c>
      <c r="J618">
        <v>7347.4560000000001</v>
      </c>
      <c r="K618">
        <v>816.38400000000001</v>
      </c>
      <c r="L618">
        <v>8163.84</v>
      </c>
      <c r="M618">
        <v>1469.4911999999999</v>
      </c>
      <c r="N618">
        <v>9633.3312000000005</v>
      </c>
      <c r="O618" t="s">
        <v>87</v>
      </c>
      <c r="P618" t="s">
        <v>101</v>
      </c>
    </row>
    <row r="619" spans="1:16" x14ac:dyDescent="0.25">
      <c r="A619" s="2">
        <v>45166</v>
      </c>
      <c r="B619" t="s">
        <v>16</v>
      </c>
      <c r="C619" t="s">
        <v>35</v>
      </c>
      <c r="D619" t="s">
        <v>65</v>
      </c>
      <c r="E619" t="s">
        <v>64</v>
      </c>
      <c r="F619" t="s">
        <v>27</v>
      </c>
      <c r="G619" t="s">
        <v>28</v>
      </c>
      <c r="H619">
        <v>20</v>
      </c>
      <c r="I619">
        <v>3184.86</v>
      </c>
      <c r="J619">
        <v>57327.479999999996</v>
      </c>
      <c r="K619">
        <v>6369.72</v>
      </c>
      <c r="L619">
        <v>63697.2</v>
      </c>
      <c r="M619">
        <v>11465.495999999999</v>
      </c>
      <c r="N619">
        <v>75162.695999999996</v>
      </c>
      <c r="O619" t="s">
        <v>87</v>
      </c>
      <c r="P619" t="s">
        <v>101</v>
      </c>
    </row>
    <row r="620" spans="1:16" x14ac:dyDescent="0.25">
      <c r="A620" s="2">
        <v>44957</v>
      </c>
      <c r="B620" t="s">
        <v>29</v>
      </c>
      <c r="C620" t="s">
        <v>17</v>
      </c>
      <c r="D620" t="s">
        <v>65</v>
      </c>
      <c r="E620" t="s">
        <v>64</v>
      </c>
      <c r="F620" t="s">
        <v>14</v>
      </c>
      <c r="G620" t="s">
        <v>51</v>
      </c>
      <c r="H620">
        <v>8</v>
      </c>
      <c r="I620">
        <v>3402.24</v>
      </c>
      <c r="J620">
        <v>24496.128000000001</v>
      </c>
      <c r="K620">
        <v>2721.7919999999999</v>
      </c>
      <c r="L620">
        <v>27217.919999999998</v>
      </c>
      <c r="M620">
        <v>4899.2255999999998</v>
      </c>
      <c r="N620">
        <v>32117.145599999996</v>
      </c>
      <c r="O620" t="s">
        <v>87</v>
      </c>
      <c r="P620" t="s">
        <v>101</v>
      </c>
    </row>
    <row r="621" spans="1:16" x14ac:dyDescent="0.25">
      <c r="A621" s="2">
        <v>45171</v>
      </c>
      <c r="B621" t="s">
        <v>29</v>
      </c>
      <c r="C621" t="s">
        <v>26</v>
      </c>
      <c r="D621" t="s">
        <v>12</v>
      </c>
      <c r="E621" t="s">
        <v>18</v>
      </c>
      <c r="F621" t="s">
        <v>14</v>
      </c>
      <c r="G621" t="s">
        <v>51</v>
      </c>
      <c r="H621">
        <v>10</v>
      </c>
      <c r="I621">
        <v>2750.69</v>
      </c>
      <c r="J621">
        <v>24756.210000000003</v>
      </c>
      <c r="K621">
        <v>2750.6900000000005</v>
      </c>
      <c r="L621">
        <v>27506.9</v>
      </c>
      <c r="M621">
        <v>4951.2420000000002</v>
      </c>
      <c r="N621">
        <v>32458.142</v>
      </c>
      <c r="O621" t="s">
        <v>87</v>
      </c>
      <c r="P621" t="s">
        <v>100</v>
      </c>
    </row>
    <row r="622" spans="1:16" x14ac:dyDescent="0.25">
      <c r="A622" s="2">
        <v>44996</v>
      </c>
      <c r="B622" t="s">
        <v>43</v>
      </c>
      <c r="C622" t="s">
        <v>59</v>
      </c>
      <c r="D622" t="s">
        <v>66</v>
      </c>
      <c r="E622" t="s">
        <v>41</v>
      </c>
      <c r="F622" t="s">
        <v>32</v>
      </c>
      <c r="G622" t="s">
        <v>33</v>
      </c>
      <c r="H622">
        <v>13</v>
      </c>
      <c r="I622">
        <v>4090.9</v>
      </c>
      <c r="J622">
        <v>47863.53</v>
      </c>
      <c r="K622">
        <v>5318.17</v>
      </c>
      <c r="L622">
        <v>53181.7</v>
      </c>
      <c r="M622">
        <v>9572.7059999999983</v>
      </c>
      <c r="N622">
        <v>62754.405999999995</v>
      </c>
      <c r="O622" t="s">
        <v>87</v>
      </c>
      <c r="P622" t="s">
        <v>66</v>
      </c>
    </row>
    <row r="623" spans="1:16" x14ac:dyDescent="0.25">
      <c r="A623" s="2">
        <v>45118</v>
      </c>
      <c r="B623" t="s">
        <v>40</v>
      </c>
      <c r="C623" t="s">
        <v>54</v>
      </c>
      <c r="D623" t="s">
        <v>12</v>
      </c>
      <c r="E623" t="s">
        <v>18</v>
      </c>
      <c r="F623" t="s">
        <v>27</v>
      </c>
      <c r="G623" t="s">
        <v>44</v>
      </c>
      <c r="H623">
        <v>3</v>
      </c>
      <c r="I623">
        <v>4234</v>
      </c>
      <c r="J623">
        <v>11431.800000000001</v>
      </c>
      <c r="K623">
        <v>1270.2</v>
      </c>
      <c r="L623">
        <v>12702</v>
      </c>
      <c r="M623">
        <v>2286.36</v>
      </c>
      <c r="N623">
        <v>14988.36</v>
      </c>
      <c r="O623" t="s">
        <v>87</v>
      </c>
      <c r="P623" t="s">
        <v>100</v>
      </c>
    </row>
    <row r="624" spans="1:16" x14ac:dyDescent="0.25">
      <c r="A624" s="2">
        <v>45083</v>
      </c>
      <c r="B624" t="s">
        <v>43</v>
      </c>
      <c r="C624" t="s">
        <v>55</v>
      </c>
      <c r="D624" t="s">
        <v>66</v>
      </c>
      <c r="E624" t="s">
        <v>41</v>
      </c>
      <c r="F624" t="s">
        <v>32</v>
      </c>
      <c r="G624" t="s">
        <v>49</v>
      </c>
      <c r="H624">
        <v>12</v>
      </c>
      <c r="I624">
        <v>1701.3</v>
      </c>
      <c r="J624">
        <v>18374.04</v>
      </c>
      <c r="K624">
        <v>2041.56</v>
      </c>
      <c r="L624">
        <v>20415.599999999999</v>
      </c>
      <c r="M624">
        <v>3674.8079999999995</v>
      </c>
      <c r="N624">
        <v>24090.407999999999</v>
      </c>
      <c r="O624" t="s">
        <v>87</v>
      </c>
      <c r="P624" t="s">
        <v>66</v>
      </c>
    </row>
    <row r="625" spans="1:16" x14ac:dyDescent="0.25">
      <c r="A625" s="2">
        <v>45112</v>
      </c>
      <c r="B625" t="s">
        <v>38</v>
      </c>
      <c r="C625" t="s">
        <v>56</v>
      </c>
      <c r="D625" t="s">
        <v>12</v>
      </c>
      <c r="E625" t="s">
        <v>18</v>
      </c>
      <c r="F625" t="s">
        <v>32</v>
      </c>
      <c r="G625" t="s">
        <v>50</v>
      </c>
      <c r="H625">
        <v>18</v>
      </c>
      <c r="I625">
        <v>1599.01</v>
      </c>
      <c r="J625">
        <v>25903.962</v>
      </c>
      <c r="K625">
        <v>2878.2180000000003</v>
      </c>
      <c r="L625">
        <v>28782.18</v>
      </c>
      <c r="M625">
        <v>5180.7924000000003</v>
      </c>
      <c r="N625">
        <v>33962.972399999999</v>
      </c>
      <c r="O625" t="s">
        <v>87</v>
      </c>
      <c r="P625" t="s">
        <v>100</v>
      </c>
    </row>
    <row r="626" spans="1:16" x14ac:dyDescent="0.25">
      <c r="A626" s="2">
        <v>45076</v>
      </c>
      <c r="B626" t="s">
        <v>38</v>
      </c>
      <c r="C626" t="s">
        <v>62</v>
      </c>
      <c r="D626" t="s">
        <v>65</v>
      </c>
      <c r="E626" t="s">
        <v>64</v>
      </c>
      <c r="F626" t="s">
        <v>32</v>
      </c>
      <c r="G626" t="s">
        <v>33</v>
      </c>
      <c r="H626">
        <v>11</v>
      </c>
      <c r="I626">
        <v>4564.7299999999996</v>
      </c>
      <c r="J626">
        <v>45190.826999999997</v>
      </c>
      <c r="K626">
        <v>5021.2030000000004</v>
      </c>
      <c r="L626">
        <v>50212.03</v>
      </c>
      <c r="M626">
        <v>9038.1653999999999</v>
      </c>
      <c r="N626">
        <v>59250.195399999997</v>
      </c>
      <c r="O626" t="s">
        <v>87</v>
      </c>
      <c r="P626" t="s">
        <v>101</v>
      </c>
    </row>
    <row r="627" spans="1:16" x14ac:dyDescent="0.25">
      <c r="A627" s="2">
        <v>45110</v>
      </c>
      <c r="B627" t="s">
        <v>10</v>
      </c>
      <c r="C627" t="s">
        <v>35</v>
      </c>
      <c r="D627" t="s">
        <v>65</v>
      </c>
      <c r="E627" t="s">
        <v>64</v>
      </c>
      <c r="F627" t="s">
        <v>14</v>
      </c>
      <c r="G627" t="s">
        <v>45</v>
      </c>
      <c r="H627">
        <v>14</v>
      </c>
      <c r="I627">
        <v>3507.75</v>
      </c>
      <c r="J627">
        <v>44197.65</v>
      </c>
      <c r="K627">
        <v>4910.8500000000004</v>
      </c>
      <c r="L627">
        <v>49108.5</v>
      </c>
      <c r="M627">
        <v>8839.5299999999988</v>
      </c>
      <c r="N627">
        <v>57948.03</v>
      </c>
      <c r="O627" t="s">
        <v>87</v>
      </c>
      <c r="P627" t="s">
        <v>101</v>
      </c>
    </row>
    <row r="628" spans="1:16" x14ac:dyDescent="0.25">
      <c r="A628" s="2">
        <v>45011</v>
      </c>
      <c r="B628" t="s">
        <v>34</v>
      </c>
      <c r="C628" t="s">
        <v>26</v>
      </c>
      <c r="D628" t="s">
        <v>12</v>
      </c>
      <c r="E628" t="s">
        <v>18</v>
      </c>
      <c r="F628" t="s">
        <v>19</v>
      </c>
      <c r="G628" t="s">
        <v>30</v>
      </c>
      <c r="H628">
        <v>4</v>
      </c>
      <c r="I628">
        <v>810.38</v>
      </c>
      <c r="J628">
        <v>2917.3679999999999</v>
      </c>
      <c r="K628">
        <v>324.15200000000004</v>
      </c>
      <c r="L628">
        <v>3241.52</v>
      </c>
      <c r="M628">
        <v>583.47359999999992</v>
      </c>
      <c r="N628">
        <v>3824.9935999999998</v>
      </c>
      <c r="O628" t="s">
        <v>87</v>
      </c>
      <c r="P628" t="s">
        <v>100</v>
      </c>
    </row>
    <row r="629" spans="1:16" x14ac:dyDescent="0.25">
      <c r="A629" s="2">
        <v>45097</v>
      </c>
      <c r="B629" t="s">
        <v>10</v>
      </c>
      <c r="C629" t="s">
        <v>59</v>
      </c>
      <c r="D629" t="s">
        <v>66</v>
      </c>
      <c r="E629" t="s">
        <v>41</v>
      </c>
      <c r="F629" t="s">
        <v>32</v>
      </c>
      <c r="G629" t="s">
        <v>49</v>
      </c>
      <c r="H629">
        <v>7</v>
      </c>
      <c r="I629">
        <v>698.8</v>
      </c>
      <c r="J629">
        <v>4402.4400000000005</v>
      </c>
      <c r="K629">
        <v>489.16000000000008</v>
      </c>
      <c r="L629">
        <v>4891.6000000000004</v>
      </c>
      <c r="M629">
        <v>880.48800000000006</v>
      </c>
      <c r="N629">
        <v>5772.0880000000006</v>
      </c>
      <c r="O629" t="s">
        <v>87</v>
      </c>
      <c r="P629" t="s">
        <v>66</v>
      </c>
    </row>
    <row r="630" spans="1:16" x14ac:dyDescent="0.25">
      <c r="A630" s="2">
        <v>45179</v>
      </c>
      <c r="B630" t="s">
        <v>40</v>
      </c>
      <c r="C630" t="s">
        <v>17</v>
      </c>
      <c r="D630" t="s">
        <v>65</v>
      </c>
      <c r="E630" t="s">
        <v>64</v>
      </c>
      <c r="F630" t="s">
        <v>32</v>
      </c>
      <c r="G630" t="s">
        <v>50</v>
      </c>
      <c r="H630">
        <v>14</v>
      </c>
      <c r="I630">
        <v>2833.44</v>
      </c>
      <c r="J630">
        <v>35701.344000000005</v>
      </c>
      <c r="K630">
        <v>3966.8160000000007</v>
      </c>
      <c r="L630">
        <v>39668.160000000003</v>
      </c>
      <c r="M630">
        <v>7140.2688000000007</v>
      </c>
      <c r="N630">
        <v>46808.428800000002</v>
      </c>
      <c r="O630" t="s">
        <v>87</v>
      </c>
      <c r="P630" t="s">
        <v>101</v>
      </c>
    </row>
    <row r="631" spans="1:16" x14ac:dyDescent="0.25">
      <c r="A631" s="2">
        <v>45000</v>
      </c>
      <c r="B631" t="s">
        <v>25</v>
      </c>
      <c r="C631" t="s">
        <v>54</v>
      </c>
      <c r="D631" t="s">
        <v>12</v>
      </c>
      <c r="E631" t="s">
        <v>18</v>
      </c>
      <c r="F631" t="s">
        <v>27</v>
      </c>
      <c r="G631" t="s">
        <v>44</v>
      </c>
      <c r="H631">
        <v>20</v>
      </c>
      <c r="I631">
        <v>2409.6799999999998</v>
      </c>
      <c r="J631">
        <v>43374.239999999998</v>
      </c>
      <c r="K631">
        <v>4819.3599999999997</v>
      </c>
      <c r="L631">
        <v>48193.599999999999</v>
      </c>
      <c r="M631">
        <v>8674.848</v>
      </c>
      <c r="N631">
        <v>56868.447999999997</v>
      </c>
      <c r="O631" t="s">
        <v>87</v>
      </c>
      <c r="P631" t="s">
        <v>100</v>
      </c>
    </row>
    <row r="632" spans="1:16" x14ac:dyDescent="0.25">
      <c r="A632" s="2">
        <v>45175</v>
      </c>
      <c r="B632" t="s">
        <v>40</v>
      </c>
      <c r="C632" t="s">
        <v>56</v>
      </c>
      <c r="D632" t="s">
        <v>12</v>
      </c>
      <c r="E632" t="s">
        <v>18</v>
      </c>
      <c r="F632" t="s">
        <v>27</v>
      </c>
      <c r="G632" t="s">
        <v>46</v>
      </c>
      <c r="H632">
        <v>17</v>
      </c>
      <c r="I632">
        <v>2448.5100000000002</v>
      </c>
      <c r="J632">
        <v>37462.203000000001</v>
      </c>
      <c r="K632">
        <v>4162.4669999999996</v>
      </c>
      <c r="L632">
        <v>41624.67</v>
      </c>
      <c r="M632">
        <v>7492.440599999999</v>
      </c>
      <c r="N632">
        <v>49117.1106</v>
      </c>
      <c r="O632" t="s">
        <v>87</v>
      </c>
      <c r="P632" t="s">
        <v>100</v>
      </c>
    </row>
    <row r="633" spans="1:16" x14ac:dyDescent="0.25">
      <c r="A633" s="2">
        <v>45148</v>
      </c>
      <c r="B633" t="s">
        <v>43</v>
      </c>
      <c r="C633" t="s">
        <v>56</v>
      </c>
      <c r="D633" t="s">
        <v>12</v>
      </c>
      <c r="E633" t="s">
        <v>18</v>
      </c>
      <c r="F633" t="s">
        <v>23</v>
      </c>
      <c r="G633" t="s">
        <v>37</v>
      </c>
      <c r="H633">
        <v>7</v>
      </c>
      <c r="I633">
        <v>4029.58</v>
      </c>
      <c r="J633">
        <v>25386.354000000003</v>
      </c>
      <c r="K633">
        <v>2820.7060000000001</v>
      </c>
      <c r="L633">
        <v>28207.06</v>
      </c>
      <c r="M633">
        <v>5077.2708000000002</v>
      </c>
      <c r="N633">
        <v>33284.330800000003</v>
      </c>
      <c r="O633" t="s">
        <v>87</v>
      </c>
      <c r="P633" t="s">
        <v>100</v>
      </c>
    </row>
    <row r="634" spans="1:16" x14ac:dyDescent="0.25">
      <c r="A634" s="2">
        <v>45183</v>
      </c>
      <c r="B634" t="s">
        <v>25</v>
      </c>
      <c r="C634" t="s">
        <v>55</v>
      </c>
      <c r="D634" t="s">
        <v>66</v>
      </c>
      <c r="E634" t="s">
        <v>41</v>
      </c>
      <c r="F634" t="s">
        <v>27</v>
      </c>
      <c r="G634" t="s">
        <v>42</v>
      </c>
      <c r="H634">
        <v>15</v>
      </c>
      <c r="I634">
        <v>3999.29</v>
      </c>
      <c r="J634">
        <v>53990.415000000001</v>
      </c>
      <c r="K634">
        <v>5998.9350000000004</v>
      </c>
      <c r="L634">
        <v>59989.35</v>
      </c>
      <c r="M634">
        <v>10798.082999999999</v>
      </c>
      <c r="N634">
        <v>70787.43299999999</v>
      </c>
      <c r="O634" t="s">
        <v>87</v>
      </c>
      <c r="P634" t="s">
        <v>66</v>
      </c>
    </row>
    <row r="635" spans="1:16" x14ac:dyDescent="0.25">
      <c r="A635" s="2">
        <v>45168</v>
      </c>
      <c r="B635" t="s">
        <v>31</v>
      </c>
      <c r="C635" t="s">
        <v>57</v>
      </c>
      <c r="D635" t="s">
        <v>22</v>
      </c>
      <c r="E635" t="s">
        <v>13</v>
      </c>
      <c r="F635" t="s">
        <v>19</v>
      </c>
      <c r="G635" t="s">
        <v>48</v>
      </c>
      <c r="H635">
        <v>17</v>
      </c>
      <c r="I635">
        <v>583.88</v>
      </c>
      <c r="J635">
        <v>8933.3639999999996</v>
      </c>
      <c r="K635">
        <v>992.596</v>
      </c>
      <c r="L635">
        <v>9925.9599999999991</v>
      </c>
      <c r="M635">
        <v>1786.6727999999998</v>
      </c>
      <c r="N635">
        <v>11712.632799999999</v>
      </c>
      <c r="O635" t="s">
        <v>87</v>
      </c>
      <c r="P635" t="s">
        <v>99</v>
      </c>
    </row>
    <row r="636" spans="1:16" x14ac:dyDescent="0.25">
      <c r="A636" s="2">
        <v>45140</v>
      </c>
      <c r="B636" t="s">
        <v>43</v>
      </c>
      <c r="C636" t="s">
        <v>60</v>
      </c>
      <c r="D636" t="s">
        <v>12</v>
      </c>
      <c r="E636" t="s">
        <v>18</v>
      </c>
      <c r="F636" t="s">
        <v>23</v>
      </c>
      <c r="G636" t="s">
        <v>39</v>
      </c>
      <c r="H636">
        <v>7</v>
      </c>
      <c r="I636">
        <v>1319.32</v>
      </c>
      <c r="J636">
        <v>8311.7160000000003</v>
      </c>
      <c r="K636">
        <v>923.524</v>
      </c>
      <c r="L636">
        <v>9235.24</v>
      </c>
      <c r="M636">
        <v>1662.3431999999998</v>
      </c>
      <c r="N636">
        <v>10897.583199999999</v>
      </c>
      <c r="O636" t="s">
        <v>87</v>
      </c>
      <c r="P636" t="s">
        <v>100</v>
      </c>
    </row>
    <row r="637" spans="1:16" x14ac:dyDescent="0.25">
      <c r="A637" s="2">
        <v>45068</v>
      </c>
      <c r="B637" t="s">
        <v>29</v>
      </c>
      <c r="C637" t="s">
        <v>11</v>
      </c>
      <c r="D637" t="s">
        <v>22</v>
      </c>
      <c r="E637" t="s">
        <v>13</v>
      </c>
      <c r="F637" t="s">
        <v>14</v>
      </c>
      <c r="G637" t="s">
        <v>53</v>
      </c>
      <c r="H637">
        <v>15</v>
      </c>
      <c r="I637">
        <v>2698.6</v>
      </c>
      <c r="J637">
        <v>36431.1</v>
      </c>
      <c r="K637">
        <v>4047.9</v>
      </c>
      <c r="L637">
        <v>40479</v>
      </c>
      <c r="M637">
        <v>7286.2199999999993</v>
      </c>
      <c r="N637">
        <v>47765.22</v>
      </c>
      <c r="O637" t="s">
        <v>87</v>
      </c>
      <c r="P637" t="s">
        <v>99</v>
      </c>
    </row>
    <row r="638" spans="1:16" x14ac:dyDescent="0.25">
      <c r="A638" s="2">
        <v>45107</v>
      </c>
      <c r="B638" t="s">
        <v>21</v>
      </c>
      <c r="C638" t="s">
        <v>54</v>
      </c>
      <c r="D638" t="s">
        <v>12</v>
      </c>
      <c r="E638" t="s">
        <v>18</v>
      </c>
      <c r="F638" t="s">
        <v>19</v>
      </c>
      <c r="G638" t="s">
        <v>48</v>
      </c>
      <c r="H638">
        <v>19</v>
      </c>
      <c r="I638">
        <v>4364.6400000000003</v>
      </c>
      <c r="J638">
        <v>74635.344000000012</v>
      </c>
      <c r="K638">
        <v>8292.8160000000007</v>
      </c>
      <c r="L638">
        <v>82928.160000000003</v>
      </c>
      <c r="M638">
        <v>14927.068800000001</v>
      </c>
      <c r="N638">
        <v>97855.228800000012</v>
      </c>
      <c r="O638" t="s">
        <v>87</v>
      </c>
      <c r="P638" t="s">
        <v>100</v>
      </c>
    </row>
    <row r="639" spans="1:16" x14ac:dyDescent="0.25">
      <c r="A639" s="2">
        <v>45033</v>
      </c>
      <c r="B639" t="s">
        <v>38</v>
      </c>
      <c r="C639" t="s">
        <v>55</v>
      </c>
      <c r="D639" t="s">
        <v>66</v>
      </c>
      <c r="E639" t="s">
        <v>41</v>
      </c>
      <c r="F639" t="s">
        <v>14</v>
      </c>
      <c r="G639" t="s">
        <v>45</v>
      </c>
      <c r="H639">
        <v>8</v>
      </c>
      <c r="I639">
        <v>4740.97</v>
      </c>
      <c r="J639">
        <v>34134.984000000004</v>
      </c>
      <c r="K639">
        <v>3792.7760000000003</v>
      </c>
      <c r="L639">
        <v>37927.760000000002</v>
      </c>
      <c r="M639">
        <v>6826.9967999999999</v>
      </c>
      <c r="N639">
        <v>44754.756800000003</v>
      </c>
      <c r="O639" t="s">
        <v>87</v>
      </c>
      <c r="P639" t="s">
        <v>66</v>
      </c>
    </row>
    <row r="640" spans="1:16" x14ac:dyDescent="0.25">
      <c r="A640" s="2">
        <v>45060</v>
      </c>
      <c r="B640" t="s">
        <v>29</v>
      </c>
      <c r="C640" t="s">
        <v>57</v>
      </c>
      <c r="D640" t="s">
        <v>22</v>
      </c>
      <c r="E640" t="s">
        <v>13</v>
      </c>
      <c r="F640" t="s">
        <v>19</v>
      </c>
      <c r="G640" t="s">
        <v>48</v>
      </c>
      <c r="H640">
        <v>4</v>
      </c>
      <c r="I640">
        <v>917.97</v>
      </c>
      <c r="J640">
        <v>3304.692</v>
      </c>
      <c r="K640">
        <v>367.18800000000005</v>
      </c>
      <c r="L640">
        <v>3671.88</v>
      </c>
      <c r="M640">
        <v>660.9384</v>
      </c>
      <c r="N640">
        <v>4332.8184000000001</v>
      </c>
      <c r="O640" t="s">
        <v>87</v>
      </c>
      <c r="P640" t="s">
        <v>99</v>
      </c>
    </row>
    <row r="641" spans="1:16" x14ac:dyDescent="0.25">
      <c r="A641" s="2">
        <v>45055</v>
      </c>
      <c r="B641" t="s">
        <v>29</v>
      </c>
      <c r="C641" t="s">
        <v>60</v>
      </c>
      <c r="D641" t="s">
        <v>12</v>
      </c>
      <c r="E641" t="s">
        <v>18</v>
      </c>
      <c r="F641" t="s">
        <v>23</v>
      </c>
      <c r="G641" t="s">
        <v>37</v>
      </c>
      <c r="H641">
        <v>10</v>
      </c>
      <c r="I641">
        <v>224.53</v>
      </c>
      <c r="J641">
        <v>2020.7700000000002</v>
      </c>
      <c r="K641">
        <v>224.53000000000003</v>
      </c>
      <c r="L641">
        <v>2245.3000000000002</v>
      </c>
      <c r="M641">
        <v>404.154</v>
      </c>
      <c r="N641">
        <v>2649.4540000000002</v>
      </c>
      <c r="O641" t="s">
        <v>87</v>
      </c>
      <c r="P641" t="s">
        <v>100</v>
      </c>
    </row>
    <row r="642" spans="1:16" x14ac:dyDescent="0.25">
      <c r="A642" s="2">
        <v>44973</v>
      </c>
      <c r="B642" t="s">
        <v>16</v>
      </c>
      <c r="C642" t="s">
        <v>26</v>
      </c>
      <c r="D642" t="s">
        <v>12</v>
      </c>
      <c r="E642" t="s">
        <v>18</v>
      </c>
      <c r="F642" t="s">
        <v>19</v>
      </c>
      <c r="G642" t="s">
        <v>48</v>
      </c>
      <c r="H642">
        <v>1</v>
      </c>
      <c r="I642">
        <v>3246.08</v>
      </c>
      <c r="J642">
        <v>2921.4720000000002</v>
      </c>
      <c r="K642">
        <v>324.608</v>
      </c>
      <c r="L642">
        <v>3246.08</v>
      </c>
      <c r="M642">
        <v>584.2944</v>
      </c>
      <c r="N642">
        <v>3830.3743999999997</v>
      </c>
      <c r="O642" t="s">
        <v>87</v>
      </c>
      <c r="P642" t="s">
        <v>100</v>
      </c>
    </row>
    <row r="643" spans="1:16" x14ac:dyDescent="0.25">
      <c r="A643" s="2">
        <v>45248</v>
      </c>
      <c r="B643" t="s">
        <v>21</v>
      </c>
      <c r="C643" t="s">
        <v>11</v>
      </c>
      <c r="D643" t="s">
        <v>22</v>
      </c>
      <c r="E643" t="s">
        <v>13</v>
      </c>
      <c r="F643" t="s">
        <v>14</v>
      </c>
      <c r="G643" t="s">
        <v>53</v>
      </c>
      <c r="H643">
        <v>16</v>
      </c>
      <c r="I643">
        <v>1411.33</v>
      </c>
      <c r="J643">
        <v>20323.151999999998</v>
      </c>
      <c r="K643">
        <v>2258.1280000000002</v>
      </c>
      <c r="L643">
        <v>22581.279999999999</v>
      </c>
      <c r="M643">
        <v>4064.6303999999996</v>
      </c>
      <c r="N643">
        <v>26645.910399999997</v>
      </c>
      <c r="O643" t="s">
        <v>87</v>
      </c>
      <c r="P643" t="s">
        <v>99</v>
      </c>
    </row>
    <row r="644" spans="1:16" x14ac:dyDescent="0.25">
      <c r="A644" s="2">
        <v>45051</v>
      </c>
      <c r="B644" t="s">
        <v>10</v>
      </c>
      <c r="C644" t="s">
        <v>56</v>
      </c>
      <c r="D644" t="s">
        <v>12</v>
      </c>
      <c r="E644" t="s">
        <v>18</v>
      </c>
      <c r="F644" t="s">
        <v>23</v>
      </c>
      <c r="G644" t="s">
        <v>47</v>
      </c>
      <c r="H644">
        <v>19</v>
      </c>
      <c r="I644">
        <v>2174.06</v>
      </c>
      <c r="J644">
        <v>37176.425999999999</v>
      </c>
      <c r="K644">
        <v>4130.7139999999999</v>
      </c>
      <c r="L644">
        <v>41307.14</v>
      </c>
      <c r="M644">
        <v>7435.2851999999993</v>
      </c>
      <c r="N644">
        <v>48742.425199999998</v>
      </c>
      <c r="O644" t="s">
        <v>87</v>
      </c>
      <c r="P644" t="s">
        <v>100</v>
      </c>
    </row>
    <row r="645" spans="1:16" x14ac:dyDescent="0.25">
      <c r="A645" s="2">
        <v>45026</v>
      </c>
      <c r="B645" t="s">
        <v>10</v>
      </c>
      <c r="C645" t="s">
        <v>55</v>
      </c>
      <c r="D645" t="s">
        <v>66</v>
      </c>
      <c r="E645" t="s">
        <v>41</v>
      </c>
      <c r="F645" t="s">
        <v>27</v>
      </c>
      <c r="G645" t="s">
        <v>42</v>
      </c>
      <c r="H645">
        <v>2</v>
      </c>
      <c r="I645">
        <v>1194.4000000000001</v>
      </c>
      <c r="J645">
        <v>2149.92</v>
      </c>
      <c r="K645">
        <v>238.88000000000002</v>
      </c>
      <c r="L645">
        <v>2388.8000000000002</v>
      </c>
      <c r="M645">
        <v>429.98400000000004</v>
      </c>
      <c r="N645">
        <v>2818.7840000000001</v>
      </c>
      <c r="O645" t="s">
        <v>87</v>
      </c>
      <c r="P645" t="s">
        <v>66</v>
      </c>
    </row>
    <row r="646" spans="1:16" x14ac:dyDescent="0.25">
      <c r="A646" s="2">
        <v>45188</v>
      </c>
      <c r="B646" t="s">
        <v>40</v>
      </c>
      <c r="C646" t="s">
        <v>60</v>
      </c>
      <c r="D646" t="s">
        <v>12</v>
      </c>
      <c r="E646" t="s">
        <v>18</v>
      </c>
      <c r="F646" t="s">
        <v>23</v>
      </c>
      <c r="G646" t="s">
        <v>37</v>
      </c>
      <c r="H646">
        <v>2</v>
      </c>
      <c r="I646">
        <v>3726.58</v>
      </c>
      <c r="J646">
        <v>6707.8440000000001</v>
      </c>
      <c r="K646">
        <v>745.31600000000003</v>
      </c>
      <c r="L646">
        <v>7453.16</v>
      </c>
      <c r="M646">
        <v>1341.5688</v>
      </c>
      <c r="N646">
        <v>8794.7288000000008</v>
      </c>
      <c r="O646" t="s">
        <v>87</v>
      </c>
      <c r="P646" t="s">
        <v>100</v>
      </c>
    </row>
    <row r="647" spans="1:16" x14ac:dyDescent="0.25">
      <c r="A647" s="2">
        <v>45085</v>
      </c>
      <c r="B647" t="s">
        <v>31</v>
      </c>
      <c r="C647" t="s">
        <v>56</v>
      </c>
      <c r="D647" t="s">
        <v>12</v>
      </c>
      <c r="E647" t="s">
        <v>18</v>
      </c>
      <c r="F647" t="s">
        <v>14</v>
      </c>
      <c r="G647" t="s">
        <v>51</v>
      </c>
      <c r="H647">
        <v>5</v>
      </c>
      <c r="I647">
        <v>1599.65</v>
      </c>
      <c r="J647">
        <v>7198.4250000000002</v>
      </c>
      <c r="K647">
        <v>799.82500000000005</v>
      </c>
      <c r="L647">
        <v>7998.25</v>
      </c>
      <c r="M647">
        <v>1439.6849999999999</v>
      </c>
      <c r="N647">
        <v>9437.9349999999995</v>
      </c>
      <c r="O647" t="s">
        <v>87</v>
      </c>
      <c r="P647" t="s">
        <v>100</v>
      </c>
    </row>
    <row r="648" spans="1:16" x14ac:dyDescent="0.25">
      <c r="A648" s="2">
        <v>45258</v>
      </c>
      <c r="B648" t="s">
        <v>38</v>
      </c>
      <c r="C648" t="s">
        <v>61</v>
      </c>
      <c r="D648" t="s">
        <v>65</v>
      </c>
      <c r="E648" t="s">
        <v>64</v>
      </c>
      <c r="F648" t="s">
        <v>14</v>
      </c>
      <c r="G648" t="s">
        <v>15</v>
      </c>
      <c r="H648">
        <v>16</v>
      </c>
      <c r="I648">
        <v>1628.19</v>
      </c>
      <c r="J648">
        <v>23445.936000000002</v>
      </c>
      <c r="K648">
        <v>2605.1040000000003</v>
      </c>
      <c r="L648">
        <v>26051.040000000001</v>
      </c>
      <c r="M648">
        <v>4689.1872000000003</v>
      </c>
      <c r="N648">
        <v>30740.227200000001</v>
      </c>
      <c r="O648" t="s">
        <v>87</v>
      </c>
      <c r="P648" t="s">
        <v>101</v>
      </c>
    </row>
    <row r="649" spans="1:16" x14ac:dyDescent="0.25">
      <c r="A649" s="2">
        <v>45070</v>
      </c>
      <c r="B649" t="s">
        <v>38</v>
      </c>
      <c r="C649" t="s">
        <v>54</v>
      </c>
      <c r="D649" t="s">
        <v>12</v>
      </c>
      <c r="E649" t="s">
        <v>18</v>
      </c>
      <c r="F649" t="s">
        <v>23</v>
      </c>
      <c r="G649" t="s">
        <v>39</v>
      </c>
      <c r="H649">
        <v>17</v>
      </c>
      <c r="I649">
        <v>3381.75</v>
      </c>
      <c r="J649">
        <v>51740.775000000001</v>
      </c>
      <c r="K649">
        <v>5748.9750000000004</v>
      </c>
      <c r="L649">
        <v>57489.75</v>
      </c>
      <c r="M649">
        <v>10348.154999999999</v>
      </c>
      <c r="N649">
        <v>67837.904999999999</v>
      </c>
      <c r="O649" t="s">
        <v>87</v>
      </c>
      <c r="P649" t="s">
        <v>100</v>
      </c>
    </row>
    <row r="650" spans="1:16" x14ac:dyDescent="0.25">
      <c r="A650" s="2">
        <v>45229</v>
      </c>
      <c r="B650" t="s">
        <v>16</v>
      </c>
      <c r="C650" t="s">
        <v>57</v>
      </c>
      <c r="D650" t="s">
        <v>22</v>
      </c>
      <c r="E650" t="s">
        <v>13</v>
      </c>
      <c r="F650" t="s">
        <v>19</v>
      </c>
      <c r="G650" t="s">
        <v>20</v>
      </c>
      <c r="H650">
        <v>18</v>
      </c>
      <c r="I650">
        <v>3627.09</v>
      </c>
      <c r="J650">
        <v>58758.858</v>
      </c>
      <c r="K650">
        <v>6528.7620000000006</v>
      </c>
      <c r="L650">
        <v>65287.62</v>
      </c>
      <c r="M650">
        <v>11751.7716</v>
      </c>
      <c r="N650">
        <v>77039.391600000003</v>
      </c>
      <c r="O650" t="s">
        <v>87</v>
      </c>
      <c r="P650" t="s">
        <v>99</v>
      </c>
    </row>
    <row r="651" spans="1:16" x14ac:dyDescent="0.25">
      <c r="A651" s="2">
        <v>45077</v>
      </c>
      <c r="B651" t="s">
        <v>10</v>
      </c>
      <c r="C651" t="s">
        <v>60</v>
      </c>
      <c r="D651" t="s">
        <v>12</v>
      </c>
      <c r="E651" t="s">
        <v>18</v>
      </c>
      <c r="F651" t="s">
        <v>27</v>
      </c>
      <c r="G651" t="s">
        <v>28</v>
      </c>
      <c r="H651">
        <v>2</v>
      </c>
      <c r="I651">
        <v>3106.64</v>
      </c>
      <c r="J651">
        <v>5591.9520000000002</v>
      </c>
      <c r="K651">
        <v>621.32799999999997</v>
      </c>
      <c r="L651">
        <v>6213.28</v>
      </c>
      <c r="M651">
        <v>1118.3904</v>
      </c>
      <c r="N651">
        <v>7331.6704</v>
      </c>
      <c r="O651" t="s">
        <v>87</v>
      </c>
      <c r="P651" t="s">
        <v>100</v>
      </c>
    </row>
    <row r="652" spans="1:16" x14ac:dyDescent="0.25">
      <c r="A652" s="2">
        <v>44995</v>
      </c>
      <c r="B652" t="s">
        <v>10</v>
      </c>
      <c r="C652" t="s">
        <v>59</v>
      </c>
      <c r="D652" t="s">
        <v>66</v>
      </c>
      <c r="E652" t="s">
        <v>41</v>
      </c>
      <c r="F652" t="s">
        <v>32</v>
      </c>
      <c r="G652" t="s">
        <v>36</v>
      </c>
      <c r="H652">
        <v>15</v>
      </c>
      <c r="I652">
        <v>4310.01</v>
      </c>
      <c r="J652">
        <v>58185.135000000002</v>
      </c>
      <c r="K652">
        <v>6465.0150000000003</v>
      </c>
      <c r="L652">
        <v>64650.15</v>
      </c>
      <c r="M652">
        <v>11637.027</v>
      </c>
      <c r="N652">
        <v>76287.176999999996</v>
      </c>
      <c r="O652" t="s">
        <v>87</v>
      </c>
      <c r="P652" t="s">
        <v>66</v>
      </c>
    </row>
    <row r="653" spans="1:16" x14ac:dyDescent="0.25">
      <c r="A653" s="2">
        <v>44988</v>
      </c>
      <c r="B653" t="s">
        <v>34</v>
      </c>
      <c r="C653" t="s">
        <v>63</v>
      </c>
      <c r="D653" t="s">
        <v>65</v>
      </c>
      <c r="E653" t="s">
        <v>64</v>
      </c>
      <c r="F653" t="s">
        <v>14</v>
      </c>
      <c r="G653" t="s">
        <v>15</v>
      </c>
      <c r="H653">
        <v>14</v>
      </c>
      <c r="I653">
        <v>3352.19</v>
      </c>
      <c r="J653">
        <v>42237.594000000005</v>
      </c>
      <c r="K653">
        <v>4693.0660000000007</v>
      </c>
      <c r="L653">
        <v>46930.66</v>
      </c>
      <c r="M653">
        <v>8447.5187999999998</v>
      </c>
      <c r="N653">
        <v>55378.178800000002</v>
      </c>
      <c r="O653" t="s">
        <v>87</v>
      </c>
      <c r="P653" t="s">
        <v>101</v>
      </c>
    </row>
    <row r="654" spans="1:16" x14ac:dyDescent="0.25">
      <c r="A654" s="2">
        <v>45061</v>
      </c>
      <c r="B654" t="s">
        <v>25</v>
      </c>
      <c r="C654" t="s">
        <v>61</v>
      </c>
      <c r="D654" t="s">
        <v>65</v>
      </c>
      <c r="E654" t="s">
        <v>64</v>
      </c>
      <c r="F654" t="s">
        <v>32</v>
      </c>
      <c r="G654" t="s">
        <v>49</v>
      </c>
      <c r="H654">
        <v>18</v>
      </c>
      <c r="I654">
        <v>214.47</v>
      </c>
      <c r="J654">
        <v>3474.4140000000002</v>
      </c>
      <c r="K654">
        <v>386.04600000000005</v>
      </c>
      <c r="L654">
        <v>3860.46</v>
      </c>
      <c r="M654">
        <v>694.88279999999997</v>
      </c>
      <c r="N654">
        <v>4555.3428000000004</v>
      </c>
      <c r="O654" t="s">
        <v>87</v>
      </c>
      <c r="P654" t="s">
        <v>101</v>
      </c>
    </row>
    <row r="655" spans="1:16" x14ac:dyDescent="0.25">
      <c r="A655" s="2">
        <v>45000</v>
      </c>
      <c r="B655" t="s">
        <v>10</v>
      </c>
      <c r="C655" t="s">
        <v>62</v>
      </c>
      <c r="D655" t="s">
        <v>65</v>
      </c>
      <c r="E655" t="s">
        <v>64</v>
      </c>
      <c r="F655" t="s">
        <v>27</v>
      </c>
      <c r="G655" t="s">
        <v>28</v>
      </c>
      <c r="H655">
        <v>3</v>
      </c>
      <c r="I655">
        <v>1810.87</v>
      </c>
      <c r="J655">
        <v>4889.3490000000002</v>
      </c>
      <c r="K655">
        <v>543.26099999999997</v>
      </c>
      <c r="L655">
        <v>5432.61</v>
      </c>
      <c r="M655">
        <v>977.86979999999994</v>
      </c>
      <c r="N655">
        <v>6410.4797999999992</v>
      </c>
      <c r="O655" t="s">
        <v>87</v>
      </c>
      <c r="P655" t="s">
        <v>101</v>
      </c>
    </row>
    <row r="656" spans="1:16" x14ac:dyDescent="0.25">
      <c r="A656" s="2">
        <v>44956</v>
      </c>
      <c r="B656" t="s">
        <v>40</v>
      </c>
      <c r="C656" t="s">
        <v>58</v>
      </c>
      <c r="D656" t="s">
        <v>12</v>
      </c>
      <c r="E656" t="s">
        <v>18</v>
      </c>
      <c r="F656" t="s">
        <v>14</v>
      </c>
      <c r="G656" t="s">
        <v>51</v>
      </c>
      <c r="H656">
        <v>3</v>
      </c>
      <c r="I656">
        <v>1105.46</v>
      </c>
      <c r="J656">
        <v>2984.7420000000002</v>
      </c>
      <c r="K656">
        <v>331.63800000000003</v>
      </c>
      <c r="L656">
        <v>3316.38</v>
      </c>
      <c r="M656">
        <v>596.94839999999999</v>
      </c>
      <c r="N656">
        <v>3913.3284000000003</v>
      </c>
      <c r="O656" t="s">
        <v>87</v>
      </c>
      <c r="P656" t="s">
        <v>100</v>
      </c>
    </row>
    <row r="657" spans="1:16" x14ac:dyDescent="0.25">
      <c r="A657" s="2">
        <v>45166</v>
      </c>
      <c r="B657" t="s">
        <v>43</v>
      </c>
      <c r="C657" t="s">
        <v>26</v>
      </c>
      <c r="D657" t="s">
        <v>12</v>
      </c>
      <c r="E657" t="s">
        <v>18</v>
      </c>
      <c r="F657" t="s">
        <v>27</v>
      </c>
      <c r="G657" t="s">
        <v>42</v>
      </c>
      <c r="H657">
        <v>10</v>
      </c>
      <c r="I657">
        <v>3707.43</v>
      </c>
      <c r="J657">
        <v>33366.870000000003</v>
      </c>
      <c r="K657">
        <v>3707.4300000000003</v>
      </c>
      <c r="L657">
        <v>37074.300000000003</v>
      </c>
      <c r="M657">
        <v>6673.3740000000007</v>
      </c>
      <c r="N657">
        <v>43747.674000000006</v>
      </c>
      <c r="O657" t="s">
        <v>87</v>
      </c>
      <c r="P657" t="s">
        <v>100</v>
      </c>
    </row>
    <row r="658" spans="1:16" x14ac:dyDescent="0.25">
      <c r="A658" s="2">
        <v>45209</v>
      </c>
      <c r="B658" t="s">
        <v>38</v>
      </c>
      <c r="C658" t="s">
        <v>55</v>
      </c>
      <c r="D658" t="s">
        <v>66</v>
      </c>
      <c r="E658" t="s">
        <v>41</v>
      </c>
      <c r="F658" t="s">
        <v>32</v>
      </c>
      <c r="G658" t="s">
        <v>49</v>
      </c>
      <c r="H658">
        <v>18</v>
      </c>
      <c r="I658">
        <v>584.4</v>
      </c>
      <c r="J658">
        <v>9467.2800000000007</v>
      </c>
      <c r="K658">
        <v>1051.92</v>
      </c>
      <c r="L658">
        <v>10519.2</v>
      </c>
      <c r="M658">
        <v>1893.4560000000001</v>
      </c>
      <c r="N658">
        <v>12412.656000000001</v>
      </c>
      <c r="O658" t="s">
        <v>87</v>
      </c>
      <c r="P658" t="s">
        <v>66</v>
      </c>
    </row>
    <row r="659" spans="1:16" x14ac:dyDescent="0.25">
      <c r="A659" s="2">
        <v>44985</v>
      </c>
      <c r="B659" t="s">
        <v>16</v>
      </c>
      <c r="C659" t="s">
        <v>62</v>
      </c>
      <c r="D659" t="s">
        <v>65</v>
      </c>
      <c r="E659" t="s">
        <v>64</v>
      </c>
      <c r="F659" t="s">
        <v>14</v>
      </c>
      <c r="G659" t="s">
        <v>51</v>
      </c>
      <c r="H659">
        <v>1</v>
      </c>
      <c r="I659">
        <v>2498.7399999999998</v>
      </c>
      <c r="J659">
        <v>2248.866</v>
      </c>
      <c r="K659">
        <v>249.874</v>
      </c>
      <c r="L659">
        <v>2498.7399999999998</v>
      </c>
      <c r="M659">
        <v>449.77319999999992</v>
      </c>
      <c r="N659">
        <v>2948.5131999999999</v>
      </c>
      <c r="O659" t="s">
        <v>87</v>
      </c>
      <c r="P659" t="s">
        <v>101</v>
      </c>
    </row>
    <row r="660" spans="1:16" x14ac:dyDescent="0.25">
      <c r="A660" s="2">
        <v>44992</v>
      </c>
      <c r="B660" t="s">
        <v>29</v>
      </c>
      <c r="C660" t="s">
        <v>54</v>
      </c>
      <c r="D660" t="s">
        <v>12</v>
      </c>
      <c r="E660" t="s">
        <v>18</v>
      </c>
      <c r="F660" t="s">
        <v>32</v>
      </c>
      <c r="G660" t="s">
        <v>49</v>
      </c>
      <c r="H660">
        <v>17</v>
      </c>
      <c r="I660">
        <v>2460.73</v>
      </c>
      <c r="J660">
        <v>37649.169000000002</v>
      </c>
      <c r="K660">
        <v>4183.2410000000009</v>
      </c>
      <c r="L660">
        <v>41832.410000000003</v>
      </c>
      <c r="M660">
        <v>7529.8338000000003</v>
      </c>
      <c r="N660">
        <v>49362.243800000004</v>
      </c>
      <c r="O660" t="s">
        <v>87</v>
      </c>
      <c r="P660" t="s">
        <v>100</v>
      </c>
    </row>
    <row r="661" spans="1:16" x14ac:dyDescent="0.25">
      <c r="A661" s="2">
        <v>44938</v>
      </c>
      <c r="B661" t="s">
        <v>40</v>
      </c>
      <c r="C661" t="s">
        <v>11</v>
      </c>
      <c r="D661" t="s">
        <v>22</v>
      </c>
      <c r="E661" t="s">
        <v>13</v>
      </c>
      <c r="F661" t="s">
        <v>14</v>
      </c>
      <c r="G661" t="s">
        <v>15</v>
      </c>
      <c r="H661">
        <v>13</v>
      </c>
      <c r="I661">
        <v>4630.9799999999996</v>
      </c>
      <c r="J661">
        <v>54182.466</v>
      </c>
      <c r="K661">
        <v>6020.2740000000003</v>
      </c>
      <c r="L661">
        <v>60202.74</v>
      </c>
      <c r="M661">
        <v>10836.493199999999</v>
      </c>
      <c r="N661">
        <v>71039.233200000002</v>
      </c>
      <c r="O661" t="s">
        <v>87</v>
      </c>
      <c r="P661" t="s">
        <v>99</v>
      </c>
    </row>
    <row r="662" spans="1:16" x14ac:dyDescent="0.25">
      <c r="A662" s="2">
        <v>45241</v>
      </c>
      <c r="B662" t="s">
        <v>25</v>
      </c>
      <c r="C662" t="s">
        <v>54</v>
      </c>
      <c r="D662" t="s">
        <v>12</v>
      </c>
      <c r="E662" t="s">
        <v>18</v>
      </c>
      <c r="F662" t="s">
        <v>32</v>
      </c>
      <c r="G662" t="s">
        <v>50</v>
      </c>
      <c r="H662">
        <v>3</v>
      </c>
      <c r="I662">
        <v>4324.88</v>
      </c>
      <c r="J662">
        <v>11677.175999999999</v>
      </c>
      <c r="K662">
        <v>1297.4639999999999</v>
      </c>
      <c r="L662">
        <v>12974.64</v>
      </c>
      <c r="M662">
        <v>2335.4351999999999</v>
      </c>
      <c r="N662">
        <v>15310.075199999999</v>
      </c>
      <c r="O662" t="s">
        <v>87</v>
      </c>
      <c r="P662" t="s">
        <v>100</v>
      </c>
    </row>
    <row r="663" spans="1:16" x14ac:dyDescent="0.25">
      <c r="A663" s="2">
        <v>45211</v>
      </c>
      <c r="B663" t="s">
        <v>10</v>
      </c>
      <c r="C663" t="s">
        <v>58</v>
      </c>
      <c r="D663" t="s">
        <v>12</v>
      </c>
      <c r="E663" t="s">
        <v>18</v>
      </c>
      <c r="F663" t="s">
        <v>32</v>
      </c>
      <c r="G663" t="s">
        <v>50</v>
      </c>
      <c r="H663">
        <v>20</v>
      </c>
      <c r="I663">
        <v>4049.4</v>
      </c>
      <c r="J663">
        <v>72889.2</v>
      </c>
      <c r="K663">
        <v>8098.8</v>
      </c>
      <c r="L663">
        <v>80988</v>
      </c>
      <c r="M663">
        <v>14577.84</v>
      </c>
      <c r="N663">
        <v>95565.84</v>
      </c>
      <c r="O663" t="s">
        <v>87</v>
      </c>
      <c r="P663" t="s">
        <v>100</v>
      </c>
    </row>
    <row r="664" spans="1:16" x14ac:dyDescent="0.25">
      <c r="A664" s="2">
        <v>45207</v>
      </c>
      <c r="B664" t="s">
        <v>16</v>
      </c>
      <c r="C664" t="s">
        <v>63</v>
      </c>
      <c r="D664" t="s">
        <v>65</v>
      </c>
      <c r="E664" t="s">
        <v>64</v>
      </c>
      <c r="F664" t="s">
        <v>27</v>
      </c>
      <c r="G664" t="s">
        <v>46</v>
      </c>
      <c r="H664">
        <v>16</v>
      </c>
      <c r="I664">
        <v>2347.21</v>
      </c>
      <c r="J664">
        <v>33799.824000000001</v>
      </c>
      <c r="K664">
        <v>3755.5360000000001</v>
      </c>
      <c r="L664">
        <v>37555.360000000001</v>
      </c>
      <c r="M664">
        <v>6759.9647999999997</v>
      </c>
      <c r="N664">
        <v>44315.324800000002</v>
      </c>
      <c r="O664" t="s">
        <v>87</v>
      </c>
      <c r="P664" t="s">
        <v>101</v>
      </c>
    </row>
    <row r="665" spans="1:16" x14ac:dyDescent="0.25">
      <c r="A665" s="2">
        <v>45254</v>
      </c>
      <c r="B665" t="s">
        <v>16</v>
      </c>
      <c r="C665" t="s">
        <v>59</v>
      </c>
      <c r="D665" t="s">
        <v>66</v>
      </c>
      <c r="E665" t="s">
        <v>41</v>
      </c>
      <c r="F665" t="s">
        <v>23</v>
      </c>
      <c r="G665" t="s">
        <v>47</v>
      </c>
      <c r="H665">
        <v>2</v>
      </c>
      <c r="I665">
        <v>3743.52</v>
      </c>
      <c r="J665">
        <v>6738.3360000000002</v>
      </c>
      <c r="K665">
        <v>748.70400000000006</v>
      </c>
      <c r="L665">
        <v>7487.04</v>
      </c>
      <c r="M665">
        <v>1347.6671999999999</v>
      </c>
      <c r="N665">
        <v>8834.7072000000007</v>
      </c>
      <c r="O665" t="s">
        <v>87</v>
      </c>
      <c r="P665" t="s">
        <v>66</v>
      </c>
    </row>
    <row r="666" spans="1:16" x14ac:dyDescent="0.25">
      <c r="A666" s="2">
        <v>45221</v>
      </c>
      <c r="B666" t="s">
        <v>21</v>
      </c>
      <c r="C666" t="s">
        <v>57</v>
      </c>
      <c r="D666" t="s">
        <v>22</v>
      </c>
      <c r="E666" t="s">
        <v>13</v>
      </c>
      <c r="F666" t="s">
        <v>27</v>
      </c>
      <c r="G666" t="s">
        <v>44</v>
      </c>
      <c r="H666">
        <v>8</v>
      </c>
      <c r="I666">
        <v>303.48</v>
      </c>
      <c r="J666">
        <v>2185.056</v>
      </c>
      <c r="K666">
        <v>242.78400000000002</v>
      </c>
      <c r="L666">
        <v>2427.84</v>
      </c>
      <c r="M666">
        <v>437.01120000000003</v>
      </c>
      <c r="N666">
        <v>2864.8512000000001</v>
      </c>
      <c r="O666" t="s">
        <v>87</v>
      </c>
      <c r="P666" t="s">
        <v>99</v>
      </c>
    </row>
    <row r="667" spans="1:16" x14ac:dyDescent="0.25">
      <c r="A667" s="2">
        <v>45183</v>
      </c>
      <c r="B667" t="s">
        <v>38</v>
      </c>
      <c r="C667" t="s">
        <v>17</v>
      </c>
      <c r="D667" t="s">
        <v>65</v>
      </c>
      <c r="E667" t="s">
        <v>64</v>
      </c>
      <c r="F667" t="s">
        <v>14</v>
      </c>
      <c r="G667" t="s">
        <v>45</v>
      </c>
      <c r="H667">
        <v>7</v>
      </c>
      <c r="I667">
        <v>1373.41</v>
      </c>
      <c r="J667">
        <v>8652.4830000000002</v>
      </c>
      <c r="K667">
        <v>961.38700000000017</v>
      </c>
      <c r="L667">
        <v>9613.8700000000008</v>
      </c>
      <c r="M667">
        <v>1730.4966000000002</v>
      </c>
      <c r="N667">
        <v>11344.366600000001</v>
      </c>
      <c r="O667" t="s">
        <v>87</v>
      </c>
      <c r="P667" t="s">
        <v>101</v>
      </c>
    </row>
    <row r="668" spans="1:16" x14ac:dyDescent="0.25">
      <c r="A668" s="2">
        <v>45006</v>
      </c>
      <c r="B668" t="s">
        <v>38</v>
      </c>
      <c r="C668" t="s">
        <v>61</v>
      </c>
      <c r="D668" t="s">
        <v>65</v>
      </c>
      <c r="E668" t="s">
        <v>64</v>
      </c>
      <c r="F668" t="s">
        <v>32</v>
      </c>
      <c r="G668" t="s">
        <v>49</v>
      </c>
      <c r="H668">
        <v>10</v>
      </c>
      <c r="I668">
        <v>3048.2</v>
      </c>
      <c r="J668">
        <v>27433.8</v>
      </c>
      <c r="K668">
        <v>3048.2000000000003</v>
      </c>
      <c r="L668">
        <v>30482</v>
      </c>
      <c r="M668">
        <v>5486.76</v>
      </c>
      <c r="N668">
        <v>35968.76</v>
      </c>
      <c r="O668" t="s">
        <v>87</v>
      </c>
      <c r="P668" t="s">
        <v>101</v>
      </c>
    </row>
    <row r="669" spans="1:16" x14ac:dyDescent="0.25">
      <c r="A669" s="2">
        <v>45290</v>
      </c>
      <c r="B669" t="s">
        <v>40</v>
      </c>
      <c r="C669" t="s">
        <v>35</v>
      </c>
      <c r="D669" t="s">
        <v>65</v>
      </c>
      <c r="E669" t="s">
        <v>64</v>
      </c>
      <c r="F669" t="s">
        <v>14</v>
      </c>
      <c r="G669" t="s">
        <v>45</v>
      </c>
      <c r="H669">
        <v>20</v>
      </c>
      <c r="I669">
        <v>2818.78</v>
      </c>
      <c r="J669">
        <v>50738.04</v>
      </c>
      <c r="K669">
        <v>5637.56</v>
      </c>
      <c r="L669">
        <v>56375.6</v>
      </c>
      <c r="M669">
        <v>10147.608</v>
      </c>
      <c r="N669">
        <v>66523.207999999999</v>
      </c>
      <c r="O669" t="s">
        <v>87</v>
      </c>
      <c r="P669" t="s">
        <v>101</v>
      </c>
    </row>
    <row r="670" spans="1:16" x14ac:dyDescent="0.25">
      <c r="A670" s="2">
        <v>45234</v>
      </c>
      <c r="B670" t="s">
        <v>16</v>
      </c>
      <c r="C670" t="s">
        <v>59</v>
      </c>
      <c r="D670" t="s">
        <v>66</v>
      </c>
      <c r="E670" t="s">
        <v>41</v>
      </c>
      <c r="F670" t="s">
        <v>23</v>
      </c>
      <c r="G670" t="s">
        <v>47</v>
      </c>
      <c r="H670">
        <v>1</v>
      </c>
      <c r="I670">
        <v>4647.3</v>
      </c>
      <c r="J670">
        <v>4182.5700000000006</v>
      </c>
      <c r="K670">
        <v>464.73</v>
      </c>
      <c r="L670">
        <v>4647.3</v>
      </c>
      <c r="M670">
        <v>836.51400000000001</v>
      </c>
      <c r="N670">
        <v>5483.8140000000003</v>
      </c>
      <c r="O670" t="s">
        <v>87</v>
      </c>
      <c r="P670" t="s">
        <v>66</v>
      </c>
    </row>
    <row r="671" spans="1:16" x14ac:dyDescent="0.25">
      <c r="A671" s="2">
        <v>44964</v>
      </c>
      <c r="B671" t="s">
        <v>21</v>
      </c>
      <c r="C671" t="s">
        <v>60</v>
      </c>
      <c r="D671" t="s">
        <v>12</v>
      </c>
      <c r="E671" t="s">
        <v>18</v>
      </c>
      <c r="F671" t="s">
        <v>23</v>
      </c>
      <c r="G671" t="s">
        <v>24</v>
      </c>
      <c r="H671">
        <v>20</v>
      </c>
      <c r="I671">
        <v>2302.4699999999998</v>
      </c>
      <c r="J671">
        <v>41444.46</v>
      </c>
      <c r="K671">
        <v>4604.9400000000005</v>
      </c>
      <c r="L671">
        <v>46049.4</v>
      </c>
      <c r="M671">
        <v>8288.8919999999998</v>
      </c>
      <c r="N671">
        <v>54338.292000000001</v>
      </c>
      <c r="O671" t="s">
        <v>87</v>
      </c>
      <c r="P671" t="s">
        <v>100</v>
      </c>
    </row>
    <row r="672" spans="1:16" x14ac:dyDescent="0.25">
      <c r="A672" s="2">
        <v>45011</v>
      </c>
      <c r="B672" t="s">
        <v>43</v>
      </c>
      <c r="C672" t="s">
        <v>61</v>
      </c>
      <c r="D672" t="s">
        <v>65</v>
      </c>
      <c r="E672" t="s">
        <v>64</v>
      </c>
      <c r="F672" t="s">
        <v>14</v>
      </c>
      <c r="G672" t="s">
        <v>45</v>
      </c>
      <c r="H672">
        <v>17</v>
      </c>
      <c r="I672">
        <v>2805.45</v>
      </c>
      <c r="J672">
        <v>42923.385000000002</v>
      </c>
      <c r="K672">
        <v>4769.2650000000003</v>
      </c>
      <c r="L672">
        <v>47692.65</v>
      </c>
      <c r="M672">
        <v>8584.6769999999997</v>
      </c>
      <c r="N672">
        <v>56277.327000000005</v>
      </c>
      <c r="O672" t="s">
        <v>87</v>
      </c>
      <c r="P672" t="s">
        <v>101</v>
      </c>
    </row>
    <row r="673" spans="1:16" x14ac:dyDescent="0.25">
      <c r="A673" s="2">
        <v>45030</v>
      </c>
      <c r="B673" t="s">
        <v>43</v>
      </c>
      <c r="C673" t="s">
        <v>17</v>
      </c>
      <c r="D673" t="s">
        <v>65</v>
      </c>
      <c r="E673" t="s">
        <v>64</v>
      </c>
      <c r="F673" t="s">
        <v>32</v>
      </c>
      <c r="G673" t="s">
        <v>36</v>
      </c>
      <c r="H673">
        <v>3</v>
      </c>
      <c r="I673">
        <v>413.26</v>
      </c>
      <c r="J673">
        <v>1115.8019999999999</v>
      </c>
      <c r="K673">
        <v>123.97800000000001</v>
      </c>
      <c r="L673">
        <v>1239.78</v>
      </c>
      <c r="M673">
        <v>223.16039999999998</v>
      </c>
      <c r="N673">
        <v>1462.9404</v>
      </c>
      <c r="O673" t="s">
        <v>87</v>
      </c>
      <c r="P673" t="s">
        <v>101</v>
      </c>
    </row>
    <row r="674" spans="1:16" x14ac:dyDescent="0.25">
      <c r="A674" s="2">
        <v>45004</v>
      </c>
      <c r="B674" t="s">
        <v>29</v>
      </c>
      <c r="C674" t="s">
        <v>60</v>
      </c>
      <c r="D674" t="s">
        <v>12</v>
      </c>
      <c r="E674" t="s">
        <v>18</v>
      </c>
      <c r="F674" t="s">
        <v>23</v>
      </c>
      <c r="G674" t="s">
        <v>37</v>
      </c>
      <c r="H674">
        <v>17</v>
      </c>
      <c r="I674">
        <v>3203.04</v>
      </c>
      <c r="J674">
        <v>49006.512000000002</v>
      </c>
      <c r="K674">
        <v>5445.1680000000006</v>
      </c>
      <c r="L674">
        <v>54451.68</v>
      </c>
      <c r="M674">
        <v>9801.3024000000005</v>
      </c>
      <c r="N674">
        <v>64252.982400000001</v>
      </c>
      <c r="O674" t="s">
        <v>87</v>
      </c>
      <c r="P674" t="s">
        <v>100</v>
      </c>
    </row>
    <row r="675" spans="1:16" x14ac:dyDescent="0.25">
      <c r="A675" s="2">
        <v>45030</v>
      </c>
      <c r="B675" t="s">
        <v>31</v>
      </c>
      <c r="C675" t="s">
        <v>35</v>
      </c>
      <c r="D675" t="s">
        <v>65</v>
      </c>
      <c r="E675" t="s">
        <v>64</v>
      </c>
      <c r="F675" t="s">
        <v>23</v>
      </c>
      <c r="G675" t="s">
        <v>24</v>
      </c>
      <c r="H675">
        <v>4</v>
      </c>
      <c r="I675">
        <v>1906.89</v>
      </c>
      <c r="J675">
        <v>6864.8040000000001</v>
      </c>
      <c r="K675">
        <v>762.75600000000009</v>
      </c>
      <c r="L675">
        <v>7627.56</v>
      </c>
      <c r="M675">
        <v>1372.9608000000001</v>
      </c>
      <c r="N675">
        <v>9000.5208000000002</v>
      </c>
      <c r="O675" t="s">
        <v>87</v>
      </c>
      <c r="P675" t="s">
        <v>101</v>
      </c>
    </row>
    <row r="676" spans="1:16" x14ac:dyDescent="0.25">
      <c r="A676" s="2">
        <v>45103</v>
      </c>
      <c r="B676" t="s">
        <v>40</v>
      </c>
      <c r="C676" t="s">
        <v>58</v>
      </c>
      <c r="D676" t="s">
        <v>12</v>
      </c>
      <c r="E676" t="s">
        <v>18</v>
      </c>
      <c r="F676" t="s">
        <v>27</v>
      </c>
      <c r="G676" t="s">
        <v>46</v>
      </c>
      <c r="H676">
        <v>14</v>
      </c>
      <c r="I676">
        <v>3829.68</v>
      </c>
      <c r="J676">
        <v>48253.968000000001</v>
      </c>
      <c r="K676">
        <v>5361.5519999999997</v>
      </c>
      <c r="L676">
        <v>53615.519999999997</v>
      </c>
      <c r="M676">
        <v>9650.7935999999991</v>
      </c>
      <c r="N676">
        <v>63266.313599999994</v>
      </c>
      <c r="O676" t="s">
        <v>87</v>
      </c>
      <c r="P676" t="s">
        <v>100</v>
      </c>
    </row>
    <row r="677" spans="1:16" x14ac:dyDescent="0.25">
      <c r="A677" s="2">
        <v>45040</v>
      </c>
      <c r="B677" t="s">
        <v>16</v>
      </c>
      <c r="C677" t="s">
        <v>56</v>
      </c>
      <c r="D677" t="s">
        <v>12</v>
      </c>
      <c r="E677" t="s">
        <v>18</v>
      </c>
      <c r="F677" t="s">
        <v>19</v>
      </c>
      <c r="G677" t="s">
        <v>20</v>
      </c>
      <c r="H677">
        <v>19</v>
      </c>
      <c r="I677">
        <v>2636.08</v>
      </c>
      <c r="J677">
        <v>45076.968000000001</v>
      </c>
      <c r="K677">
        <v>5008.5519999999997</v>
      </c>
      <c r="L677">
        <v>50085.52</v>
      </c>
      <c r="M677">
        <v>9015.3935999999994</v>
      </c>
      <c r="N677">
        <v>59100.9136</v>
      </c>
      <c r="O677" t="s">
        <v>87</v>
      </c>
      <c r="P677" t="s">
        <v>100</v>
      </c>
    </row>
    <row r="678" spans="1:16" x14ac:dyDescent="0.25">
      <c r="A678" s="2">
        <v>45149</v>
      </c>
      <c r="B678" t="s">
        <v>10</v>
      </c>
      <c r="C678" t="s">
        <v>17</v>
      </c>
      <c r="D678" t="s">
        <v>65</v>
      </c>
      <c r="E678" t="s">
        <v>64</v>
      </c>
      <c r="F678" t="s">
        <v>32</v>
      </c>
      <c r="G678" t="s">
        <v>33</v>
      </c>
      <c r="H678">
        <v>13</v>
      </c>
      <c r="I678">
        <v>3994.86</v>
      </c>
      <c r="J678">
        <v>46739.862000000001</v>
      </c>
      <c r="K678">
        <v>5193.3180000000002</v>
      </c>
      <c r="L678">
        <v>51933.18</v>
      </c>
      <c r="M678">
        <v>9347.9724000000006</v>
      </c>
      <c r="N678">
        <v>61281.152399999999</v>
      </c>
      <c r="O678" t="s">
        <v>87</v>
      </c>
      <c r="P678" t="s">
        <v>101</v>
      </c>
    </row>
    <row r="679" spans="1:16" x14ac:dyDescent="0.25">
      <c r="A679" s="2">
        <v>45102</v>
      </c>
      <c r="B679" t="s">
        <v>29</v>
      </c>
      <c r="C679" t="s">
        <v>35</v>
      </c>
      <c r="D679" t="s">
        <v>65</v>
      </c>
      <c r="E679" t="s">
        <v>64</v>
      </c>
      <c r="F679" t="s">
        <v>19</v>
      </c>
      <c r="G679" t="s">
        <v>30</v>
      </c>
      <c r="H679">
        <v>12</v>
      </c>
      <c r="I679">
        <v>1554.75</v>
      </c>
      <c r="J679">
        <v>16791.3</v>
      </c>
      <c r="K679">
        <v>1865.7</v>
      </c>
      <c r="L679">
        <v>18657</v>
      </c>
      <c r="M679">
        <v>3358.2599999999998</v>
      </c>
      <c r="N679">
        <v>22015.26</v>
      </c>
      <c r="O679" t="s">
        <v>87</v>
      </c>
      <c r="P679" t="s">
        <v>101</v>
      </c>
    </row>
    <row r="680" spans="1:16" x14ac:dyDescent="0.25">
      <c r="A680" s="2">
        <v>44933</v>
      </c>
      <c r="B680" t="s">
        <v>31</v>
      </c>
      <c r="C680" t="s">
        <v>57</v>
      </c>
      <c r="D680" t="s">
        <v>22</v>
      </c>
      <c r="E680" t="s">
        <v>13</v>
      </c>
      <c r="F680" t="s">
        <v>19</v>
      </c>
      <c r="G680" t="s">
        <v>52</v>
      </c>
      <c r="H680">
        <v>9</v>
      </c>
      <c r="I680">
        <v>4674.04</v>
      </c>
      <c r="J680">
        <v>37859.724000000002</v>
      </c>
      <c r="K680">
        <v>4206.6360000000004</v>
      </c>
      <c r="L680">
        <v>42066.36</v>
      </c>
      <c r="M680">
        <v>7571.9448000000002</v>
      </c>
      <c r="N680">
        <v>49638.304799999998</v>
      </c>
      <c r="O680" t="s">
        <v>87</v>
      </c>
      <c r="P680" t="s">
        <v>99</v>
      </c>
    </row>
    <row r="681" spans="1:16" x14ac:dyDescent="0.25">
      <c r="A681" s="2">
        <v>44961</v>
      </c>
      <c r="B681" t="s">
        <v>31</v>
      </c>
      <c r="C681" t="s">
        <v>63</v>
      </c>
      <c r="D681" t="s">
        <v>65</v>
      </c>
      <c r="E681" t="s">
        <v>64</v>
      </c>
      <c r="F681" t="s">
        <v>14</v>
      </c>
      <c r="G681" t="s">
        <v>15</v>
      </c>
      <c r="H681">
        <v>2</v>
      </c>
      <c r="I681">
        <v>1252.3</v>
      </c>
      <c r="J681">
        <v>2254.14</v>
      </c>
      <c r="K681">
        <v>250.46</v>
      </c>
      <c r="L681">
        <v>2504.6</v>
      </c>
      <c r="M681">
        <v>450.82799999999997</v>
      </c>
      <c r="N681">
        <v>2955.4279999999999</v>
      </c>
      <c r="O681" t="s">
        <v>87</v>
      </c>
      <c r="P681" t="s">
        <v>101</v>
      </c>
    </row>
    <row r="682" spans="1:16" x14ac:dyDescent="0.25">
      <c r="A682" s="2">
        <v>45199</v>
      </c>
      <c r="B682" t="s">
        <v>25</v>
      </c>
      <c r="C682" t="s">
        <v>62</v>
      </c>
      <c r="D682" t="s">
        <v>65</v>
      </c>
      <c r="E682" t="s">
        <v>64</v>
      </c>
      <c r="F682" t="s">
        <v>19</v>
      </c>
      <c r="G682" t="s">
        <v>30</v>
      </c>
      <c r="H682">
        <v>15</v>
      </c>
      <c r="I682">
        <v>1738.86</v>
      </c>
      <c r="J682">
        <v>23474.61</v>
      </c>
      <c r="K682">
        <v>2608.2900000000004</v>
      </c>
      <c r="L682">
        <v>26082.9</v>
      </c>
      <c r="M682">
        <v>4694.9220000000005</v>
      </c>
      <c r="N682">
        <v>30777.822</v>
      </c>
      <c r="O682" t="s">
        <v>87</v>
      </c>
      <c r="P682" t="s">
        <v>101</v>
      </c>
    </row>
    <row r="683" spans="1:16" x14ac:dyDescent="0.25">
      <c r="A683" s="2">
        <v>45229</v>
      </c>
      <c r="B683" t="s">
        <v>16</v>
      </c>
      <c r="C683" t="s">
        <v>60</v>
      </c>
      <c r="D683" t="s">
        <v>12</v>
      </c>
      <c r="E683" t="s">
        <v>18</v>
      </c>
      <c r="F683" t="s">
        <v>23</v>
      </c>
      <c r="G683" t="s">
        <v>37</v>
      </c>
      <c r="H683">
        <v>4</v>
      </c>
      <c r="I683">
        <v>2527.15</v>
      </c>
      <c r="J683">
        <v>9097.74</v>
      </c>
      <c r="K683">
        <v>1010.8600000000001</v>
      </c>
      <c r="L683">
        <v>10108.6</v>
      </c>
      <c r="M683">
        <v>1819.548</v>
      </c>
      <c r="N683">
        <v>11928.148000000001</v>
      </c>
      <c r="O683" t="s">
        <v>87</v>
      </c>
      <c r="P683" t="s">
        <v>100</v>
      </c>
    </row>
    <row r="684" spans="1:16" x14ac:dyDescent="0.25">
      <c r="A684" s="2">
        <v>44958</v>
      </c>
      <c r="B684" t="s">
        <v>25</v>
      </c>
      <c r="C684" t="s">
        <v>35</v>
      </c>
      <c r="D684" t="s">
        <v>65</v>
      </c>
      <c r="E684" t="s">
        <v>64</v>
      </c>
      <c r="F684" t="s">
        <v>23</v>
      </c>
      <c r="G684" t="s">
        <v>24</v>
      </c>
      <c r="H684">
        <v>17</v>
      </c>
      <c r="I684">
        <v>4247.5600000000004</v>
      </c>
      <c r="J684">
        <v>64987.668000000005</v>
      </c>
      <c r="K684">
        <v>7220.8520000000008</v>
      </c>
      <c r="L684">
        <v>72208.52</v>
      </c>
      <c r="M684">
        <v>12997.533600000001</v>
      </c>
      <c r="N684">
        <v>85206.053599999999</v>
      </c>
      <c r="O684" t="s">
        <v>87</v>
      </c>
      <c r="P684" t="s">
        <v>101</v>
      </c>
    </row>
    <row r="685" spans="1:16" x14ac:dyDescent="0.25">
      <c r="A685" s="2">
        <v>45279</v>
      </c>
      <c r="B685" t="s">
        <v>40</v>
      </c>
      <c r="C685" t="s">
        <v>56</v>
      </c>
      <c r="D685" t="s">
        <v>12</v>
      </c>
      <c r="E685" t="s">
        <v>18</v>
      </c>
      <c r="F685" t="s">
        <v>27</v>
      </c>
      <c r="G685" t="s">
        <v>28</v>
      </c>
      <c r="H685">
        <v>8</v>
      </c>
      <c r="I685">
        <v>978.4</v>
      </c>
      <c r="J685">
        <v>7044.48</v>
      </c>
      <c r="K685">
        <v>782.72</v>
      </c>
      <c r="L685">
        <v>7827.2</v>
      </c>
      <c r="M685">
        <v>1408.896</v>
      </c>
      <c r="N685">
        <v>9236.0959999999995</v>
      </c>
      <c r="O685" t="s">
        <v>87</v>
      </c>
      <c r="P685" t="s">
        <v>100</v>
      </c>
    </row>
    <row r="686" spans="1:16" x14ac:dyDescent="0.25">
      <c r="A686" s="2">
        <v>45141</v>
      </c>
      <c r="B686" t="s">
        <v>40</v>
      </c>
      <c r="C686" t="s">
        <v>63</v>
      </c>
      <c r="D686" t="s">
        <v>65</v>
      </c>
      <c r="E686" t="s">
        <v>64</v>
      </c>
      <c r="F686" t="s">
        <v>14</v>
      </c>
      <c r="G686" t="s">
        <v>51</v>
      </c>
      <c r="H686">
        <v>5</v>
      </c>
      <c r="I686">
        <v>1530.16</v>
      </c>
      <c r="J686">
        <v>6885.72</v>
      </c>
      <c r="K686">
        <v>765.08</v>
      </c>
      <c r="L686">
        <v>7650.8</v>
      </c>
      <c r="M686">
        <v>1377.144</v>
      </c>
      <c r="N686">
        <v>9027.9439999999995</v>
      </c>
      <c r="O686" t="s">
        <v>87</v>
      </c>
      <c r="P686" t="s">
        <v>101</v>
      </c>
    </row>
    <row r="687" spans="1:16" x14ac:dyDescent="0.25">
      <c r="A687" s="2">
        <v>44962</v>
      </c>
      <c r="B687" t="s">
        <v>43</v>
      </c>
      <c r="C687" t="s">
        <v>17</v>
      </c>
      <c r="D687" t="s">
        <v>65</v>
      </c>
      <c r="E687" t="s">
        <v>64</v>
      </c>
      <c r="F687" t="s">
        <v>14</v>
      </c>
      <c r="G687" t="s">
        <v>51</v>
      </c>
      <c r="H687">
        <v>15</v>
      </c>
      <c r="I687">
        <v>4748.62</v>
      </c>
      <c r="J687">
        <v>64106.37</v>
      </c>
      <c r="K687">
        <v>7122.93</v>
      </c>
      <c r="L687">
        <v>71229.3</v>
      </c>
      <c r="M687">
        <v>12821.273999999999</v>
      </c>
      <c r="N687">
        <v>84050.574000000008</v>
      </c>
      <c r="O687" t="s">
        <v>87</v>
      </c>
      <c r="P687" t="s">
        <v>101</v>
      </c>
    </row>
    <row r="688" spans="1:16" x14ac:dyDescent="0.25">
      <c r="A688" s="2">
        <v>45249</v>
      </c>
      <c r="B688" t="s">
        <v>40</v>
      </c>
      <c r="C688" t="s">
        <v>54</v>
      </c>
      <c r="D688" t="s">
        <v>12</v>
      </c>
      <c r="E688" t="s">
        <v>18</v>
      </c>
      <c r="F688" t="s">
        <v>14</v>
      </c>
      <c r="G688" t="s">
        <v>15</v>
      </c>
      <c r="H688">
        <v>5</v>
      </c>
      <c r="I688">
        <v>4402.72</v>
      </c>
      <c r="J688">
        <v>19812.239999999998</v>
      </c>
      <c r="K688">
        <v>2201.36</v>
      </c>
      <c r="L688">
        <v>22013.599999999999</v>
      </c>
      <c r="M688">
        <v>3962.4479999999994</v>
      </c>
      <c r="N688">
        <v>25976.047999999999</v>
      </c>
      <c r="O688" t="s">
        <v>87</v>
      </c>
      <c r="P688" t="s">
        <v>100</v>
      </c>
    </row>
    <row r="689" spans="1:16" x14ac:dyDescent="0.25">
      <c r="A689" s="2">
        <v>45117</v>
      </c>
      <c r="B689" t="s">
        <v>10</v>
      </c>
      <c r="C689" t="s">
        <v>26</v>
      </c>
      <c r="D689" t="s">
        <v>12</v>
      </c>
      <c r="E689" t="s">
        <v>18</v>
      </c>
      <c r="F689" t="s">
        <v>23</v>
      </c>
      <c r="G689" t="s">
        <v>24</v>
      </c>
      <c r="H689">
        <v>16</v>
      </c>
      <c r="I689">
        <v>3858.12</v>
      </c>
      <c r="J689">
        <v>55556.928</v>
      </c>
      <c r="K689">
        <v>6172.9920000000002</v>
      </c>
      <c r="L689">
        <v>61729.919999999998</v>
      </c>
      <c r="M689">
        <v>11111.3856</v>
      </c>
      <c r="N689">
        <v>72841.305599999992</v>
      </c>
      <c r="O689" t="s">
        <v>87</v>
      </c>
      <c r="P689" t="s">
        <v>100</v>
      </c>
    </row>
    <row r="690" spans="1:16" x14ac:dyDescent="0.25">
      <c r="A690" s="2">
        <v>44956</v>
      </c>
      <c r="B690" t="s">
        <v>21</v>
      </c>
      <c r="C690" t="s">
        <v>63</v>
      </c>
      <c r="D690" t="s">
        <v>65</v>
      </c>
      <c r="E690" t="s">
        <v>64</v>
      </c>
      <c r="F690" t="s">
        <v>27</v>
      </c>
      <c r="G690" t="s">
        <v>42</v>
      </c>
      <c r="H690">
        <v>10</v>
      </c>
      <c r="I690">
        <v>4939.99</v>
      </c>
      <c r="J690">
        <v>44459.91</v>
      </c>
      <c r="K690">
        <v>4939.9900000000007</v>
      </c>
      <c r="L690">
        <v>49399.9</v>
      </c>
      <c r="M690">
        <v>8891.982</v>
      </c>
      <c r="N690">
        <v>58291.881999999998</v>
      </c>
      <c r="O690" t="s">
        <v>87</v>
      </c>
      <c r="P690" t="s">
        <v>101</v>
      </c>
    </row>
    <row r="691" spans="1:16" x14ac:dyDescent="0.25">
      <c r="A691" s="2">
        <v>45128</v>
      </c>
      <c r="B691" t="s">
        <v>10</v>
      </c>
      <c r="C691" t="s">
        <v>17</v>
      </c>
      <c r="D691" t="s">
        <v>65</v>
      </c>
      <c r="E691" t="s">
        <v>64</v>
      </c>
      <c r="F691" t="s">
        <v>14</v>
      </c>
      <c r="G691" t="s">
        <v>53</v>
      </c>
      <c r="H691">
        <v>8</v>
      </c>
      <c r="I691">
        <v>2394.87</v>
      </c>
      <c r="J691">
        <v>17243.063999999998</v>
      </c>
      <c r="K691">
        <v>1915.896</v>
      </c>
      <c r="L691">
        <v>19158.96</v>
      </c>
      <c r="M691">
        <v>3448.6127999999999</v>
      </c>
      <c r="N691">
        <v>22607.572799999998</v>
      </c>
      <c r="O691" t="s">
        <v>87</v>
      </c>
      <c r="P691" t="s">
        <v>101</v>
      </c>
    </row>
    <row r="692" spans="1:16" x14ac:dyDescent="0.25">
      <c r="A692" s="2">
        <v>45257</v>
      </c>
      <c r="B692" t="s">
        <v>16</v>
      </c>
      <c r="C692" t="s">
        <v>63</v>
      </c>
      <c r="D692" t="s">
        <v>65</v>
      </c>
      <c r="E692" t="s">
        <v>64</v>
      </c>
      <c r="F692" t="s">
        <v>23</v>
      </c>
      <c r="G692" t="s">
        <v>47</v>
      </c>
      <c r="H692">
        <v>11</v>
      </c>
      <c r="I692">
        <v>3277.74</v>
      </c>
      <c r="J692">
        <v>32449.626</v>
      </c>
      <c r="K692">
        <v>3605.5140000000001</v>
      </c>
      <c r="L692">
        <v>36055.14</v>
      </c>
      <c r="M692">
        <v>6489.9251999999997</v>
      </c>
      <c r="N692">
        <v>42545.065199999997</v>
      </c>
      <c r="O692" t="s">
        <v>87</v>
      </c>
      <c r="P692" t="s">
        <v>101</v>
      </c>
    </row>
    <row r="693" spans="1:16" x14ac:dyDescent="0.25">
      <c r="A693" s="2">
        <v>45009</v>
      </c>
      <c r="B693" t="s">
        <v>29</v>
      </c>
      <c r="C693" t="s">
        <v>54</v>
      </c>
      <c r="D693" t="s">
        <v>12</v>
      </c>
      <c r="E693" t="s">
        <v>18</v>
      </c>
      <c r="F693" t="s">
        <v>14</v>
      </c>
      <c r="G693" t="s">
        <v>53</v>
      </c>
      <c r="H693">
        <v>5</v>
      </c>
      <c r="I693">
        <v>2411.33</v>
      </c>
      <c r="J693">
        <v>10850.985000000001</v>
      </c>
      <c r="K693">
        <v>1205.665</v>
      </c>
      <c r="L693">
        <v>12056.65</v>
      </c>
      <c r="M693">
        <v>2170.1969999999997</v>
      </c>
      <c r="N693">
        <v>14226.847</v>
      </c>
      <c r="O693" t="s">
        <v>87</v>
      </c>
      <c r="P693" t="s">
        <v>100</v>
      </c>
    </row>
    <row r="694" spans="1:16" x14ac:dyDescent="0.25">
      <c r="A694" s="2">
        <v>45016</v>
      </c>
      <c r="B694" t="s">
        <v>21</v>
      </c>
      <c r="C694" t="s">
        <v>35</v>
      </c>
      <c r="D694" t="s">
        <v>65</v>
      </c>
      <c r="E694" t="s">
        <v>64</v>
      </c>
      <c r="F694" t="s">
        <v>19</v>
      </c>
      <c r="G694" t="s">
        <v>48</v>
      </c>
      <c r="H694">
        <v>17</v>
      </c>
      <c r="I694">
        <v>3844.7</v>
      </c>
      <c r="J694">
        <v>58823.91</v>
      </c>
      <c r="K694">
        <v>6535.9900000000007</v>
      </c>
      <c r="L694">
        <v>65359.9</v>
      </c>
      <c r="M694">
        <v>11764.781999999999</v>
      </c>
      <c r="N694">
        <v>77124.682000000001</v>
      </c>
      <c r="O694" t="s">
        <v>87</v>
      </c>
      <c r="P694" t="s">
        <v>101</v>
      </c>
    </row>
    <row r="695" spans="1:16" x14ac:dyDescent="0.25">
      <c r="A695" s="2">
        <v>45136</v>
      </c>
      <c r="B695" t="s">
        <v>40</v>
      </c>
      <c r="C695" t="s">
        <v>17</v>
      </c>
      <c r="D695" t="s">
        <v>65</v>
      </c>
      <c r="E695" t="s">
        <v>64</v>
      </c>
      <c r="F695" t="s">
        <v>23</v>
      </c>
      <c r="G695" t="s">
        <v>39</v>
      </c>
      <c r="H695">
        <v>14</v>
      </c>
      <c r="I695">
        <v>816.99</v>
      </c>
      <c r="J695">
        <v>10294.074000000001</v>
      </c>
      <c r="K695">
        <v>1143.7860000000001</v>
      </c>
      <c r="L695">
        <v>11437.86</v>
      </c>
      <c r="M695">
        <v>2058.8148000000001</v>
      </c>
      <c r="N695">
        <v>13496.674800000001</v>
      </c>
      <c r="O695" t="s">
        <v>87</v>
      </c>
      <c r="P695" t="s">
        <v>101</v>
      </c>
    </row>
    <row r="696" spans="1:16" x14ac:dyDescent="0.25">
      <c r="A696" s="2">
        <v>45273</v>
      </c>
      <c r="B696" t="s">
        <v>34</v>
      </c>
      <c r="C696" t="s">
        <v>56</v>
      </c>
      <c r="D696" t="s">
        <v>12</v>
      </c>
      <c r="E696" t="s">
        <v>18</v>
      </c>
      <c r="F696" t="s">
        <v>32</v>
      </c>
      <c r="G696" t="s">
        <v>50</v>
      </c>
      <c r="H696">
        <v>3</v>
      </c>
      <c r="I696">
        <v>3102.92</v>
      </c>
      <c r="J696">
        <v>8377.884</v>
      </c>
      <c r="K696">
        <v>930.87600000000009</v>
      </c>
      <c r="L696">
        <v>9308.76</v>
      </c>
      <c r="M696">
        <v>1675.5768</v>
      </c>
      <c r="N696">
        <v>10984.336800000001</v>
      </c>
      <c r="O696" t="s">
        <v>87</v>
      </c>
      <c r="P696" t="s">
        <v>100</v>
      </c>
    </row>
    <row r="697" spans="1:16" x14ac:dyDescent="0.25">
      <c r="A697" s="2">
        <v>44970</v>
      </c>
      <c r="B697" t="s">
        <v>25</v>
      </c>
      <c r="C697" t="s">
        <v>35</v>
      </c>
      <c r="D697" t="s">
        <v>65</v>
      </c>
      <c r="E697" t="s">
        <v>64</v>
      </c>
      <c r="F697" t="s">
        <v>32</v>
      </c>
      <c r="G697" t="s">
        <v>36</v>
      </c>
      <c r="H697">
        <v>11</v>
      </c>
      <c r="I697">
        <v>490.34</v>
      </c>
      <c r="J697">
        <v>4854.366</v>
      </c>
      <c r="K697">
        <v>539.37400000000002</v>
      </c>
      <c r="L697">
        <v>5393.74</v>
      </c>
      <c r="M697">
        <v>970.87319999999988</v>
      </c>
      <c r="N697">
        <v>6364.6131999999998</v>
      </c>
      <c r="O697" t="s">
        <v>87</v>
      </c>
      <c r="P697" t="s">
        <v>101</v>
      </c>
    </row>
    <row r="698" spans="1:16" x14ac:dyDescent="0.25">
      <c r="A698" s="2">
        <v>45186</v>
      </c>
      <c r="B698" t="s">
        <v>31</v>
      </c>
      <c r="C698" t="s">
        <v>59</v>
      </c>
      <c r="D698" t="s">
        <v>66</v>
      </c>
      <c r="E698" t="s">
        <v>41</v>
      </c>
      <c r="F698" t="s">
        <v>23</v>
      </c>
      <c r="G698" t="s">
        <v>39</v>
      </c>
      <c r="H698">
        <v>6</v>
      </c>
      <c r="I698">
        <v>4079.26</v>
      </c>
      <c r="J698">
        <v>22028.004000000001</v>
      </c>
      <c r="K698">
        <v>2447.556</v>
      </c>
      <c r="L698">
        <v>24475.56</v>
      </c>
      <c r="M698">
        <v>4405.6008000000002</v>
      </c>
      <c r="N698">
        <v>28881.160800000001</v>
      </c>
      <c r="O698" t="s">
        <v>87</v>
      </c>
      <c r="P698" t="s">
        <v>66</v>
      </c>
    </row>
    <row r="699" spans="1:16" x14ac:dyDescent="0.25">
      <c r="A699" s="2">
        <v>44988</v>
      </c>
      <c r="B699" t="s">
        <v>10</v>
      </c>
      <c r="C699" t="s">
        <v>26</v>
      </c>
      <c r="D699" t="s">
        <v>12</v>
      </c>
      <c r="E699" t="s">
        <v>18</v>
      </c>
      <c r="F699" t="s">
        <v>14</v>
      </c>
      <c r="G699" t="s">
        <v>53</v>
      </c>
      <c r="H699">
        <v>12</v>
      </c>
      <c r="I699">
        <v>3229.61</v>
      </c>
      <c r="J699">
        <v>34879.788</v>
      </c>
      <c r="K699">
        <v>3875.5320000000002</v>
      </c>
      <c r="L699">
        <v>38755.32</v>
      </c>
      <c r="M699">
        <v>6975.9575999999997</v>
      </c>
      <c r="N699">
        <v>45731.277600000001</v>
      </c>
      <c r="O699" t="s">
        <v>87</v>
      </c>
      <c r="P699" t="s">
        <v>100</v>
      </c>
    </row>
    <row r="700" spans="1:16" x14ac:dyDescent="0.25">
      <c r="A700" s="2">
        <v>45208</v>
      </c>
      <c r="B700" t="s">
        <v>29</v>
      </c>
      <c r="C700" t="s">
        <v>55</v>
      </c>
      <c r="D700" t="s">
        <v>66</v>
      </c>
      <c r="E700" t="s">
        <v>41</v>
      </c>
      <c r="F700" t="s">
        <v>19</v>
      </c>
      <c r="G700" t="s">
        <v>48</v>
      </c>
      <c r="H700">
        <v>16</v>
      </c>
      <c r="I700">
        <v>1873.12</v>
      </c>
      <c r="J700">
        <v>26972.928</v>
      </c>
      <c r="K700">
        <v>2996.9920000000002</v>
      </c>
      <c r="L700">
        <v>29969.919999999998</v>
      </c>
      <c r="M700">
        <v>5394.5855999999994</v>
      </c>
      <c r="N700">
        <v>35364.505599999997</v>
      </c>
      <c r="O700" t="s">
        <v>87</v>
      </c>
      <c r="P700" t="s">
        <v>66</v>
      </c>
    </row>
    <row r="701" spans="1:16" x14ac:dyDescent="0.25">
      <c r="A701" s="2">
        <v>44996</v>
      </c>
      <c r="B701" t="s">
        <v>25</v>
      </c>
      <c r="C701" t="s">
        <v>26</v>
      </c>
      <c r="D701" t="s">
        <v>12</v>
      </c>
      <c r="E701" t="s">
        <v>18</v>
      </c>
      <c r="F701" t="s">
        <v>27</v>
      </c>
      <c r="G701" t="s">
        <v>44</v>
      </c>
      <c r="H701">
        <v>7</v>
      </c>
      <c r="I701">
        <v>1640.58</v>
      </c>
      <c r="J701">
        <v>10335.654</v>
      </c>
      <c r="K701">
        <v>1148.4059999999999</v>
      </c>
      <c r="L701">
        <v>11484.06</v>
      </c>
      <c r="M701">
        <v>2067.1307999999999</v>
      </c>
      <c r="N701">
        <v>13551.1908</v>
      </c>
      <c r="O701" t="s">
        <v>87</v>
      </c>
      <c r="P701" t="s">
        <v>100</v>
      </c>
    </row>
    <row r="702" spans="1:16" x14ac:dyDescent="0.25">
      <c r="A702" s="2">
        <v>45015</v>
      </c>
      <c r="B702" t="s">
        <v>10</v>
      </c>
      <c r="C702" t="s">
        <v>11</v>
      </c>
      <c r="D702" t="s">
        <v>22</v>
      </c>
      <c r="E702" t="s">
        <v>13</v>
      </c>
      <c r="F702" t="s">
        <v>32</v>
      </c>
      <c r="G702" t="s">
        <v>36</v>
      </c>
      <c r="H702">
        <v>13</v>
      </c>
      <c r="I702">
        <v>4843.21</v>
      </c>
      <c r="J702">
        <v>56665.557000000001</v>
      </c>
      <c r="K702">
        <v>6296.1730000000007</v>
      </c>
      <c r="L702">
        <v>62961.73</v>
      </c>
      <c r="M702">
        <v>11333.1114</v>
      </c>
      <c r="N702">
        <v>74294.841400000005</v>
      </c>
      <c r="O702" t="s">
        <v>87</v>
      </c>
      <c r="P702" t="s">
        <v>99</v>
      </c>
    </row>
    <row r="703" spans="1:16" x14ac:dyDescent="0.25">
      <c r="A703" s="2">
        <v>45229</v>
      </c>
      <c r="B703" t="s">
        <v>43</v>
      </c>
      <c r="C703" t="s">
        <v>58</v>
      </c>
      <c r="D703" t="s">
        <v>12</v>
      </c>
      <c r="E703" t="s">
        <v>18</v>
      </c>
      <c r="F703" t="s">
        <v>19</v>
      </c>
      <c r="G703" t="s">
        <v>20</v>
      </c>
      <c r="H703">
        <v>13</v>
      </c>
      <c r="I703">
        <v>1782.01</v>
      </c>
      <c r="J703">
        <v>20849.517</v>
      </c>
      <c r="K703">
        <v>2316.6130000000003</v>
      </c>
      <c r="L703">
        <v>23166.13</v>
      </c>
      <c r="M703">
        <v>4169.9034000000001</v>
      </c>
      <c r="N703">
        <v>27336.0334</v>
      </c>
      <c r="O703" t="s">
        <v>87</v>
      </c>
      <c r="P703" t="s">
        <v>100</v>
      </c>
    </row>
    <row r="704" spans="1:16" x14ac:dyDescent="0.25">
      <c r="A704" s="2">
        <v>45136</v>
      </c>
      <c r="B704" t="s">
        <v>43</v>
      </c>
      <c r="C704" t="s">
        <v>57</v>
      </c>
      <c r="D704" t="s">
        <v>22</v>
      </c>
      <c r="E704" t="s">
        <v>13</v>
      </c>
      <c r="F704" t="s">
        <v>27</v>
      </c>
      <c r="G704" t="s">
        <v>44</v>
      </c>
      <c r="H704">
        <v>19</v>
      </c>
      <c r="I704">
        <v>1120.5999999999999</v>
      </c>
      <c r="J704">
        <v>19162.260000000002</v>
      </c>
      <c r="K704">
        <v>2129.1400000000003</v>
      </c>
      <c r="L704">
        <v>21291.4</v>
      </c>
      <c r="M704">
        <v>3832.4520000000002</v>
      </c>
      <c r="N704">
        <v>25123.852000000003</v>
      </c>
      <c r="O704" t="s">
        <v>87</v>
      </c>
      <c r="P704" t="s">
        <v>99</v>
      </c>
    </row>
    <row r="705" spans="1:16" x14ac:dyDescent="0.25">
      <c r="A705" s="2">
        <v>44981</v>
      </c>
      <c r="B705" t="s">
        <v>34</v>
      </c>
      <c r="C705" t="s">
        <v>54</v>
      </c>
      <c r="D705" t="s">
        <v>12</v>
      </c>
      <c r="E705" t="s">
        <v>18</v>
      </c>
      <c r="F705" t="s">
        <v>14</v>
      </c>
      <c r="G705" t="s">
        <v>45</v>
      </c>
      <c r="H705">
        <v>2</v>
      </c>
      <c r="I705">
        <v>1927.02</v>
      </c>
      <c r="J705">
        <v>3468.636</v>
      </c>
      <c r="K705">
        <v>385.404</v>
      </c>
      <c r="L705">
        <v>3854.04</v>
      </c>
      <c r="M705">
        <v>693.72719999999993</v>
      </c>
      <c r="N705">
        <v>4547.7672000000002</v>
      </c>
      <c r="O705" t="s">
        <v>87</v>
      </c>
      <c r="P705" t="s">
        <v>100</v>
      </c>
    </row>
    <row r="706" spans="1:16" x14ac:dyDescent="0.25">
      <c r="A706" s="2">
        <v>44977</v>
      </c>
      <c r="B706" t="s">
        <v>25</v>
      </c>
      <c r="C706" t="s">
        <v>26</v>
      </c>
      <c r="D706" t="s">
        <v>12</v>
      </c>
      <c r="E706" t="s">
        <v>18</v>
      </c>
      <c r="F706" t="s">
        <v>14</v>
      </c>
      <c r="G706" t="s">
        <v>51</v>
      </c>
      <c r="H706">
        <v>15</v>
      </c>
      <c r="I706">
        <v>4642.6899999999996</v>
      </c>
      <c r="J706">
        <v>62676.31500000001</v>
      </c>
      <c r="K706">
        <v>6964.0350000000008</v>
      </c>
      <c r="L706">
        <v>69640.350000000006</v>
      </c>
      <c r="M706">
        <v>12535.263000000001</v>
      </c>
      <c r="N706">
        <v>82175.613000000012</v>
      </c>
      <c r="O706" t="s">
        <v>87</v>
      </c>
      <c r="P706" t="s">
        <v>100</v>
      </c>
    </row>
    <row r="707" spans="1:16" x14ac:dyDescent="0.25">
      <c r="A707" s="2">
        <v>45169</v>
      </c>
      <c r="B707" t="s">
        <v>25</v>
      </c>
      <c r="C707" t="s">
        <v>26</v>
      </c>
      <c r="D707" t="s">
        <v>12</v>
      </c>
      <c r="E707" t="s">
        <v>18</v>
      </c>
      <c r="F707" t="s">
        <v>19</v>
      </c>
      <c r="G707" t="s">
        <v>20</v>
      </c>
      <c r="H707">
        <v>19</v>
      </c>
      <c r="I707">
        <v>3316.87</v>
      </c>
      <c r="J707">
        <v>56718.476999999999</v>
      </c>
      <c r="K707">
        <v>6302.0529999999999</v>
      </c>
      <c r="L707">
        <v>63020.53</v>
      </c>
      <c r="M707">
        <v>11343.695399999999</v>
      </c>
      <c r="N707">
        <v>74364.225399999996</v>
      </c>
      <c r="O707" t="s">
        <v>87</v>
      </c>
      <c r="P707" t="s">
        <v>100</v>
      </c>
    </row>
    <row r="708" spans="1:16" x14ac:dyDescent="0.25">
      <c r="A708" s="2">
        <v>45142</v>
      </c>
      <c r="B708" t="s">
        <v>16</v>
      </c>
      <c r="C708" t="s">
        <v>60</v>
      </c>
      <c r="D708" t="s">
        <v>12</v>
      </c>
      <c r="E708" t="s">
        <v>18</v>
      </c>
      <c r="F708" t="s">
        <v>19</v>
      </c>
      <c r="G708" t="s">
        <v>52</v>
      </c>
      <c r="H708">
        <v>19</v>
      </c>
      <c r="I708">
        <v>1372.28</v>
      </c>
      <c r="J708">
        <v>23465.988000000001</v>
      </c>
      <c r="K708">
        <v>2607.3320000000003</v>
      </c>
      <c r="L708">
        <v>26073.32</v>
      </c>
      <c r="M708">
        <v>4693.1975999999995</v>
      </c>
      <c r="N708">
        <v>30766.517599999999</v>
      </c>
      <c r="O708" t="s">
        <v>87</v>
      </c>
      <c r="P708" t="s">
        <v>100</v>
      </c>
    </row>
    <row r="709" spans="1:16" x14ac:dyDescent="0.25">
      <c r="A709" s="2">
        <v>44932</v>
      </c>
      <c r="B709" t="s">
        <v>25</v>
      </c>
      <c r="C709" t="s">
        <v>54</v>
      </c>
      <c r="D709" t="s">
        <v>12</v>
      </c>
      <c r="E709" t="s">
        <v>18</v>
      </c>
      <c r="F709" t="s">
        <v>19</v>
      </c>
      <c r="G709" t="s">
        <v>52</v>
      </c>
      <c r="H709">
        <v>8</v>
      </c>
      <c r="I709">
        <v>4786.4799999999996</v>
      </c>
      <c r="J709">
        <v>34462.655999999995</v>
      </c>
      <c r="K709">
        <v>3829.1839999999997</v>
      </c>
      <c r="L709">
        <v>38291.839999999997</v>
      </c>
      <c r="M709">
        <v>6892.5311999999994</v>
      </c>
      <c r="N709">
        <v>45184.371199999994</v>
      </c>
      <c r="O709" t="s">
        <v>87</v>
      </c>
      <c r="P709" t="s">
        <v>100</v>
      </c>
    </row>
    <row r="710" spans="1:16" x14ac:dyDescent="0.25">
      <c r="A710" s="2">
        <v>44956</v>
      </c>
      <c r="B710" t="s">
        <v>21</v>
      </c>
      <c r="C710" t="s">
        <v>56</v>
      </c>
      <c r="D710" t="s">
        <v>12</v>
      </c>
      <c r="E710" t="s">
        <v>18</v>
      </c>
      <c r="F710" t="s">
        <v>14</v>
      </c>
      <c r="G710" t="s">
        <v>51</v>
      </c>
      <c r="H710">
        <v>18</v>
      </c>
      <c r="I710">
        <v>620.92999999999995</v>
      </c>
      <c r="J710">
        <v>10059.066000000001</v>
      </c>
      <c r="K710">
        <v>1117.674</v>
      </c>
      <c r="L710">
        <v>11176.74</v>
      </c>
      <c r="M710">
        <v>2011.8131999999998</v>
      </c>
      <c r="N710">
        <v>13188.5532</v>
      </c>
      <c r="O710" t="s">
        <v>87</v>
      </c>
      <c r="P710" t="s">
        <v>100</v>
      </c>
    </row>
    <row r="711" spans="1:16" x14ac:dyDescent="0.25">
      <c r="A711" s="2">
        <v>45214</v>
      </c>
      <c r="B711" t="s">
        <v>43</v>
      </c>
      <c r="C711" t="s">
        <v>56</v>
      </c>
      <c r="D711" t="s">
        <v>12</v>
      </c>
      <c r="E711" t="s">
        <v>18</v>
      </c>
      <c r="F711" t="s">
        <v>32</v>
      </c>
      <c r="G711" t="s">
        <v>50</v>
      </c>
      <c r="H711">
        <v>4</v>
      </c>
      <c r="I711">
        <v>1241.21</v>
      </c>
      <c r="J711">
        <v>4468.3560000000007</v>
      </c>
      <c r="K711">
        <v>496.48400000000004</v>
      </c>
      <c r="L711">
        <v>4964.84</v>
      </c>
      <c r="M711">
        <v>893.6712</v>
      </c>
      <c r="N711">
        <v>5858.5111999999999</v>
      </c>
      <c r="O711" t="s">
        <v>87</v>
      </c>
      <c r="P711" t="s">
        <v>100</v>
      </c>
    </row>
    <row r="712" spans="1:16" x14ac:dyDescent="0.25">
      <c r="A712" s="2">
        <v>45120</v>
      </c>
      <c r="B712" t="s">
        <v>10</v>
      </c>
      <c r="C712" t="s">
        <v>59</v>
      </c>
      <c r="D712" t="s">
        <v>66</v>
      </c>
      <c r="E712" t="s">
        <v>41</v>
      </c>
      <c r="F712" t="s">
        <v>32</v>
      </c>
      <c r="G712" t="s">
        <v>50</v>
      </c>
      <c r="H712">
        <v>10</v>
      </c>
      <c r="I712">
        <v>1823.34</v>
      </c>
      <c r="J712">
        <v>16410.060000000001</v>
      </c>
      <c r="K712">
        <v>1823.3400000000001</v>
      </c>
      <c r="L712">
        <v>18233.400000000001</v>
      </c>
      <c r="M712">
        <v>3282.0120000000002</v>
      </c>
      <c r="N712">
        <v>21515.412</v>
      </c>
      <c r="O712" t="s">
        <v>87</v>
      </c>
      <c r="P712" t="s">
        <v>66</v>
      </c>
    </row>
    <row r="713" spans="1:16" x14ac:dyDescent="0.25">
      <c r="A713" s="2">
        <v>45146</v>
      </c>
      <c r="B713" t="s">
        <v>40</v>
      </c>
      <c r="C713" t="s">
        <v>59</v>
      </c>
      <c r="D713" t="s">
        <v>66</v>
      </c>
      <c r="E713" t="s">
        <v>41</v>
      </c>
      <c r="F713" t="s">
        <v>23</v>
      </c>
      <c r="G713" t="s">
        <v>37</v>
      </c>
      <c r="H713">
        <v>10</v>
      </c>
      <c r="I713">
        <v>4304.71</v>
      </c>
      <c r="J713">
        <v>38742.39</v>
      </c>
      <c r="K713">
        <v>4304.71</v>
      </c>
      <c r="L713">
        <v>43047.1</v>
      </c>
      <c r="M713">
        <v>7748.4779999999992</v>
      </c>
      <c r="N713">
        <v>50795.577999999994</v>
      </c>
      <c r="O713" t="s">
        <v>87</v>
      </c>
      <c r="P713" t="s">
        <v>66</v>
      </c>
    </row>
    <row r="714" spans="1:16" x14ac:dyDescent="0.25">
      <c r="A714" s="2">
        <v>45193</v>
      </c>
      <c r="B714" t="s">
        <v>43</v>
      </c>
      <c r="C714" t="s">
        <v>17</v>
      </c>
      <c r="D714" t="s">
        <v>65</v>
      </c>
      <c r="E714" t="s">
        <v>64</v>
      </c>
      <c r="F714" t="s">
        <v>27</v>
      </c>
      <c r="G714" t="s">
        <v>44</v>
      </c>
      <c r="H714">
        <v>11</v>
      </c>
      <c r="I714">
        <v>4446.37</v>
      </c>
      <c r="J714">
        <v>44019.063000000002</v>
      </c>
      <c r="K714">
        <v>4891.0070000000005</v>
      </c>
      <c r="L714">
        <v>48910.07</v>
      </c>
      <c r="M714">
        <v>8803.8125999999993</v>
      </c>
      <c r="N714">
        <v>57713.882599999997</v>
      </c>
      <c r="O714" t="s">
        <v>87</v>
      </c>
      <c r="P714" t="s">
        <v>101</v>
      </c>
    </row>
    <row r="715" spans="1:16" x14ac:dyDescent="0.25">
      <c r="A715" s="2">
        <v>45227</v>
      </c>
      <c r="B715" t="s">
        <v>21</v>
      </c>
      <c r="C715" t="s">
        <v>26</v>
      </c>
      <c r="D715" t="s">
        <v>12</v>
      </c>
      <c r="E715" t="s">
        <v>18</v>
      </c>
      <c r="F715" t="s">
        <v>27</v>
      </c>
      <c r="G715" t="s">
        <v>28</v>
      </c>
      <c r="H715">
        <v>8</v>
      </c>
      <c r="I715">
        <v>465.32</v>
      </c>
      <c r="J715">
        <v>3350.3040000000001</v>
      </c>
      <c r="K715">
        <v>372.25600000000003</v>
      </c>
      <c r="L715">
        <v>3722.56</v>
      </c>
      <c r="M715">
        <v>670.06079999999997</v>
      </c>
      <c r="N715">
        <v>4392.6207999999997</v>
      </c>
      <c r="O715" t="s">
        <v>87</v>
      </c>
      <c r="P715" t="s">
        <v>100</v>
      </c>
    </row>
    <row r="716" spans="1:16" x14ac:dyDescent="0.25">
      <c r="A716" s="2">
        <v>45221</v>
      </c>
      <c r="B716" t="s">
        <v>31</v>
      </c>
      <c r="C716" t="s">
        <v>55</v>
      </c>
      <c r="D716" t="s">
        <v>66</v>
      </c>
      <c r="E716" t="s">
        <v>41</v>
      </c>
      <c r="F716" t="s">
        <v>19</v>
      </c>
      <c r="G716" t="s">
        <v>48</v>
      </c>
      <c r="H716">
        <v>1</v>
      </c>
      <c r="I716">
        <v>3431.7</v>
      </c>
      <c r="J716">
        <v>3088.5299999999997</v>
      </c>
      <c r="K716">
        <v>343.17</v>
      </c>
      <c r="L716">
        <v>3431.7</v>
      </c>
      <c r="M716">
        <v>617.7059999999999</v>
      </c>
      <c r="N716">
        <v>4049.4059999999999</v>
      </c>
      <c r="O716" t="s">
        <v>87</v>
      </c>
      <c r="P716" t="s">
        <v>66</v>
      </c>
    </row>
    <row r="717" spans="1:16" x14ac:dyDescent="0.25">
      <c r="A717" s="2">
        <v>45198</v>
      </c>
      <c r="B717" t="s">
        <v>25</v>
      </c>
      <c r="C717" t="s">
        <v>26</v>
      </c>
      <c r="D717" t="s">
        <v>12</v>
      </c>
      <c r="E717" t="s">
        <v>18</v>
      </c>
      <c r="F717" t="s">
        <v>14</v>
      </c>
      <c r="G717" t="s">
        <v>51</v>
      </c>
      <c r="H717">
        <v>20</v>
      </c>
      <c r="I717">
        <v>1365.33</v>
      </c>
      <c r="J717">
        <v>24575.94</v>
      </c>
      <c r="K717">
        <v>2730.66</v>
      </c>
      <c r="L717">
        <v>27306.6</v>
      </c>
      <c r="M717">
        <v>4915.1879999999992</v>
      </c>
      <c r="N717">
        <v>32221.787999999997</v>
      </c>
      <c r="O717" t="s">
        <v>87</v>
      </c>
      <c r="P717" t="s">
        <v>100</v>
      </c>
    </row>
    <row r="718" spans="1:16" x14ac:dyDescent="0.25">
      <c r="A718" s="2">
        <v>45276</v>
      </c>
      <c r="B718" t="s">
        <v>21</v>
      </c>
      <c r="C718" t="s">
        <v>17</v>
      </c>
      <c r="D718" t="s">
        <v>65</v>
      </c>
      <c r="E718" t="s">
        <v>64</v>
      </c>
      <c r="F718" t="s">
        <v>32</v>
      </c>
      <c r="G718" t="s">
        <v>33</v>
      </c>
      <c r="H718">
        <v>14</v>
      </c>
      <c r="I718">
        <v>2343.4</v>
      </c>
      <c r="J718">
        <v>29526.84</v>
      </c>
      <c r="K718">
        <v>3280.76</v>
      </c>
      <c r="L718">
        <v>32807.599999999999</v>
      </c>
      <c r="M718">
        <v>5905.3679999999995</v>
      </c>
      <c r="N718">
        <v>38712.968000000001</v>
      </c>
      <c r="O718" t="s">
        <v>87</v>
      </c>
      <c r="P718" t="s">
        <v>101</v>
      </c>
    </row>
    <row r="719" spans="1:16" x14ac:dyDescent="0.25">
      <c r="A719" s="2">
        <v>44932</v>
      </c>
      <c r="B719" t="s">
        <v>38</v>
      </c>
      <c r="C719" t="s">
        <v>35</v>
      </c>
      <c r="D719" t="s">
        <v>65</v>
      </c>
      <c r="E719" t="s">
        <v>64</v>
      </c>
      <c r="F719" t="s">
        <v>32</v>
      </c>
      <c r="G719" t="s">
        <v>36</v>
      </c>
      <c r="H719">
        <v>15</v>
      </c>
      <c r="I719">
        <v>447.71</v>
      </c>
      <c r="J719">
        <v>6044.085</v>
      </c>
      <c r="K719">
        <v>671.56500000000005</v>
      </c>
      <c r="L719">
        <v>6715.65</v>
      </c>
      <c r="M719">
        <v>1208.8169999999998</v>
      </c>
      <c r="N719">
        <v>7924.4669999999996</v>
      </c>
      <c r="O719" t="s">
        <v>87</v>
      </c>
      <c r="P719" t="s">
        <v>101</v>
      </c>
    </row>
    <row r="720" spans="1:16" x14ac:dyDescent="0.25">
      <c r="A720" s="2">
        <v>44931</v>
      </c>
      <c r="B720" t="s">
        <v>38</v>
      </c>
      <c r="C720" t="s">
        <v>63</v>
      </c>
      <c r="D720" t="s">
        <v>65</v>
      </c>
      <c r="E720" t="s">
        <v>64</v>
      </c>
      <c r="F720" t="s">
        <v>27</v>
      </c>
      <c r="G720" t="s">
        <v>46</v>
      </c>
      <c r="H720">
        <v>3</v>
      </c>
      <c r="I720">
        <v>2393.7199999999998</v>
      </c>
      <c r="J720">
        <v>6463.0439999999999</v>
      </c>
      <c r="K720">
        <v>718.11599999999999</v>
      </c>
      <c r="L720">
        <v>7181.16</v>
      </c>
      <c r="M720">
        <v>1292.6088</v>
      </c>
      <c r="N720">
        <v>8473.7687999999998</v>
      </c>
      <c r="O720" t="s">
        <v>87</v>
      </c>
      <c r="P720" t="s">
        <v>101</v>
      </c>
    </row>
    <row r="721" spans="1:16" x14ac:dyDescent="0.25">
      <c r="A721" s="2">
        <v>45257</v>
      </c>
      <c r="B721" t="s">
        <v>43</v>
      </c>
      <c r="C721" t="s">
        <v>58</v>
      </c>
      <c r="D721" t="s">
        <v>12</v>
      </c>
      <c r="E721" t="s">
        <v>18</v>
      </c>
      <c r="F721" t="s">
        <v>23</v>
      </c>
      <c r="G721" t="s">
        <v>37</v>
      </c>
      <c r="H721">
        <v>20</v>
      </c>
      <c r="I721">
        <v>138.6</v>
      </c>
      <c r="J721">
        <v>2494.8000000000002</v>
      </c>
      <c r="K721">
        <v>277.2</v>
      </c>
      <c r="L721">
        <v>2772</v>
      </c>
      <c r="M721">
        <v>498.96</v>
      </c>
      <c r="N721">
        <v>3270.96</v>
      </c>
      <c r="O721" t="s">
        <v>87</v>
      </c>
      <c r="P721" t="s">
        <v>100</v>
      </c>
    </row>
    <row r="722" spans="1:16" x14ac:dyDescent="0.25">
      <c r="A722" s="2">
        <v>45291</v>
      </c>
      <c r="B722" t="s">
        <v>34</v>
      </c>
      <c r="C722" t="s">
        <v>26</v>
      </c>
      <c r="D722" t="s">
        <v>12</v>
      </c>
      <c r="E722" t="s">
        <v>18</v>
      </c>
      <c r="F722" t="s">
        <v>27</v>
      </c>
      <c r="G722" t="s">
        <v>28</v>
      </c>
      <c r="H722">
        <v>6</v>
      </c>
      <c r="I722">
        <v>3119.62</v>
      </c>
      <c r="J722">
        <v>16845.948</v>
      </c>
      <c r="K722">
        <v>1871.7720000000002</v>
      </c>
      <c r="L722">
        <v>18717.72</v>
      </c>
      <c r="M722">
        <v>3369.1896000000002</v>
      </c>
      <c r="N722">
        <v>22086.909600000003</v>
      </c>
      <c r="O722" t="s">
        <v>87</v>
      </c>
      <c r="P722" t="s">
        <v>100</v>
      </c>
    </row>
    <row r="723" spans="1:16" x14ac:dyDescent="0.25">
      <c r="A723" s="2">
        <v>45189</v>
      </c>
      <c r="B723" t="s">
        <v>29</v>
      </c>
      <c r="C723" t="s">
        <v>56</v>
      </c>
      <c r="D723" t="s">
        <v>12</v>
      </c>
      <c r="E723" t="s">
        <v>18</v>
      </c>
      <c r="F723" t="s">
        <v>32</v>
      </c>
      <c r="G723" t="s">
        <v>50</v>
      </c>
      <c r="H723">
        <v>1</v>
      </c>
      <c r="I723">
        <v>4175.7</v>
      </c>
      <c r="J723">
        <v>3758.13</v>
      </c>
      <c r="K723">
        <v>417.57</v>
      </c>
      <c r="L723">
        <v>4175.7</v>
      </c>
      <c r="M723">
        <v>751.62599999999998</v>
      </c>
      <c r="N723">
        <v>4927.326</v>
      </c>
      <c r="O723" t="s">
        <v>87</v>
      </c>
      <c r="P723" t="s">
        <v>100</v>
      </c>
    </row>
    <row r="724" spans="1:16" x14ac:dyDescent="0.25">
      <c r="A724" s="2">
        <v>45283</v>
      </c>
      <c r="B724" t="s">
        <v>40</v>
      </c>
      <c r="C724" t="s">
        <v>61</v>
      </c>
      <c r="D724" t="s">
        <v>65</v>
      </c>
      <c r="E724" t="s">
        <v>64</v>
      </c>
      <c r="F724" t="s">
        <v>19</v>
      </c>
      <c r="G724" t="s">
        <v>48</v>
      </c>
      <c r="H724">
        <v>17</v>
      </c>
      <c r="I724">
        <v>2655.23</v>
      </c>
      <c r="J724">
        <v>40625.019000000008</v>
      </c>
      <c r="K724">
        <v>4513.8910000000005</v>
      </c>
      <c r="L724">
        <v>45138.91</v>
      </c>
      <c r="M724">
        <v>8125.0038000000004</v>
      </c>
      <c r="N724">
        <v>53263.913800000002</v>
      </c>
      <c r="O724" t="s">
        <v>87</v>
      </c>
      <c r="P724" t="s">
        <v>101</v>
      </c>
    </row>
    <row r="725" spans="1:16" x14ac:dyDescent="0.25">
      <c r="A725" s="2">
        <v>45201</v>
      </c>
      <c r="B725" t="s">
        <v>38</v>
      </c>
      <c r="C725" t="s">
        <v>26</v>
      </c>
      <c r="D725" t="s">
        <v>12</v>
      </c>
      <c r="E725" t="s">
        <v>18</v>
      </c>
      <c r="F725" t="s">
        <v>27</v>
      </c>
      <c r="G725" t="s">
        <v>46</v>
      </c>
      <c r="H725">
        <v>14</v>
      </c>
      <c r="I725">
        <v>4235.22</v>
      </c>
      <c r="J725">
        <v>53363.772000000004</v>
      </c>
      <c r="K725">
        <v>5929.3080000000009</v>
      </c>
      <c r="L725">
        <v>59293.08</v>
      </c>
      <c r="M725">
        <v>10672.7544</v>
      </c>
      <c r="N725">
        <v>69965.834400000007</v>
      </c>
      <c r="O725" t="s">
        <v>87</v>
      </c>
      <c r="P725" t="s">
        <v>100</v>
      </c>
    </row>
    <row r="726" spans="1:16" x14ac:dyDescent="0.25">
      <c r="A726" s="2">
        <v>45071</v>
      </c>
      <c r="B726" t="s">
        <v>10</v>
      </c>
      <c r="C726" t="s">
        <v>58</v>
      </c>
      <c r="D726" t="s">
        <v>12</v>
      </c>
      <c r="E726" t="s">
        <v>18</v>
      </c>
      <c r="F726" t="s">
        <v>19</v>
      </c>
      <c r="G726" t="s">
        <v>48</v>
      </c>
      <c r="H726">
        <v>20</v>
      </c>
      <c r="I726">
        <v>3393.01</v>
      </c>
      <c r="J726">
        <v>61074.18</v>
      </c>
      <c r="K726">
        <v>6786.02</v>
      </c>
      <c r="L726">
        <v>67860.2</v>
      </c>
      <c r="M726">
        <v>12214.835999999999</v>
      </c>
      <c r="N726">
        <v>80075.035999999993</v>
      </c>
      <c r="O726" t="s">
        <v>87</v>
      </c>
      <c r="P726" t="s">
        <v>100</v>
      </c>
    </row>
    <row r="727" spans="1:16" x14ac:dyDescent="0.25">
      <c r="A727" s="2">
        <v>45018</v>
      </c>
      <c r="B727" t="s">
        <v>38</v>
      </c>
      <c r="C727" t="s">
        <v>57</v>
      </c>
      <c r="D727" t="s">
        <v>22</v>
      </c>
      <c r="E727" t="s">
        <v>13</v>
      </c>
      <c r="F727" t="s">
        <v>32</v>
      </c>
      <c r="G727" t="s">
        <v>33</v>
      </c>
      <c r="H727">
        <v>14</v>
      </c>
      <c r="I727">
        <v>1247.48</v>
      </c>
      <c r="J727">
        <v>15718.248000000001</v>
      </c>
      <c r="K727">
        <v>1746.4720000000002</v>
      </c>
      <c r="L727">
        <v>17464.72</v>
      </c>
      <c r="M727">
        <v>3143.6496000000002</v>
      </c>
      <c r="N727">
        <v>20608.369600000002</v>
      </c>
      <c r="O727" t="s">
        <v>87</v>
      </c>
      <c r="P727" t="s">
        <v>99</v>
      </c>
    </row>
    <row r="728" spans="1:16" x14ac:dyDescent="0.25">
      <c r="A728" s="2">
        <v>45143</v>
      </c>
      <c r="B728" t="s">
        <v>40</v>
      </c>
      <c r="C728" t="s">
        <v>35</v>
      </c>
      <c r="D728" t="s">
        <v>65</v>
      </c>
      <c r="E728" t="s">
        <v>64</v>
      </c>
      <c r="F728" t="s">
        <v>23</v>
      </c>
      <c r="G728" t="s">
        <v>24</v>
      </c>
      <c r="H728">
        <v>20</v>
      </c>
      <c r="I728">
        <v>4428.59</v>
      </c>
      <c r="J728">
        <v>79714.62000000001</v>
      </c>
      <c r="K728">
        <v>8857.18</v>
      </c>
      <c r="L728">
        <v>88571.8</v>
      </c>
      <c r="M728">
        <v>15942.923999999999</v>
      </c>
      <c r="N728">
        <v>104514.724</v>
      </c>
      <c r="O728" t="s">
        <v>87</v>
      </c>
      <c r="P728" t="s">
        <v>101</v>
      </c>
    </row>
    <row r="729" spans="1:16" x14ac:dyDescent="0.25">
      <c r="A729" s="2">
        <v>45265</v>
      </c>
      <c r="B729" t="s">
        <v>29</v>
      </c>
      <c r="C729" t="s">
        <v>56</v>
      </c>
      <c r="D729" t="s">
        <v>12</v>
      </c>
      <c r="E729" t="s">
        <v>18</v>
      </c>
      <c r="F729" t="s">
        <v>19</v>
      </c>
      <c r="G729" t="s">
        <v>20</v>
      </c>
      <c r="H729">
        <v>9</v>
      </c>
      <c r="I729">
        <v>2251.19</v>
      </c>
      <c r="J729">
        <v>18234.638999999999</v>
      </c>
      <c r="K729">
        <v>2026.0709999999999</v>
      </c>
      <c r="L729">
        <v>20260.71</v>
      </c>
      <c r="M729">
        <v>3646.9277999999999</v>
      </c>
      <c r="N729">
        <v>23907.6378</v>
      </c>
      <c r="O729" t="s">
        <v>87</v>
      </c>
      <c r="P729" t="s">
        <v>100</v>
      </c>
    </row>
    <row r="730" spans="1:16" x14ac:dyDescent="0.25">
      <c r="A730" s="2">
        <v>45001</v>
      </c>
      <c r="B730" t="s">
        <v>21</v>
      </c>
      <c r="C730" t="s">
        <v>17</v>
      </c>
      <c r="D730" t="s">
        <v>65</v>
      </c>
      <c r="E730" t="s">
        <v>64</v>
      </c>
      <c r="F730" t="s">
        <v>32</v>
      </c>
      <c r="G730" t="s">
        <v>49</v>
      </c>
      <c r="H730">
        <v>19</v>
      </c>
      <c r="I730">
        <v>2240.89</v>
      </c>
      <c r="J730">
        <v>38319.219000000005</v>
      </c>
      <c r="K730">
        <v>4257.6910000000007</v>
      </c>
      <c r="L730">
        <v>42576.91</v>
      </c>
      <c r="M730">
        <v>7663.8438000000006</v>
      </c>
      <c r="N730">
        <v>50240.753800000006</v>
      </c>
      <c r="O730" t="s">
        <v>87</v>
      </c>
      <c r="P730" t="s">
        <v>101</v>
      </c>
    </row>
    <row r="731" spans="1:16" x14ac:dyDescent="0.25">
      <c r="A731" s="2">
        <v>45206</v>
      </c>
      <c r="B731" t="s">
        <v>31</v>
      </c>
      <c r="C731" t="s">
        <v>58</v>
      </c>
      <c r="D731" t="s">
        <v>12</v>
      </c>
      <c r="E731" t="s">
        <v>18</v>
      </c>
      <c r="F731" t="s">
        <v>14</v>
      </c>
      <c r="G731" t="s">
        <v>51</v>
      </c>
      <c r="H731">
        <v>19</v>
      </c>
      <c r="I731">
        <v>4089.21</v>
      </c>
      <c r="J731">
        <v>69925.491000000009</v>
      </c>
      <c r="K731">
        <v>7769.4990000000007</v>
      </c>
      <c r="L731">
        <v>77694.990000000005</v>
      </c>
      <c r="M731">
        <v>13985.0982</v>
      </c>
      <c r="N731">
        <v>91680.088199999998</v>
      </c>
      <c r="O731" t="s">
        <v>87</v>
      </c>
      <c r="P731" t="s">
        <v>100</v>
      </c>
    </row>
    <row r="732" spans="1:16" x14ac:dyDescent="0.25">
      <c r="A732" s="2">
        <v>45255</v>
      </c>
      <c r="B732" t="s">
        <v>38</v>
      </c>
      <c r="C732" t="s">
        <v>17</v>
      </c>
      <c r="D732" t="s">
        <v>65</v>
      </c>
      <c r="E732" t="s">
        <v>64</v>
      </c>
      <c r="F732" t="s">
        <v>27</v>
      </c>
      <c r="G732" t="s">
        <v>42</v>
      </c>
      <c r="H732">
        <v>6</v>
      </c>
      <c r="I732">
        <v>4286.28</v>
      </c>
      <c r="J732">
        <v>23145.912</v>
      </c>
      <c r="K732">
        <v>2571.768</v>
      </c>
      <c r="L732">
        <v>25717.68</v>
      </c>
      <c r="M732">
        <v>4629.1823999999997</v>
      </c>
      <c r="N732">
        <v>30346.862399999998</v>
      </c>
      <c r="O732" t="s">
        <v>87</v>
      </c>
      <c r="P732" t="s">
        <v>101</v>
      </c>
    </row>
    <row r="733" spans="1:16" x14ac:dyDescent="0.25">
      <c r="A733" s="2">
        <v>45076</v>
      </c>
      <c r="B733" t="s">
        <v>25</v>
      </c>
      <c r="C733" t="s">
        <v>55</v>
      </c>
      <c r="D733" t="s">
        <v>66</v>
      </c>
      <c r="E733" t="s">
        <v>41</v>
      </c>
      <c r="F733" t="s">
        <v>32</v>
      </c>
      <c r="G733" t="s">
        <v>36</v>
      </c>
      <c r="H733">
        <v>20</v>
      </c>
      <c r="I733">
        <v>1316.67</v>
      </c>
      <c r="J733">
        <v>23700.06</v>
      </c>
      <c r="K733">
        <v>2633.34</v>
      </c>
      <c r="L733">
        <v>26333.4</v>
      </c>
      <c r="M733">
        <v>4740.0119999999997</v>
      </c>
      <c r="N733">
        <v>31073.412</v>
      </c>
      <c r="O733" t="s">
        <v>87</v>
      </c>
      <c r="P733" t="s">
        <v>66</v>
      </c>
    </row>
    <row r="734" spans="1:16" x14ac:dyDescent="0.25">
      <c r="A734" s="2">
        <v>44941</v>
      </c>
      <c r="B734" t="s">
        <v>38</v>
      </c>
      <c r="C734" t="s">
        <v>60</v>
      </c>
      <c r="D734" t="s">
        <v>12</v>
      </c>
      <c r="E734" t="s">
        <v>18</v>
      </c>
      <c r="F734" t="s">
        <v>23</v>
      </c>
      <c r="G734" t="s">
        <v>47</v>
      </c>
      <c r="H734">
        <v>17</v>
      </c>
      <c r="I734">
        <v>3145.73</v>
      </c>
      <c r="J734">
        <v>48129.669000000002</v>
      </c>
      <c r="K734">
        <v>5347.7410000000009</v>
      </c>
      <c r="L734">
        <v>53477.41</v>
      </c>
      <c r="M734">
        <v>9625.9338000000007</v>
      </c>
      <c r="N734">
        <v>63103.343800000002</v>
      </c>
      <c r="O734" t="s">
        <v>87</v>
      </c>
      <c r="P734" t="s">
        <v>100</v>
      </c>
    </row>
    <row r="735" spans="1:16" x14ac:dyDescent="0.25">
      <c r="A735" s="2">
        <v>45187</v>
      </c>
      <c r="B735" t="s">
        <v>38</v>
      </c>
      <c r="C735" t="s">
        <v>59</v>
      </c>
      <c r="D735" t="s">
        <v>66</v>
      </c>
      <c r="E735" t="s">
        <v>41</v>
      </c>
      <c r="F735" t="s">
        <v>23</v>
      </c>
      <c r="G735" t="s">
        <v>37</v>
      </c>
      <c r="H735">
        <v>10</v>
      </c>
      <c r="I735">
        <v>2523.59</v>
      </c>
      <c r="J735">
        <v>22712.31</v>
      </c>
      <c r="K735">
        <v>2523.59</v>
      </c>
      <c r="L735">
        <v>25235.9</v>
      </c>
      <c r="M735">
        <v>4542.4620000000004</v>
      </c>
      <c r="N735">
        <v>29778.362000000001</v>
      </c>
      <c r="O735" t="s">
        <v>87</v>
      </c>
      <c r="P735" t="s">
        <v>66</v>
      </c>
    </row>
    <row r="736" spans="1:16" x14ac:dyDescent="0.25">
      <c r="A736" s="2">
        <v>45195</v>
      </c>
      <c r="B736" t="s">
        <v>21</v>
      </c>
      <c r="C736" t="s">
        <v>61</v>
      </c>
      <c r="D736" t="s">
        <v>65</v>
      </c>
      <c r="E736" t="s">
        <v>64</v>
      </c>
      <c r="F736" t="s">
        <v>19</v>
      </c>
      <c r="G736" t="s">
        <v>20</v>
      </c>
      <c r="H736">
        <v>2</v>
      </c>
      <c r="I736">
        <v>2851.64</v>
      </c>
      <c r="J736">
        <v>5132.9520000000002</v>
      </c>
      <c r="K736">
        <v>570.32799999999997</v>
      </c>
      <c r="L736">
        <v>5703.28</v>
      </c>
      <c r="M736">
        <v>1026.5903999999998</v>
      </c>
      <c r="N736">
        <v>6729.8703999999998</v>
      </c>
      <c r="O736" t="s">
        <v>87</v>
      </c>
      <c r="P736" t="s">
        <v>101</v>
      </c>
    </row>
    <row r="737" spans="1:16" x14ac:dyDescent="0.25">
      <c r="A737" s="2">
        <v>45196</v>
      </c>
      <c r="B737" t="s">
        <v>38</v>
      </c>
      <c r="C737" t="s">
        <v>59</v>
      </c>
      <c r="D737" t="s">
        <v>66</v>
      </c>
      <c r="E737" t="s">
        <v>41</v>
      </c>
      <c r="F737" t="s">
        <v>19</v>
      </c>
      <c r="G737" t="s">
        <v>20</v>
      </c>
      <c r="H737">
        <v>20</v>
      </c>
      <c r="I737">
        <v>3193.18</v>
      </c>
      <c r="J737">
        <v>57477.24</v>
      </c>
      <c r="K737">
        <v>6386.3600000000006</v>
      </c>
      <c r="L737">
        <v>63863.6</v>
      </c>
      <c r="M737">
        <v>11495.447999999999</v>
      </c>
      <c r="N737">
        <v>75359.047999999995</v>
      </c>
      <c r="O737" t="s">
        <v>87</v>
      </c>
      <c r="P737" t="s">
        <v>66</v>
      </c>
    </row>
    <row r="738" spans="1:16" x14ac:dyDescent="0.25">
      <c r="A738" s="2">
        <v>45007</v>
      </c>
      <c r="B738" t="s">
        <v>21</v>
      </c>
      <c r="C738" t="s">
        <v>26</v>
      </c>
      <c r="D738" t="s">
        <v>12</v>
      </c>
      <c r="E738" t="s">
        <v>18</v>
      </c>
      <c r="F738" t="s">
        <v>23</v>
      </c>
      <c r="G738" t="s">
        <v>37</v>
      </c>
      <c r="H738">
        <v>8</v>
      </c>
      <c r="I738">
        <v>4663.82</v>
      </c>
      <c r="J738">
        <v>33579.504000000001</v>
      </c>
      <c r="K738">
        <v>3731.056</v>
      </c>
      <c r="L738">
        <v>37310.559999999998</v>
      </c>
      <c r="M738">
        <v>6715.9007999999994</v>
      </c>
      <c r="N738">
        <v>44026.460800000001</v>
      </c>
      <c r="O738" t="s">
        <v>87</v>
      </c>
      <c r="P738" t="s">
        <v>100</v>
      </c>
    </row>
    <row r="739" spans="1:16" x14ac:dyDescent="0.25">
      <c r="A739" s="2">
        <v>45261</v>
      </c>
      <c r="B739" t="s">
        <v>31</v>
      </c>
      <c r="C739" t="s">
        <v>26</v>
      </c>
      <c r="D739" t="s">
        <v>12</v>
      </c>
      <c r="E739" t="s">
        <v>18</v>
      </c>
      <c r="F739" t="s">
        <v>19</v>
      </c>
      <c r="G739" t="s">
        <v>52</v>
      </c>
      <c r="H739">
        <v>13</v>
      </c>
      <c r="I739">
        <v>4263.79</v>
      </c>
      <c r="J739">
        <v>49886.343000000001</v>
      </c>
      <c r="K739">
        <v>5542.9269999999997</v>
      </c>
      <c r="L739">
        <v>55429.27</v>
      </c>
      <c r="M739">
        <v>9977.2685999999994</v>
      </c>
      <c r="N739">
        <v>65406.5386</v>
      </c>
      <c r="O739" t="s">
        <v>87</v>
      </c>
      <c r="P739" t="s">
        <v>100</v>
      </c>
    </row>
    <row r="740" spans="1:16" x14ac:dyDescent="0.25">
      <c r="A740" s="2">
        <v>45093</v>
      </c>
      <c r="B740" t="s">
        <v>43</v>
      </c>
      <c r="C740" t="s">
        <v>55</v>
      </c>
      <c r="D740" t="s">
        <v>66</v>
      </c>
      <c r="E740" t="s">
        <v>41</v>
      </c>
      <c r="F740" t="s">
        <v>14</v>
      </c>
      <c r="G740" t="s">
        <v>53</v>
      </c>
      <c r="H740">
        <v>11</v>
      </c>
      <c r="I740">
        <v>819.85</v>
      </c>
      <c r="J740">
        <v>8116.5150000000003</v>
      </c>
      <c r="K740">
        <v>901.83500000000004</v>
      </c>
      <c r="L740">
        <v>9018.35</v>
      </c>
      <c r="M740">
        <v>1623.3030000000001</v>
      </c>
      <c r="N740">
        <v>10641.653</v>
      </c>
      <c r="O740" t="s">
        <v>87</v>
      </c>
      <c r="P740" t="s">
        <v>66</v>
      </c>
    </row>
    <row r="741" spans="1:16" x14ac:dyDescent="0.25">
      <c r="A741" s="2">
        <v>44984</v>
      </c>
      <c r="B741" t="s">
        <v>40</v>
      </c>
      <c r="C741" t="s">
        <v>55</v>
      </c>
      <c r="D741" t="s">
        <v>66</v>
      </c>
      <c r="E741" t="s">
        <v>41</v>
      </c>
      <c r="F741" t="s">
        <v>32</v>
      </c>
      <c r="G741" t="s">
        <v>50</v>
      </c>
      <c r="H741">
        <v>8</v>
      </c>
      <c r="I741">
        <v>2784.08</v>
      </c>
      <c r="J741">
        <v>20045.376</v>
      </c>
      <c r="K741">
        <v>2227.2640000000001</v>
      </c>
      <c r="L741">
        <v>22272.639999999999</v>
      </c>
      <c r="M741">
        <v>4009.0751999999998</v>
      </c>
      <c r="N741">
        <v>26281.715199999999</v>
      </c>
      <c r="O741" t="s">
        <v>87</v>
      </c>
      <c r="P741" t="s">
        <v>66</v>
      </c>
    </row>
    <row r="742" spans="1:16" x14ac:dyDescent="0.25">
      <c r="A742" s="2">
        <v>45002</v>
      </c>
      <c r="B742" t="s">
        <v>38</v>
      </c>
      <c r="C742" t="s">
        <v>56</v>
      </c>
      <c r="D742" t="s">
        <v>12</v>
      </c>
      <c r="E742" t="s">
        <v>18</v>
      </c>
      <c r="F742" t="s">
        <v>23</v>
      </c>
      <c r="G742" t="s">
        <v>39</v>
      </c>
      <c r="H742">
        <v>8</v>
      </c>
      <c r="I742">
        <v>2240.2199999999998</v>
      </c>
      <c r="J742">
        <v>16129.583999999999</v>
      </c>
      <c r="K742">
        <v>1792.1759999999999</v>
      </c>
      <c r="L742">
        <v>17921.759999999998</v>
      </c>
      <c r="M742">
        <v>3225.9167999999995</v>
      </c>
      <c r="N742">
        <v>21147.676799999997</v>
      </c>
      <c r="O742" t="s">
        <v>87</v>
      </c>
      <c r="P742" t="s">
        <v>100</v>
      </c>
    </row>
    <row r="743" spans="1:16" x14ac:dyDescent="0.25">
      <c r="A743" s="2">
        <v>45266</v>
      </c>
      <c r="B743" t="s">
        <v>16</v>
      </c>
      <c r="C743" t="s">
        <v>56</v>
      </c>
      <c r="D743" t="s">
        <v>12</v>
      </c>
      <c r="E743" t="s">
        <v>18</v>
      </c>
      <c r="F743" t="s">
        <v>32</v>
      </c>
      <c r="G743" t="s">
        <v>33</v>
      </c>
      <c r="H743">
        <v>18</v>
      </c>
      <c r="I743">
        <v>1039.3800000000001</v>
      </c>
      <c r="J743">
        <v>16837.956000000002</v>
      </c>
      <c r="K743">
        <v>1870.884</v>
      </c>
      <c r="L743">
        <v>18708.84</v>
      </c>
      <c r="M743">
        <v>3367.5911999999998</v>
      </c>
      <c r="N743">
        <v>22076.431199999999</v>
      </c>
      <c r="O743" t="s">
        <v>87</v>
      </c>
      <c r="P743" t="s">
        <v>100</v>
      </c>
    </row>
    <row r="744" spans="1:16" x14ac:dyDescent="0.25">
      <c r="A744" s="2">
        <v>45237</v>
      </c>
      <c r="B744" t="s">
        <v>25</v>
      </c>
      <c r="C744" t="s">
        <v>60</v>
      </c>
      <c r="D744" t="s">
        <v>12</v>
      </c>
      <c r="E744" t="s">
        <v>18</v>
      </c>
      <c r="F744" t="s">
        <v>27</v>
      </c>
      <c r="G744" t="s">
        <v>42</v>
      </c>
      <c r="H744">
        <v>18</v>
      </c>
      <c r="I744">
        <v>1297.93</v>
      </c>
      <c r="J744">
        <v>21026.466</v>
      </c>
      <c r="K744">
        <v>2336.2740000000003</v>
      </c>
      <c r="L744">
        <v>23362.74</v>
      </c>
      <c r="M744">
        <v>4205.2932000000001</v>
      </c>
      <c r="N744">
        <v>27568.033200000002</v>
      </c>
      <c r="O744" t="s">
        <v>87</v>
      </c>
      <c r="P744" t="s">
        <v>100</v>
      </c>
    </row>
    <row r="745" spans="1:16" x14ac:dyDescent="0.25">
      <c r="A745" s="2">
        <v>44931</v>
      </c>
      <c r="B745" t="s">
        <v>43</v>
      </c>
      <c r="C745" t="s">
        <v>26</v>
      </c>
      <c r="D745" t="s">
        <v>12</v>
      </c>
      <c r="E745" t="s">
        <v>18</v>
      </c>
      <c r="F745" t="s">
        <v>14</v>
      </c>
      <c r="G745" t="s">
        <v>51</v>
      </c>
      <c r="H745">
        <v>4</v>
      </c>
      <c r="I745">
        <v>4293.74</v>
      </c>
      <c r="J745">
        <v>15457.464</v>
      </c>
      <c r="K745">
        <v>1717.4960000000001</v>
      </c>
      <c r="L745">
        <v>17174.96</v>
      </c>
      <c r="M745">
        <v>3091.4927999999995</v>
      </c>
      <c r="N745">
        <v>20266.452799999999</v>
      </c>
      <c r="O745" t="s">
        <v>87</v>
      </c>
      <c r="P745" t="s">
        <v>100</v>
      </c>
    </row>
    <row r="746" spans="1:16" x14ac:dyDescent="0.25">
      <c r="A746" s="2">
        <v>45151</v>
      </c>
      <c r="B746" t="s">
        <v>29</v>
      </c>
      <c r="C746" t="s">
        <v>26</v>
      </c>
      <c r="D746" t="s">
        <v>12</v>
      </c>
      <c r="E746" t="s">
        <v>18</v>
      </c>
      <c r="F746" t="s">
        <v>32</v>
      </c>
      <c r="G746" t="s">
        <v>33</v>
      </c>
      <c r="H746">
        <v>11</v>
      </c>
      <c r="I746">
        <v>2133.36</v>
      </c>
      <c r="J746">
        <v>21120.263999999999</v>
      </c>
      <c r="K746">
        <v>2346.6959999999999</v>
      </c>
      <c r="L746">
        <v>23466.959999999999</v>
      </c>
      <c r="M746">
        <v>4224.0527999999995</v>
      </c>
      <c r="N746">
        <v>27691.012799999997</v>
      </c>
      <c r="O746" t="s">
        <v>87</v>
      </c>
      <c r="P746" t="s">
        <v>100</v>
      </c>
    </row>
    <row r="747" spans="1:16" x14ac:dyDescent="0.25">
      <c r="A747" s="2">
        <v>45221</v>
      </c>
      <c r="B747" t="s">
        <v>10</v>
      </c>
      <c r="C747" t="s">
        <v>54</v>
      </c>
      <c r="D747" t="s">
        <v>12</v>
      </c>
      <c r="E747" t="s">
        <v>18</v>
      </c>
      <c r="F747" t="s">
        <v>27</v>
      </c>
      <c r="G747" t="s">
        <v>44</v>
      </c>
      <c r="H747">
        <v>11</v>
      </c>
      <c r="I747">
        <v>735.74</v>
      </c>
      <c r="J747">
        <v>7283.826</v>
      </c>
      <c r="K747">
        <v>809.31400000000008</v>
      </c>
      <c r="L747">
        <v>8093.14</v>
      </c>
      <c r="M747">
        <v>1456.7652</v>
      </c>
      <c r="N747">
        <v>9549.9052000000011</v>
      </c>
      <c r="O747" t="s">
        <v>87</v>
      </c>
      <c r="P747" t="s">
        <v>100</v>
      </c>
    </row>
    <row r="748" spans="1:16" x14ac:dyDescent="0.25">
      <c r="A748" s="2">
        <v>44993</v>
      </c>
      <c r="B748" t="s">
        <v>21</v>
      </c>
      <c r="C748" t="s">
        <v>58</v>
      </c>
      <c r="D748" t="s">
        <v>12</v>
      </c>
      <c r="E748" t="s">
        <v>18</v>
      </c>
      <c r="F748" t="s">
        <v>23</v>
      </c>
      <c r="G748" t="s">
        <v>24</v>
      </c>
      <c r="H748">
        <v>14</v>
      </c>
      <c r="I748">
        <v>271.27</v>
      </c>
      <c r="J748">
        <v>3418.0020000000004</v>
      </c>
      <c r="K748">
        <v>379.77800000000002</v>
      </c>
      <c r="L748">
        <v>3797.78</v>
      </c>
      <c r="M748">
        <v>683.60040000000004</v>
      </c>
      <c r="N748">
        <v>4481.3804</v>
      </c>
      <c r="O748" t="s">
        <v>87</v>
      </c>
      <c r="P748" t="s">
        <v>100</v>
      </c>
    </row>
    <row r="749" spans="1:16" x14ac:dyDescent="0.25">
      <c r="A749" s="2">
        <v>45240</v>
      </c>
      <c r="B749" t="s">
        <v>21</v>
      </c>
      <c r="C749" t="s">
        <v>54</v>
      </c>
      <c r="D749" t="s">
        <v>12</v>
      </c>
      <c r="E749" t="s">
        <v>18</v>
      </c>
      <c r="F749" t="s">
        <v>14</v>
      </c>
      <c r="G749" t="s">
        <v>15</v>
      </c>
      <c r="H749">
        <v>5</v>
      </c>
      <c r="I749">
        <v>4759.1899999999996</v>
      </c>
      <c r="J749">
        <v>21416.355</v>
      </c>
      <c r="K749">
        <v>2379.5950000000003</v>
      </c>
      <c r="L749">
        <v>23795.95</v>
      </c>
      <c r="M749">
        <v>4283.2709999999997</v>
      </c>
      <c r="N749">
        <v>28079.221000000001</v>
      </c>
      <c r="O749" t="s">
        <v>87</v>
      </c>
      <c r="P749" t="s">
        <v>100</v>
      </c>
    </row>
    <row r="750" spans="1:16" x14ac:dyDescent="0.25">
      <c r="A750" s="2">
        <v>45270</v>
      </c>
      <c r="B750" t="s">
        <v>16</v>
      </c>
      <c r="C750" t="s">
        <v>35</v>
      </c>
      <c r="D750" t="s">
        <v>65</v>
      </c>
      <c r="E750" t="s">
        <v>64</v>
      </c>
      <c r="F750" t="s">
        <v>32</v>
      </c>
      <c r="G750" t="s">
        <v>36</v>
      </c>
      <c r="H750">
        <v>11</v>
      </c>
      <c r="I750">
        <v>941.97</v>
      </c>
      <c r="J750">
        <v>9325.5030000000006</v>
      </c>
      <c r="K750">
        <v>1036.1670000000001</v>
      </c>
      <c r="L750">
        <v>10361.67</v>
      </c>
      <c r="M750">
        <v>1865.1006</v>
      </c>
      <c r="N750">
        <v>12226.7706</v>
      </c>
      <c r="O750" t="s">
        <v>87</v>
      </c>
      <c r="P750" t="s">
        <v>101</v>
      </c>
    </row>
    <row r="751" spans="1:16" x14ac:dyDescent="0.25">
      <c r="A751" s="2">
        <v>45149</v>
      </c>
      <c r="B751" t="s">
        <v>16</v>
      </c>
      <c r="C751" t="s">
        <v>55</v>
      </c>
      <c r="D751" t="s">
        <v>66</v>
      </c>
      <c r="E751" t="s">
        <v>41</v>
      </c>
      <c r="F751" t="s">
        <v>27</v>
      </c>
      <c r="G751" t="s">
        <v>46</v>
      </c>
      <c r="H751">
        <v>11</v>
      </c>
      <c r="I751">
        <v>2182.46</v>
      </c>
      <c r="J751">
        <v>21606.354000000003</v>
      </c>
      <c r="K751">
        <v>2400.7060000000001</v>
      </c>
      <c r="L751">
        <v>24007.06</v>
      </c>
      <c r="M751">
        <v>4321.2708000000002</v>
      </c>
      <c r="N751">
        <v>28328.330800000003</v>
      </c>
      <c r="O751" t="s">
        <v>87</v>
      </c>
      <c r="P751" t="s">
        <v>66</v>
      </c>
    </row>
    <row r="752" spans="1:16" x14ac:dyDescent="0.25">
      <c r="A752" s="2">
        <v>45282</v>
      </c>
      <c r="B752" t="s">
        <v>16</v>
      </c>
      <c r="C752" t="s">
        <v>26</v>
      </c>
      <c r="D752" t="s">
        <v>12</v>
      </c>
      <c r="E752" t="s">
        <v>18</v>
      </c>
      <c r="F752" t="s">
        <v>27</v>
      </c>
      <c r="G752" t="s">
        <v>44</v>
      </c>
      <c r="H752">
        <v>10</v>
      </c>
      <c r="I752">
        <v>2112.91</v>
      </c>
      <c r="J752">
        <v>19016.189999999999</v>
      </c>
      <c r="K752">
        <v>2112.91</v>
      </c>
      <c r="L752">
        <v>21129.1</v>
      </c>
      <c r="M752">
        <v>3803.2379999999994</v>
      </c>
      <c r="N752">
        <v>24932.337999999996</v>
      </c>
      <c r="O752" t="s">
        <v>87</v>
      </c>
      <c r="P752" t="s">
        <v>100</v>
      </c>
    </row>
    <row r="753" spans="1:16" x14ac:dyDescent="0.25">
      <c r="A753" s="2">
        <v>44968</v>
      </c>
      <c r="B753" t="s">
        <v>25</v>
      </c>
      <c r="C753" t="s">
        <v>60</v>
      </c>
      <c r="D753" t="s">
        <v>12</v>
      </c>
      <c r="E753" t="s">
        <v>18</v>
      </c>
      <c r="F753" t="s">
        <v>23</v>
      </c>
      <c r="G753" t="s">
        <v>24</v>
      </c>
      <c r="H753">
        <v>13</v>
      </c>
      <c r="I753">
        <v>3495.08</v>
      </c>
      <c r="J753">
        <v>40892.436000000002</v>
      </c>
      <c r="K753">
        <v>4543.6040000000003</v>
      </c>
      <c r="L753">
        <v>45436.04</v>
      </c>
      <c r="M753">
        <v>8178.4871999999996</v>
      </c>
      <c r="N753">
        <v>53614.527199999997</v>
      </c>
      <c r="O753" t="s">
        <v>87</v>
      </c>
      <c r="P753" t="s">
        <v>100</v>
      </c>
    </row>
    <row r="754" spans="1:16" x14ac:dyDescent="0.25">
      <c r="A754" s="2">
        <v>45078</v>
      </c>
      <c r="B754" t="s">
        <v>10</v>
      </c>
      <c r="C754" t="s">
        <v>61</v>
      </c>
      <c r="D754" t="s">
        <v>65</v>
      </c>
      <c r="E754" t="s">
        <v>64</v>
      </c>
      <c r="F754" t="s">
        <v>27</v>
      </c>
      <c r="G754" t="s">
        <v>28</v>
      </c>
      <c r="H754">
        <v>2</v>
      </c>
      <c r="I754">
        <v>3439.47</v>
      </c>
      <c r="J754">
        <v>6191.0459999999994</v>
      </c>
      <c r="K754">
        <v>687.89400000000001</v>
      </c>
      <c r="L754">
        <v>6878.94</v>
      </c>
      <c r="M754">
        <v>1238.2091999999998</v>
      </c>
      <c r="N754">
        <v>8117.1491999999998</v>
      </c>
      <c r="O754" t="s">
        <v>87</v>
      </c>
      <c r="P754" t="s">
        <v>101</v>
      </c>
    </row>
    <row r="755" spans="1:16" x14ac:dyDescent="0.25">
      <c r="A755" s="2">
        <v>44937</v>
      </c>
      <c r="B755" t="s">
        <v>21</v>
      </c>
      <c r="C755" t="s">
        <v>63</v>
      </c>
      <c r="D755" t="s">
        <v>65</v>
      </c>
      <c r="E755" t="s">
        <v>64</v>
      </c>
      <c r="F755" t="s">
        <v>14</v>
      </c>
      <c r="G755" t="s">
        <v>15</v>
      </c>
      <c r="H755">
        <v>20</v>
      </c>
      <c r="I755">
        <v>3279.25</v>
      </c>
      <c r="J755">
        <v>59026.5</v>
      </c>
      <c r="K755">
        <v>6558.5</v>
      </c>
      <c r="L755">
        <v>65585</v>
      </c>
      <c r="M755">
        <v>11805.3</v>
      </c>
      <c r="N755">
        <v>77390.3</v>
      </c>
      <c r="O755" t="s">
        <v>87</v>
      </c>
      <c r="P755" t="s">
        <v>101</v>
      </c>
    </row>
    <row r="756" spans="1:16" x14ac:dyDescent="0.25">
      <c r="A756" s="2">
        <v>44958</v>
      </c>
      <c r="B756" t="s">
        <v>21</v>
      </c>
      <c r="C756" t="s">
        <v>26</v>
      </c>
      <c r="D756" t="s">
        <v>12</v>
      </c>
      <c r="E756" t="s">
        <v>18</v>
      </c>
      <c r="F756" t="s">
        <v>14</v>
      </c>
      <c r="G756" t="s">
        <v>45</v>
      </c>
      <c r="H756">
        <v>16</v>
      </c>
      <c r="I756">
        <v>3320.8</v>
      </c>
      <c r="J756">
        <v>47819.520000000004</v>
      </c>
      <c r="K756">
        <v>5313.2800000000007</v>
      </c>
      <c r="L756">
        <v>53132.800000000003</v>
      </c>
      <c r="M756">
        <v>9563.9040000000005</v>
      </c>
      <c r="N756">
        <v>62696.704000000005</v>
      </c>
      <c r="O756" t="s">
        <v>87</v>
      </c>
      <c r="P756" t="s">
        <v>100</v>
      </c>
    </row>
    <row r="757" spans="1:16" x14ac:dyDescent="0.25">
      <c r="A757" s="2">
        <v>45291</v>
      </c>
      <c r="B757" t="s">
        <v>21</v>
      </c>
      <c r="C757" t="s">
        <v>59</v>
      </c>
      <c r="D757" t="s">
        <v>66</v>
      </c>
      <c r="E757" t="s">
        <v>41</v>
      </c>
      <c r="F757" t="s">
        <v>23</v>
      </c>
      <c r="G757" t="s">
        <v>47</v>
      </c>
      <c r="H757">
        <v>6</v>
      </c>
      <c r="I757">
        <v>4105.1899999999996</v>
      </c>
      <c r="J757">
        <v>22168.026000000002</v>
      </c>
      <c r="K757">
        <v>2463.114</v>
      </c>
      <c r="L757">
        <v>24631.14</v>
      </c>
      <c r="M757">
        <v>4433.6052</v>
      </c>
      <c r="N757">
        <v>29064.745199999998</v>
      </c>
      <c r="O757" t="s">
        <v>87</v>
      </c>
      <c r="P757" t="s">
        <v>66</v>
      </c>
    </row>
    <row r="758" spans="1:16" x14ac:dyDescent="0.25">
      <c r="A758" s="2">
        <v>45169</v>
      </c>
      <c r="B758" t="s">
        <v>34</v>
      </c>
      <c r="C758" t="s">
        <v>61</v>
      </c>
      <c r="D758" t="s">
        <v>65</v>
      </c>
      <c r="E758" t="s">
        <v>64</v>
      </c>
      <c r="F758" t="s">
        <v>27</v>
      </c>
      <c r="G758" t="s">
        <v>42</v>
      </c>
      <c r="H758">
        <v>7</v>
      </c>
      <c r="I758">
        <v>1830.46</v>
      </c>
      <c r="J758">
        <v>11531.897999999999</v>
      </c>
      <c r="K758">
        <v>1281.3220000000001</v>
      </c>
      <c r="L758">
        <v>12813.22</v>
      </c>
      <c r="M758">
        <v>2306.3795999999998</v>
      </c>
      <c r="N758">
        <v>15119.5996</v>
      </c>
      <c r="O758" t="s">
        <v>87</v>
      </c>
      <c r="P758" t="s">
        <v>101</v>
      </c>
    </row>
    <row r="759" spans="1:16" x14ac:dyDescent="0.25">
      <c r="A759" s="2">
        <v>44954</v>
      </c>
      <c r="B759" t="s">
        <v>16</v>
      </c>
      <c r="C759" t="s">
        <v>61</v>
      </c>
      <c r="D759" t="s">
        <v>65</v>
      </c>
      <c r="E759" t="s">
        <v>64</v>
      </c>
      <c r="F759" t="s">
        <v>19</v>
      </c>
      <c r="G759" t="s">
        <v>52</v>
      </c>
      <c r="H759">
        <v>19</v>
      </c>
      <c r="I759">
        <v>3901.75</v>
      </c>
      <c r="J759">
        <v>66719.925000000003</v>
      </c>
      <c r="K759">
        <v>7413.3250000000007</v>
      </c>
      <c r="L759">
        <v>74133.25</v>
      </c>
      <c r="M759">
        <v>13343.984999999999</v>
      </c>
      <c r="N759">
        <v>87477.235000000001</v>
      </c>
      <c r="O759" t="s">
        <v>87</v>
      </c>
      <c r="P759" t="s">
        <v>101</v>
      </c>
    </row>
    <row r="760" spans="1:16" x14ac:dyDescent="0.25">
      <c r="A760" s="2">
        <v>45289</v>
      </c>
      <c r="B760" t="s">
        <v>16</v>
      </c>
      <c r="C760" t="s">
        <v>17</v>
      </c>
      <c r="D760" t="s">
        <v>65</v>
      </c>
      <c r="E760" t="s">
        <v>64</v>
      </c>
      <c r="F760" t="s">
        <v>27</v>
      </c>
      <c r="G760" t="s">
        <v>28</v>
      </c>
      <c r="H760">
        <v>10</v>
      </c>
      <c r="I760">
        <v>3031.91</v>
      </c>
      <c r="J760">
        <v>27287.19</v>
      </c>
      <c r="K760">
        <v>3031.91</v>
      </c>
      <c r="L760">
        <v>30319.1</v>
      </c>
      <c r="M760">
        <v>5457.4379999999992</v>
      </c>
      <c r="N760">
        <v>35776.538</v>
      </c>
      <c r="O760" t="s">
        <v>87</v>
      </c>
      <c r="P760" t="s">
        <v>101</v>
      </c>
    </row>
    <row r="761" spans="1:16" x14ac:dyDescent="0.25">
      <c r="A761" s="2">
        <v>45176</v>
      </c>
      <c r="B761" t="s">
        <v>31</v>
      </c>
      <c r="C761" t="s">
        <v>11</v>
      </c>
      <c r="D761" t="s">
        <v>22</v>
      </c>
      <c r="E761" t="s">
        <v>13</v>
      </c>
      <c r="F761" t="s">
        <v>19</v>
      </c>
      <c r="G761" t="s">
        <v>20</v>
      </c>
      <c r="H761">
        <v>18</v>
      </c>
      <c r="I761">
        <v>3575.04</v>
      </c>
      <c r="J761">
        <v>57915.648000000001</v>
      </c>
      <c r="K761">
        <v>6435.0720000000001</v>
      </c>
      <c r="L761">
        <v>64350.720000000001</v>
      </c>
      <c r="M761">
        <v>11583.1296</v>
      </c>
      <c r="N761">
        <v>75933.849600000001</v>
      </c>
      <c r="O761" t="s">
        <v>87</v>
      </c>
      <c r="P761" t="s">
        <v>99</v>
      </c>
    </row>
    <row r="762" spans="1:16" x14ac:dyDescent="0.25">
      <c r="A762" s="2">
        <v>45170</v>
      </c>
      <c r="B762" t="s">
        <v>34</v>
      </c>
      <c r="C762" t="s">
        <v>54</v>
      </c>
      <c r="D762" t="s">
        <v>12</v>
      </c>
      <c r="E762" t="s">
        <v>18</v>
      </c>
      <c r="F762" t="s">
        <v>27</v>
      </c>
      <c r="G762" t="s">
        <v>44</v>
      </c>
      <c r="H762">
        <v>17</v>
      </c>
      <c r="I762">
        <v>2920.06</v>
      </c>
      <c r="J762">
        <v>44676.917999999998</v>
      </c>
      <c r="K762">
        <v>4964.1019999999999</v>
      </c>
      <c r="L762">
        <v>49641.02</v>
      </c>
      <c r="M762">
        <v>8935.3835999999992</v>
      </c>
      <c r="N762">
        <v>58576.403599999998</v>
      </c>
      <c r="O762" t="s">
        <v>87</v>
      </c>
      <c r="P762" t="s">
        <v>100</v>
      </c>
    </row>
    <row r="763" spans="1:16" x14ac:dyDescent="0.25">
      <c r="A763" s="2">
        <v>45030</v>
      </c>
      <c r="B763" t="s">
        <v>38</v>
      </c>
      <c r="C763" t="s">
        <v>26</v>
      </c>
      <c r="D763" t="s">
        <v>12</v>
      </c>
      <c r="E763" t="s">
        <v>18</v>
      </c>
      <c r="F763" t="s">
        <v>32</v>
      </c>
      <c r="G763" t="s">
        <v>50</v>
      </c>
      <c r="H763">
        <v>15</v>
      </c>
      <c r="I763">
        <v>2796.48</v>
      </c>
      <c r="J763">
        <v>37752.479999999996</v>
      </c>
      <c r="K763">
        <v>4194.72</v>
      </c>
      <c r="L763">
        <v>41947.199999999997</v>
      </c>
      <c r="M763">
        <v>7550.4959999999992</v>
      </c>
      <c r="N763">
        <v>49497.695999999996</v>
      </c>
      <c r="O763" t="s">
        <v>87</v>
      </c>
      <c r="P763" t="s">
        <v>100</v>
      </c>
    </row>
    <row r="764" spans="1:16" x14ac:dyDescent="0.25">
      <c r="A764" s="2">
        <v>45013</v>
      </c>
      <c r="B764" t="s">
        <v>29</v>
      </c>
      <c r="C764" t="s">
        <v>56</v>
      </c>
      <c r="D764" t="s">
        <v>12</v>
      </c>
      <c r="E764" t="s">
        <v>18</v>
      </c>
      <c r="F764" t="s">
        <v>32</v>
      </c>
      <c r="G764" t="s">
        <v>36</v>
      </c>
      <c r="H764">
        <v>1</v>
      </c>
      <c r="I764">
        <v>2918.29</v>
      </c>
      <c r="J764">
        <v>2626.4610000000002</v>
      </c>
      <c r="K764">
        <v>291.82900000000001</v>
      </c>
      <c r="L764">
        <v>2918.29</v>
      </c>
      <c r="M764">
        <v>525.29219999999998</v>
      </c>
      <c r="N764">
        <v>3443.5821999999998</v>
      </c>
      <c r="O764" t="s">
        <v>87</v>
      </c>
      <c r="P764" t="s">
        <v>100</v>
      </c>
    </row>
    <row r="765" spans="1:16" x14ac:dyDescent="0.25">
      <c r="A765" s="2">
        <v>45159</v>
      </c>
      <c r="B765" t="s">
        <v>34</v>
      </c>
      <c r="C765" t="s">
        <v>35</v>
      </c>
      <c r="D765" t="s">
        <v>65</v>
      </c>
      <c r="E765" t="s">
        <v>64</v>
      </c>
      <c r="F765" t="s">
        <v>14</v>
      </c>
      <c r="G765" t="s">
        <v>45</v>
      </c>
      <c r="H765">
        <v>10</v>
      </c>
      <c r="I765">
        <v>1097.83</v>
      </c>
      <c r="J765">
        <v>9880.4699999999993</v>
      </c>
      <c r="K765">
        <v>1097.83</v>
      </c>
      <c r="L765">
        <v>10978.3</v>
      </c>
      <c r="M765">
        <v>1976.0939999999998</v>
      </c>
      <c r="N765">
        <v>12954.393999999998</v>
      </c>
      <c r="O765" t="s">
        <v>87</v>
      </c>
      <c r="P765" t="s">
        <v>101</v>
      </c>
    </row>
    <row r="766" spans="1:16" x14ac:dyDescent="0.25">
      <c r="A766" s="2">
        <v>44969</v>
      </c>
      <c r="B766" t="s">
        <v>10</v>
      </c>
      <c r="C766" t="s">
        <v>26</v>
      </c>
      <c r="D766" t="s">
        <v>12</v>
      </c>
      <c r="E766" t="s">
        <v>18</v>
      </c>
      <c r="F766" t="s">
        <v>23</v>
      </c>
      <c r="G766" t="s">
        <v>39</v>
      </c>
      <c r="H766">
        <v>10</v>
      </c>
      <c r="I766">
        <v>3391.5</v>
      </c>
      <c r="J766">
        <v>30523.5</v>
      </c>
      <c r="K766">
        <v>3391.5</v>
      </c>
      <c r="L766">
        <v>33915</v>
      </c>
      <c r="M766">
        <v>6104.7</v>
      </c>
      <c r="N766">
        <v>40019.699999999997</v>
      </c>
      <c r="O766" t="s">
        <v>87</v>
      </c>
      <c r="P766" t="s">
        <v>100</v>
      </c>
    </row>
    <row r="767" spans="1:16" x14ac:dyDescent="0.25">
      <c r="A767" s="2">
        <v>45116</v>
      </c>
      <c r="B767" t="s">
        <v>40</v>
      </c>
      <c r="C767" t="s">
        <v>26</v>
      </c>
      <c r="D767" t="s">
        <v>12</v>
      </c>
      <c r="E767" t="s">
        <v>18</v>
      </c>
      <c r="F767" t="s">
        <v>27</v>
      </c>
      <c r="G767" t="s">
        <v>44</v>
      </c>
      <c r="H767">
        <v>13</v>
      </c>
      <c r="I767">
        <v>2225.88</v>
      </c>
      <c r="J767">
        <v>26042.795999999998</v>
      </c>
      <c r="K767">
        <v>2893.6440000000002</v>
      </c>
      <c r="L767">
        <v>28936.44</v>
      </c>
      <c r="M767">
        <v>5208.5591999999997</v>
      </c>
      <c r="N767">
        <v>34144.999199999998</v>
      </c>
      <c r="O767" t="s">
        <v>87</v>
      </c>
      <c r="P767" t="s">
        <v>100</v>
      </c>
    </row>
    <row r="768" spans="1:16" x14ac:dyDescent="0.25">
      <c r="A768" s="2">
        <v>45265</v>
      </c>
      <c r="B768" t="s">
        <v>31</v>
      </c>
      <c r="C768" t="s">
        <v>59</v>
      </c>
      <c r="D768" t="s">
        <v>66</v>
      </c>
      <c r="E768" t="s">
        <v>41</v>
      </c>
      <c r="F768" t="s">
        <v>23</v>
      </c>
      <c r="G768" t="s">
        <v>39</v>
      </c>
      <c r="H768">
        <v>2</v>
      </c>
      <c r="I768">
        <v>1559.76</v>
      </c>
      <c r="J768">
        <v>2807.5680000000002</v>
      </c>
      <c r="K768">
        <v>311.952</v>
      </c>
      <c r="L768">
        <v>3119.52</v>
      </c>
      <c r="M768">
        <v>561.5136</v>
      </c>
      <c r="N768">
        <v>3681.0335999999998</v>
      </c>
      <c r="O768" t="s">
        <v>87</v>
      </c>
      <c r="P768" t="s">
        <v>66</v>
      </c>
    </row>
    <row r="769" spans="1:16" x14ac:dyDescent="0.25">
      <c r="A769" s="2">
        <v>44945</v>
      </c>
      <c r="B769" t="s">
        <v>21</v>
      </c>
      <c r="C769" t="s">
        <v>63</v>
      </c>
      <c r="D769" t="s">
        <v>65</v>
      </c>
      <c r="E769" t="s">
        <v>64</v>
      </c>
      <c r="F769" t="s">
        <v>27</v>
      </c>
      <c r="G769" t="s">
        <v>42</v>
      </c>
      <c r="H769">
        <v>13</v>
      </c>
      <c r="I769">
        <v>4719.96</v>
      </c>
      <c r="J769">
        <v>55223.532000000007</v>
      </c>
      <c r="K769">
        <v>6135.9480000000003</v>
      </c>
      <c r="L769">
        <v>61359.48</v>
      </c>
      <c r="M769">
        <v>11044.706400000001</v>
      </c>
      <c r="N769">
        <v>72404.186400000006</v>
      </c>
      <c r="O769" t="s">
        <v>87</v>
      </c>
      <c r="P769" t="s">
        <v>101</v>
      </c>
    </row>
    <row r="770" spans="1:16" x14ac:dyDescent="0.25">
      <c r="A770" s="2">
        <v>45250</v>
      </c>
      <c r="B770" t="s">
        <v>43</v>
      </c>
      <c r="C770" t="s">
        <v>54</v>
      </c>
      <c r="D770" t="s">
        <v>12</v>
      </c>
      <c r="E770" t="s">
        <v>18</v>
      </c>
      <c r="F770" t="s">
        <v>19</v>
      </c>
      <c r="G770" t="s">
        <v>30</v>
      </c>
      <c r="H770">
        <v>5</v>
      </c>
      <c r="I770">
        <v>1593.02</v>
      </c>
      <c r="J770">
        <v>7168.59</v>
      </c>
      <c r="K770">
        <v>796.5100000000001</v>
      </c>
      <c r="L770">
        <v>7965.1</v>
      </c>
      <c r="M770">
        <v>1433.7180000000001</v>
      </c>
      <c r="N770">
        <v>9398.8180000000011</v>
      </c>
      <c r="O770" t="s">
        <v>87</v>
      </c>
      <c r="P770" t="s">
        <v>100</v>
      </c>
    </row>
    <row r="771" spans="1:16" x14ac:dyDescent="0.25">
      <c r="A771" s="2">
        <v>45031</v>
      </c>
      <c r="B771" t="s">
        <v>29</v>
      </c>
      <c r="C771" t="s">
        <v>56</v>
      </c>
      <c r="D771" t="s">
        <v>12</v>
      </c>
      <c r="E771" t="s">
        <v>18</v>
      </c>
      <c r="F771" t="s">
        <v>23</v>
      </c>
      <c r="G771" t="s">
        <v>24</v>
      </c>
      <c r="H771">
        <v>7</v>
      </c>
      <c r="I771">
        <v>1233.6300000000001</v>
      </c>
      <c r="J771">
        <v>7771.8689999999997</v>
      </c>
      <c r="K771">
        <v>863.54100000000005</v>
      </c>
      <c r="L771">
        <v>8635.41</v>
      </c>
      <c r="M771">
        <v>1554.3737999999998</v>
      </c>
      <c r="N771">
        <v>10189.783799999999</v>
      </c>
      <c r="O771" t="s">
        <v>87</v>
      </c>
      <c r="P771" t="s">
        <v>100</v>
      </c>
    </row>
    <row r="772" spans="1:16" x14ac:dyDescent="0.25">
      <c r="A772" s="2">
        <v>45060</v>
      </c>
      <c r="B772" t="s">
        <v>25</v>
      </c>
      <c r="C772" t="s">
        <v>55</v>
      </c>
      <c r="D772" t="s">
        <v>66</v>
      </c>
      <c r="E772" t="s">
        <v>41</v>
      </c>
      <c r="F772" t="s">
        <v>32</v>
      </c>
      <c r="G772" t="s">
        <v>49</v>
      </c>
      <c r="H772">
        <v>2</v>
      </c>
      <c r="I772">
        <v>2261.69</v>
      </c>
      <c r="J772">
        <v>4071.0420000000004</v>
      </c>
      <c r="K772">
        <v>452.33800000000002</v>
      </c>
      <c r="L772">
        <v>4523.38</v>
      </c>
      <c r="M772">
        <v>814.20839999999998</v>
      </c>
      <c r="N772">
        <v>5337.5884000000005</v>
      </c>
      <c r="O772" t="s">
        <v>87</v>
      </c>
      <c r="P772" t="s">
        <v>66</v>
      </c>
    </row>
    <row r="773" spans="1:16" x14ac:dyDescent="0.25">
      <c r="A773" s="2">
        <v>45057</v>
      </c>
      <c r="B773" t="s">
        <v>34</v>
      </c>
      <c r="C773" t="s">
        <v>17</v>
      </c>
      <c r="D773" t="s">
        <v>65</v>
      </c>
      <c r="E773" t="s">
        <v>64</v>
      </c>
      <c r="F773" t="s">
        <v>27</v>
      </c>
      <c r="G773" t="s">
        <v>44</v>
      </c>
      <c r="H773">
        <v>15</v>
      </c>
      <c r="I773">
        <v>1197.31</v>
      </c>
      <c r="J773">
        <v>16163.685000000001</v>
      </c>
      <c r="K773">
        <v>1795.9650000000001</v>
      </c>
      <c r="L773">
        <v>17959.650000000001</v>
      </c>
      <c r="M773">
        <v>3232.7370000000001</v>
      </c>
      <c r="N773">
        <v>21192.387000000002</v>
      </c>
      <c r="O773" t="s">
        <v>87</v>
      </c>
      <c r="P773" t="s">
        <v>101</v>
      </c>
    </row>
    <row r="774" spans="1:16" x14ac:dyDescent="0.25">
      <c r="A774" s="2">
        <v>45025</v>
      </c>
      <c r="B774" t="s">
        <v>16</v>
      </c>
      <c r="C774" t="s">
        <v>57</v>
      </c>
      <c r="D774" t="s">
        <v>22</v>
      </c>
      <c r="E774" t="s">
        <v>13</v>
      </c>
      <c r="F774" t="s">
        <v>19</v>
      </c>
      <c r="G774" t="s">
        <v>30</v>
      </c>
      <c r="H774">
        <v>9</v>
      </c>
      <c r="I774">
        <v>3441.09</v>
      </c>
      <c r="J774">
        <v>27872.829000000002</v>
      </c>
      <c r="K774">
        <v>3096.9810000000002</v>
      </c>
      <c r="L774">
        <v>30969.81</v>
      </c>
      <c r="M774">
        <v>5574.5658000000003</v>
      </c>
      <c r="N774">
        <v>36544.375800000002</v>
      </c>
      <c r="O774" t="s">
        <v>87</v>
      </c>
      <c r="P774" t="s">
        <v>99</v>
      </c>
    </row>
    <row r="775" spans="1:16" x14ac:dyDescent="0.25">
      <c r="A775" s="2">
        <v>45100</v>
      </c>
      <c r="B775" t="s">
        <v>16</v>
      </c>
      <c r="C775" t="s">
        <v>26</v>
      </c>
      <c r="D775" t="s">
        <v>12</v>
      </c>
      <c r="E775" t="s">
        <v>18</v>
      </c>
      <c r="F775" t="s">
        <v>14</v>
      </c>
      <c r="G775" t="s">
        <v>51</v>
      </c>
      <c r="H775">
        <v>2</v>
      </c>
      <c r="I775">
        <v>3325.99</v>
      </c>
      <c r="J775">
        <v>5986.7820000000002</v>
      </c>
      <c r="K775">
        <v>665.19799999999998</v>
      </c>
      <c r="L775">
        <v>6651.98</v>
      </c>
      <c r="M775">
        <v>1197.3563999999999</v>
      </c>
      <c r="N775">
        <v>7849.3363999999992</v>
      </c>
      <c r="O775" t="s">
        <v>87</v>
      </c>
      <c r="P775" t="s">
        <v>100</v>
      </c>
    </row>
    <row r="776" spans="1:16" x14ac:dyDescent="0.25">
      <c r="A776" s="2">
        <v>45165</v>
      </c>
      <c r="B776" t="s">
        <v>43</v>
      </c>
      <c r="C776" t="s">
        <v>26</v>
      </c>
      <c r="D776" t="s">
        <v>12</v>
      </c>
      <c r="E776" t="s">
        <v>18</v>
      </c>
      <c r="F776" t="s">
        <v>23</v>
      </c>
      <c r="G776" t="s">
        <v>24</v>
      </c>
      <c r="H776">
        <v>2</v>
      </c>
      <c r="I776">
        <v>991.8</v>
      </c>
      <c r="J776">
        <v>1785.24</v>
      </c>
      <c r="K776">
        <v>198.36</v>
      </c>
      <c r="L776">
        <v>1983.6</v>
      </c>
      <c r="M776">
        <v>357.04799999999994</v>
      </c>
      <c r="N776">
        <v>2340.6479999999997</v>
      </c>
      <c r="O776" t="s">
        <v>87</v>
      </c>
      <c r="P776" t="s">
        <v>100</v>
      </c>
    </row>
    <row r="777" spans="1:16" x14ac:dyDescent="0.25">
      <c r="A777" s="2">
        <v>45040</v>
      </c>
      <c r="B777" t="s">
        <v>40</v>
      </c>
      <c r="C777" t="s">
        <v>26</v>
      </c>
      <c r="D777" t="s">
        <v>12</v>
      </c>
      <c r="E777" t="s">
        <v>18</v>
      </c>
      <c r="F777" t="s">
        <v>27</v>
      </c>
      <c r="G777" t="s">
        <v>28</v>
      </c>
      <c r="H777">
        <v>9</v>
      </c>
      <c r="I777">
        <v>4763.01</v>
      </c>
      <c r="J777">
        <v>38580.381000000001</v>
      </c>
      <c r="K777">
        <v>4286.7089999999998</v>
      </c>
      <c r="L777">
        <v>42867.09</v>
      </c>
      <c r="M777">
        <v>7716.0761999999995</v>
      </c>
      <c r="N777">
        <v>50583.166199999992</v>
      </c>
      <c r="O777" t="s">
        <v>87</v>
      </c>
      <c r="P777" t="s">
        <v>100</v>
      </c>
    </row>
    <row r="778" spans="1:16" x14ac:dyDescent="0.25">
      <c r="A778" s="2">
        <v>45029</v>
      </c>
      <c r="B778" t="s">
        <v>38</v>
      </c>
      <c r="C778" t="s">
        <v>63</v>
      </c>
      <c r="D778" t="s">
        <v>65</v>
      </c>
      <c r="E778" t="s">
        <v>64</v>
      </c>
      <c r="F778" t="s">
        <v>23</v>
      </c>
      <c r="G778" t="s">
        <v>47</v>
      </c>
      <c r="H778">
        <v>8</v>
      </c>
      <c r="I778">
        <v>826.71</v>
      </c>
      <c r="J778">
        <v>5952.3120000000008</v>
      </c>
      <c r="K778">
        <v>661.36800000000005</v>
      </c>
      <c r="L778">
        <v>6613.68</v>
      </c>
      <c r="M778">
        <v>1190.4624000000001</v>
      </c>
      <c r="N778">
        <v>7804.1424000000006</v>
      </c>
      <c r="O778" t="s">
        <v>87</v>
      </c>
      <c r="P778" t="s">
        <v>101</v>
      </c>
    </row>
    <row r="779" spans="1:16" x14ac:dyDescent="0.25">
      <c r="A779" s="2">
        <v>45222</v>
      </c>
      <c r="B779" t="s">
        <v>10</v>
      </c>
      <c r="C779" t="s">
        <v>54</v>
      </c>
      <c r="D779" t="s">
        <v>12</v>
      </c>
      <c r="E779" t="s">
        <v>18</v>
      </c>
      <c r="F779" t="s">
        <v>27</v>
      </c>
      <c r="G779" t="s">
        <v>46</v>
      </c>
      <c r="H779">
        <v>9</v>
      </c>
      <c r="I779">
        <v>209.57</v>
      </c>
      <c r="J779">
        <v>1697.5170000000001</v>
      </c>
      <c r="K779">
        <v>188.61300000000003</v>
      </c>
      <c r="L779">
        <v>1886.13</v>
      </c>
      <c r="M779">
        <v>339.5034</v>
      </c>
      <c r="N779">
        <v>2225.6334000000002</v>
      </c>
      <c r="O779" t="s">
        <v>87</v>
      </c>
      <c r="P779" t="s">
        <v>100</v>
      </c>
    </row>
    <row r="780" spans="1:16" x14ac:dyDescent="0.25">
      <c r="A780" s="2">
        <v>45092</v>
      </c>
      <c r="B780" t="s">
        <v>29</v>
      </c>
      <c r="C780" t="s">
        <v>54</v>
      </c>
      <c r="D780" t="s">
        <v>12</v>
      </c>
      <c r="E780" t="s">
        <v>18</v>
      </c>
      <c r="F780" t="s">
        <v>32</v>
      </c>
      <c r="G780" t="s">
        <v>33</v>
      </c>
      <c r="H780">
        <v>7</v>
      </c>
      <c r="I780">
        <v>2538.4299999999998</v>
      </c>
      <c r="J780">
        <v>15992.108999999999</v>
      </c>
      <c r="K780">
        <v>1776.9009999999998</v>
      </c>
      <c r="L780">
        <v>17769.009999999998</v>
      </c>
      <c r="M780">
        <v>3198.4217999999996</v>
      </c>
      <c r="N780">
        <v>20967.431799999998</v>
      </c>
      <c r="O780" t="s">
        <v>87</v>
      </c>
      <c r="P780" t="s">
        <v>100</v>
      </c>
    </row>
    <row r="781" spans="1:16" x14ac:dyDescent="0.25">
      <c r="A781" s="2">
        <v>45134</v>
      </c>
      <c r="B781" t="s">
        <v>25</v>
      </c>
      <c r="C781" t="s">
        <v>60</v>
      </c>
      <c r="D781" t="s">
        <v>12</v>
      </c>
      <c r="E781" t="s">
        <v>18</v>
      </c>
      <c r="F781" t="s">
        <v>27</v>
      </c>
      <c r="G781" t="s">
        <v>44</v>
      </c>
      <c r="H781">
        <v>7</v>
      </c>
      <c r="I781">
        <v>4116.9799999999996</v>
      </c>
      <c r="J781">
        <v>25936.974000000002</v>
      </c>
      <c r="K781">
        <v>2881.8860000000004</v>
      </c>
      <c r="L781">
        <v>28818.86</v>
      </c>
      <c r="M781">
        <v>5187.3948</v>
      </c>
      <c r="N781">
        <v>34006.254800000002</v>
      </c>
      <c r="O781" t="s">
        <v>87</v>
      </c>
      <c r="P781" t="s">
        <v>100</v>
      </c>
    </row>
    <row r="782" spans="1:16" x14ac:dyDescent="0.25">
      <c r="A782" s="2">
        <v>45108</v>
      </c>
      <c r="B782" t="s">
        <v>16</v>
      </c>
      <c r="C782" t="s">
        <v>59</v>
      </c>
      <c r="D782" t="s">
        <v>66</v>
      </c>
      <c r="E782" t="s">
        <v>41</v>
      </c>
      <c r="F782" t="s">
        <v>32</v>
      </c>
      <c r="G782" t="s">
        <v>36</v>
      </c>
      <c r="H782">
        <v>20</v>
      </c>
      <c r="I782">
        <v>3638.01</v>
      </c>
      <c r="J782">
        <v>65484.18</v>
      </c>
      <c r="K782">
        <v>7276.02</v>
      </c>
      <c r="L782">
        <v>72760.2</v>
      </c>
      <c r="M782">
        <v>13096.835999999999</v>
      </c>
      <c r="N782">
        <v>85857.035999999993</v>
      </c>
      <c r="O782" t="s">
        <v>87</v>
      </c>
      <c r="P782" t="s">
        <v>66</v>
      </c>
    </row>
    <row r="783" spans="1:16" x14ac:dyDescent="0.25">
      <c r="A783" s="2">
        <v>44954</v>
      </c>
      <c r="B783" t="s">
        <v>43</v>
      </c>
      <c r="C783" t="s">
        <v>58</v>
      </c>
      <c r="D783" t="s">
        <v>12</v>
      </c>
      <c r="E783" t="s">
        <v>18</v>
      </c>
      <c r="F783" t="s">
        <v>14</v>
      </c>
      <c r="G783" t="s">
        <v>51</v>
      </c>
      <c r="H783">
        <v>8</v>
      </c>
      <c r="I783">
        <v>4523.4399999999996</v>
      </c>
      <c r="J783">
        <v>32568.767999999996</v>
      </c>
      <c r="K783">
        <v>3618.752</v>
      </c>
      <c r="L783">
        <v>36187.519999999997</v>
      </c>
      <c r="M783">
        <v>6513.7535999999991</v>
      </c>
      <c r="N783">
        <v>42701.273599999993</v>
      </c>
      <c r="O783" t="s">
        <v>87</v>
      </c>
      <c r="P783" t="s">
        <v>100</v>
      </c>
    </row>
    <row r="784" spans="1:16" x14ac:dyDescent="0.25">
      <c r="A784" s="2">
        <v>45198</v>
      </c>
      <c r="B784" t="s">
        <v>25</v>
      </c>
      <c r="C784" t="s">
        <v>26</v>
      </c>
      <c r="D784" t="s">
        <v>12</v>
      </c>
      <c r="E784" t="s">
        <v>18</v>
      </c>
      <c r="F784" t="s">
        <v>14</v>
      </c>
      <c r="G784" t="s">
        <v>45</v>
      </c>
      <c r="H784">
        <v>17</v>
      </c>
      <c r="I784">
        <v>2042</v>
      </c>
      <c r="J784">
        <v>31242.600000000002</v>
      </c>
      <c r="K784">
        <v>3471.4</v>
      </c>
      <c r="L784">
        <v>34714</v>
      </c>
      <c r="M784">
        <v>6248.5199999999995</v>
      </c>
      <c r="N784">
        <v>40962.519999999997</v>
      </c>
      <c r="O784" t="s">
        <v>87</v>
      </c>
      <c r="P784" t="s">
        <v>100</v>
      </c>
    </row>
    <row r="785" spans="1:16" x14ac:dyDescent="0.25">
      <c r="A785" s="2">
        <v>44983</v>
      </c>
      <c r="B785" t="s">
        <v>43</v>
      </c>
      <c r="C785" t="s">
        <v>55</v>
      </c>
      <c r="D785" t="s">
        <v>66</v>
      </c>
      <c r="E785" t="s">
        <v>41</v>
      </c>
      <c r="F785" t="s">
        <v>19</v>
      </c>
      <c r="G785" t="s">
        <v>20</v>
      </c>
      <c r="H785">
        <v>19</v>
      </c>
      <c r="I785">
        <v>2357.62</v>
      </c>
      <c r="J785">
        <v>40315.302000000003</v>
      </c>
      <c r="K785">
        <v>4479.4780000000001</v>
      </c>
      <c r="L785">
        <v>44794.78</v>
      </c>
      <c r="M785">
        <v>8063.0603999999994</v>
      </c>
      <c r="N785">
        <v>52857.840400000001</v>
      </c>
      <c r="O785" t="s">
        <v>87</v>
      </c>
      <c r="P785" t="s">
        <v>66</v>
      </c>
    </row>
    <row r="786" spans="1:16" x14ac:dyDescent="0.25">
      <c r="A786" s="2">
        <v>44963</v>
      </c>
      <c r="B786" t="s">
        <v>21</v>
      </c>
      <c r="C786" t="s">
        <v>57</v>
      </c>
      <c r="D786" t="s">
        <v>22</v>
      </c>
      <c r="E786" t="s">
        <v>13</v>
      </c>
      <c r="F786" t="s">
        <v>23</v>
      </c>
      <c r="G786" t="s">
        <v>24</v>
      </c>
      <c r="H786">
        <v>18</v>
      </c>
      <c r="I786">
        <v>941.19</v>
      </c>
      <c r="J786">
        <v>15247.277999999998</v>
      </c>
      <c r="K786">
        <v>1694.1419999999998</v>
      </c>
      <c r="L786">
        <v>16941.419999999998</v>
      </c>
      <c r="M786">
        <v>3049.4555999999998</v>
      </c>
      <c r="N786">
        <v>19990.875599999999</v>
      </c>
      <c r="O786" t="s">
        <v>87</v>
      </c>
      <c r="P786" t="s">
        <v>99</v>
      </c>
    </row>
    <row r="787" spans="1:16" x14ac:dyDescent="0.25">
      <c r="A787" s="2">
        <v>45050</v>
      </c>
      <c r="B787" t="s">
        <v>40</v>
      </c>
      <c r="C787" t="s">
        <v>17</v>
      </c>
      <c r="D787" t="s">
        <v>65</v>
      </c>
      <c r="E787" t="s">
        <v>64</v>
      </c>
      <c r="F787" t="s">
        <v>23</v>
      </c>
      <c r="G787" t="s">
        <v>39</v>
      </c>
      <c r="H787">
        <v>9</v>
      </c>
      <c r="I787">
        <v>3927.83</v>
      </c>
      <c r="J787">
        <v>31815.423000000003</v>
      </c>
      <c r="K787">
        <v>3535.0470000000005</v>
      </c>
      <c r="L787">
        <v>35350.47</v>
      </c>
      <c r="M787">
        <v>6363.0846000000001</v>
      </c>
      <c r="N787">
        <v>41713.554600000003</v>
      </c>
      <c r="O787" t="s">
        <v>87</v>
      </c>
      <c r="P787" t="s">
        <v>101</v>
      </c>
    </row>
    <row r="788" spans="1:16" x14ac:dyDescent="0.25">
      <c r="A788" s="2">
        <v>45256</v>
      </c>
      <c r="B788" t="s">
        <v>16</v>
      </c>
      <c r="C788" t="s">
        <v>54</v>
      </c>
      <c r="D788" t="s">
        <v>12</v>
      </c>
      <c r="E788" t="s">
        <v>18</v>
      </c>
      <c r="F788" t="s">
        <v>27</v>
      </c>
      <c r="G788" t="s">
        <v>44</v>
      </c>
      <c r="H788">
        <v>1</v>
      </c>
      <c r="I788">
        <v>4555.42</v>
      </c>
      <c r="J788">
        <v>4099.8780000000006</v>
      </c>
      <c r="K788">
        <v>455.54200000000003</v>
      </c>
      <c r="L788">
        <v>4555.42</v>
      </c>
      <c r="M788">
        <v>819.97559999999999</v>
      </c>
      <c r="N788">
        <v>5375.3955999999998</v>
      </c>
      <c r="O788" t="s">
        <v>87</v>
      </c>
      <c r="P788" t="s">
        <v>100</v>
      </c>
    </row>
    <row r="789" spans="1:16" x14ac:dyDescent="0.25">
      <c r="A789" s="2">
        <v>45046</v>
      </c>
      <c r="B789" t="s">
        <v>29</v>
      </c>
      <c r="C789" t="s">
        <v>11</v>
      </c>
      <c r="D789" t="s">
        <v>22</v>
      </c>
      <c r="E789" t="s">
        <v>13</v>
      </c>
      <c r="F789" t="s">
        <v>23</v>
      </c>
      <c r="G789" t="s">
        <v>39</v>
      </c>
      <c r="H789">
        <v>18</v>
      </c>
      <c r="I789">
        <v>3271.29</v>
      </c>
      <c r="J789">
        <v>52994.898000000001</v>
      </c>
      <c r="K789">
        <v>5888.3220000000001</v>
      </c>
      <c r="L789">
        <v>58883.22</v>
      </c>
      <c r="M789">
        <v>10598.979600000001</v>
      </c>
      <c r="N789">
        <v>69482.199600000007</v>
      </c>
      <c r="O789" t="s">
        <v>87</v>
      </c>
      <c r="P789" t="s">
        <v>99</v>
      </c>
    </row>
    <row r="790" spans="1:16" x14ac:dyDescent="0.25">
      <c r="A790" s="2">
        <v>45163</v>
      </c>
      <c r="B790" t="s">
        <v>10</v>
      </c>
      <c r="C790" t="s">
        <v>63</v>
      </c>
      <c r="D790" t="s">
        <v>65</v>
      </c>
      <c r="E790" t="s">
        <v>64</v>
      </c>
      <c r="F790" t="s">
        <v>32</v>
      </c>
      <c r="G790" t="s">
        <v>49</v>
      </c>
      <c r="H790">
        <v>15</v>
      </c>
      <c r="I790">
        <v>4406.3100000000004</v>
      </c>
      <c r="J790">
        <v>59485.184999999998</v>
      </c>
      <c r="K790">
        <v>6609.4650000000001</v>
      </c>
      <c r="L790">
        <v>66094.649999999994</v>
      </c>
      <c r="M790">
        <v>11897.036999999998</v>
      </c>
      <c r="N790">
        <v>77991.686999999991</v>
      </c>
      <c r="O790" t="s">
        <v>87</v>
      </c>
      <c r="P790" t="s">
        <v>101</v>
      </c>
    </row>
    <row r="791" spans="1:16" x14ac:dyDescent="0.25">
      <c r="A791" s="2">
        <v>45263</v>
      </c>
      <c r="B791" t="s">
        <v>38</v>
      </c>
      <c r="C791" t="s">
        <v>60</v>
      </c>
      <c r="D791" t="s">
        <v>12</v>
      </c>
      <c r="E791" t="s">
        <v>18</v>
      </c>
      <c r="F791" t="s">
        <v>19</v>
      </c>
      <c r="G791" t="s">
        <v>52</v>
      </c>
      <c r="H791">
        <v>19</v>
      </c>
      <c r="I791">
        <v>2016.56</v>
      </c>
      <c r="J791">
        <v>34483.175999999999</v>
      </c>
      <c r="K791">
        <v>3831.4639999999999</v>
      </c>
      <c r="L791">
        <v>38314.639999999999</v>
      </c>
      <c r="M791">
        <v>6896.6351999999997</v>
      </c>
      <c r="N791">
        <v>45211.275199999996</v>
      </c>
      <c r="O791" t="s">
        <v>87</v>
      </c>
      <c r="P791" t="s">
        <v>100</v>
      </c>
    </row>
    <row r="792" spans="1:16" x14ac:dyDescent="0.25">
      <c r="A792" s="2">
        <v>45188</v>
      </c>
      <c r="B792" t="s">
        <v>38</v>
      </c>
      <c r="C792" t="s">
        <v>63</v>
      </c>
      <c r="D792" t="s">
        <v>65</v>
      </c>
      <c r="E792" t="s">
        <v>64</v>
      </c>
      <c r="F792" t="s">
        <v>14</v>
      </c>
      <c r="G792" t="s">
        <v>53</v>
      </c>
      <c r="H792">
        <v>13</v>
      </c>
      <c r="I792">
        <v>3531.03</v>
      </c>
      <c r="J792">
        <v>41313.050999999999</v>
      </c>
      <c r="K792">
        <v>4590.3389999999999</v>
      </c>
      <c r="L792">
        <v>45903.39</v>
      </c>
      <c r="M792">
        <v>8262.6101999999992</v>
      </c>
      <c r="N792">
        <v>54166.000199999995</v>
      </c>
      <c r="O792" t="s">
        <v>87</v>
      </c>
      <c r="P792" t="s">
        <v>101</v>
      </c>
    </row>
    <row r="793" spans="1:16" x14ac:dyDescent="0.25">
      <c r="A793" s="2">
        <v>45245</v>
      </c>
      <c r="B793" t="s">
        <v>31</v>
      </c>
      <c r="C793" t="s">
        <v>17</v>
      </c>
      <c r="D793" t="s">
        <v>65</v>
      </c>
      <c r="E793" t="s">
        <v>64</v>
      </c>
      <c r="F793" t="s">
        <v>14</v>
      </c>
      <c r="G793" t="s">
        <v>15</v>
      </c>
      <c r="H793">
        <v>7</v>
      </c>
      <c r="I793">
        <v>4077.95</v>
      </c>
      <c r="J793">
        <v>25691.085000000003</v>
      </c>
      <c r="K793">
        <v>2854.5650000000005</v>
      </c>
      <c r="L793">
        <v>28545.65</v>
      </c>
      <c r="M793">
        <v>5138.2169999999996</v>
      </c>
      <c r="N793">
        <v>33683.866999999998</v>
      </c>
      <c r="O793" t="s">
        <v>87</v>
      </c>
      <c r="P793" t="s">
        <v>101</v>
      </c>
    </row>
    <row r="794" spans="1:16" x14ac:dyDescent="0.25">
      <c r="A794" s="2">
        <v>45032</v>
      </c>
      <c r="B794" t="s">
        <v>29</v>
      </c>
      <c r="C794" t="s">
        <v>57</v>
      </c>
      <c r="D794" t="s">
        <v>22</v>
      </c>
      <c r="E794" t="s">
        <v>13</v>
      </c>
      <c r="F794" t="s">
        <v>27</v>
      </c>
      <c r="G794" t="s">
        <v>46</v>
      </c>
      <c r="H794">
        <v>1</v>
      </c>
      <c r="I794">
        <v>1628.88</v>
      </c>
      <c r="J794">
        <v>1465.9920000000002</v>
      </c>
      <c r="K794">
        <v>162.88800000000003</v>
      </c>
      <c r="L794">
        <v>1628.88</v>
      </c>
      <c r="M794">
        <v>293.19839999999999</v>
      </c>
      <c r="N794">
        <v>1922.0784000000001</v>
      </c>
      <c r="O794" t="s">
        <v>87</v>
      </c>
      <c r="P794" t="s">
        <v>99</v>
      </c>
    </row>
    <row r="795" spans="1:16" x14ac:dyDescent="0.25">
      <c r="A795" s="2">
        <v>44976</v>
      </c>
      <c r="B795" t="s">
        <v>16</v>
      </c>
      <c r="C795" t="s">
        <v>54</v>
      </c>
      <c r="D795" t="s">
        <v>12</v>
      </c>
      <c r="E795" t="s">
        <v>18</v>
      </c>
      <c r="F795" t="s">
        <v>23</v>
      </c>
      <c r="G795" t="s">
        <v>24</v>
      </c>
      <c r="H795">
        <v>15</v>
      </c>
      <c r="I795">
        <v>2093.0300000000002</v>
      </c>
      <c r="J795">
        <v>28255.905000000002</v>
      </c>
      <c r="K795">
        <v>3139.5450000000001</v>
      </c>
      <c r="L795">
        <v>31395.45</v>
      </c>
      <c r="M795">
        <v>5651.1809999999996</v>
      </c>
      <c r="N795">
        <v>37046.631000000001</v>
      </c>
      <c r="O795" t="s">
        <v>87</v>
      </c>
      <c r="P795" t="s">
        <v>100</v>
      </c>
    </row>
    <row r="796" spans="1:16" x14ac:dyDescent="0.25">
      <c r="A796" s="2">
        <v>45110</v>
      </c>
      <c r="B796" t="s">
        <v>40</v>
      </c>
      <c r="C796" t="s">
        <v>61</v>
      </c>
      <c r="D796" t="s">
        <v>65</v>
      </c>
      <c r="E796" t="s">
        <v>64</v>
      </c>
      <c r="F796" t="s">
        <v>23</v>
      </c>
      <c r="G796" t="s">
        <v>39</v>
      </c>
      <c r="H796">
        <v>14</v>
      </c>
      <c r="I796">
        <v>2441.0700000000002</v>
      </c>
      <c r="J796">
        <v>30757.482000000004</v>
      </c>
      <c r="K796">
        <v>3417.4980000000005</v>
      </c>
      <c r="L796">
        <v>34174.980000000003</v>
      </c>
      <c r="M796">
        <v>6151.4964</v>
      </c>
      <c r="N796">
        <v>40326.4764</v>
      </c>
      <c r="O796" t="s">
        <v>87</v>
      </c>
      <c r="P796" t="s">
        <v>101</v>
      </c>
    </row>
    <row r="797" spans="1:16" x14ac:dyDescent="0.25">
      <c r="A797" s="2">
        <v>45089</v>
      </c>
      <c r="B797" t="s">
        <v>43</v>
      </c>
      <c r="C797" t="s">
        <v>59</v>
      </c>
      <c r="D797" t="s">
        <v>66</v>
      </c>
      <c r="E797" t="s">
        <v>41</v>
      </c>
      <c r="F797" t="s">
        <v>14</v>
      </c>
      <c r="G797" t="s">
        <v>51</v>
      </c>
      <c r="H797">
        <v>18</v>
      </c>
      <c r="I797">
        <v>134.66999999999999</v>
      </c>
      <c r="J797">
        <v>2181.654</v>
      </c>
      <c r="K797">
        <v>242.40600000000001</v>
      </c>
      <c r="L797">
        <v>2424.06</v>
      </c>
      <c r="M797">
        <v>436.33079999999995</v>
      </c>
      <c r="N797">
        <v>2860.3908000000001</v>
      </c>
      <c r="O797" t="s">
        <v>87</v>
      </c>
      <c r="P797" t="s">
        <v>66</v>
      </c>
    </row>
    <row r="798" spans="1:16" x14ac:dyDescent="0.25">
      <c r="A798" s="2">
        <v>45148</v>
      </c>
      <c r="B798" t="s">
        <v>16</v>
      </c>
      <c r="C798" t="s">
        <v>57</v>
      </c>
      <c r="D798" t="s">
        <v>22</v>
      </c>
      <c r="E798" t="s">
        <v>13</v>
      </c>
      <c r="F798" t="s">
        <v>32</v>
      </c>
      <c r="G798" t="s">
        <v>33</v>
      </c>
      <c r="H798">
        <v>8</v>
      </c>
      <c r="I798">
        <v>2518.13</v>
      </c>
      <c r="J798">
        <v>18130.536</v>
      </c>
      <c r="K798">
        <v>2014.5040000000001</v>
      </c>
      <c r="L798">
        <v>20145.04</v>
      </c>
      <c r="M798">
        <v>3626.1071999999999</v>
      </c>
      <c r="N798">
        <v>23771.147199999999</v>
      </c>
      <c r="O798" t="s">
        <v>87</v>
      </c>
      <c r="P798" t="s">
        <v>99</v>
      </c>
    </row>
    <row r="799" spans="1:16" x14ac:dyDescent="0.25">
      <c r="A799" s="2">
        <v>45143</v>
      </c>
      <c r="B799" t="s">
        <v>21</v>
      </c>
      <c r="C799" t="s">
        <v>61</v>
      </c>
      <c r="D799" t="s">
        <v>65</v>
      </c>
      <c r="E799" t="s">
        <v>64</v>
      </c>
      <c r="F799" t="s">
        <v>19</v>
      </c>
      <c r="G799" t="s">
        <v>48</v>
      </c>
      <c r="H799">
        <v>1</v>
      </c>
      <c r="I799">
        <v>2366.64</v>
      </c>
      <c r="J799">
        <v>2129.9760000000001</v>
      </c>
      <c r="K799">
        <v>236.66399999999999</v>
      </c>
      <c r="L799">
        <v>2366.64</v>
      </c>
      <c r="M799">
        <v>425.99519999999995</v>
      </c>
      <c r="N799">
        <v>2792.6351999999997</v>
      </c>
      <c r="O799" t="s">
        <v>87</v>
      </c>
      <c r="P799" t="s">
        <v>101</v>
      </c>
    </row>
    <row r="800" spans="1:16" x14ac:dyDescent="0.25">
      <c r="A800" s="2">
        <v>45264</v>
      </c>
      <c r="B800" t="s">
        <v>16</v>
      </c>
      <c r="C800" t="s">
        <v>26</v>
      </c>
      <c r="D800" t="s">
        <v>12</v>
      </c>
      <c r="E800" t="s">
        <v>18</v>
      </c>
      <c r="F800" t="s">
        <v>19</v>
      </c>
      <c r="G800" t="s">
        <v>20</v>
      </c>
      <c r="H800">
        <v>14</v>
      </c>
      <c r="I800">
        <v>3167.49</v>
      </c>
      <c r="J800">
        <v>39910.374000000003</v>
      </c>
      <c r="K800">
        <v>4434.4859999999999</v>
      </c>
      <c r="L800">
        <v>44344.86</v>
      </c>
      <c r="M800">
        <v>7982.0747999999994</v>
      </c>
      <c r="N800">
        <v>52326.934800000003</v>
      </c>
      <c r="O800" t="s">
        <v>87</v>
      </c>
      <c r="P800" t="s">
        <v>100</v>
      </c>
    </row>
    <row r="801" spans="1:16" x14ac:dyDescent="0.25">
      <c r="A801" s="2">
        <v>45058</v>
      </c>
      <c r="B801" t="s">
        <v>29</v>
      </c>
      <c r="C801" t="s">
        <v>26</v>
      </c>
      <c r="D801" t="s">
        <v>12</v>
      </c>
      <c r="E801" t="s">
        <v>18</v>
      </c>
      <c r="F801" t="s">
        <v>32</v>
      </c>
      <c r="G801" t="s">
        <v>36</v>
      </c>
      <c r="H801">
        <v>9</v>
      </c>
      <c r="I801">
        <v>109.56</v>
      </c>
      <c r="J801">
        <v>887.43600000000004</v>
      </c>
      <c r="K801">
        <v>98.603999999999999</v>
      </c>
      <c r="L801">
        <v>986.04</v>
      </c>
      <c r="M801">
        <v>177.48719999999997</v>
      </c>
      <c r="N801">
        <v>1163.5272</v>
      </c>
      <c r="O801" t="s">
        <v>87</v>
      </c>
      <c r="P801" t="s">
        <v>100</v>
      </c>
    </row>
    <row r="802" spans="1:16" x14ac:dyDescent="0.25">
      <c r="A802" s="2">
        <v>45079</v>
      </c>
      <c r="B802" t="s">
        <v>31</v>
      </c>
      <c r="C802" t="s">
        <v>61</v>
      </c>
      <c r="D802" t="s">
        <v>65</v>
      </c>
      <c r="E802" t="s">
        <v>64</v>
      </c>
      <c r="F802" t="s">
        <v>32</v>
      </c>
      <c r="G802" t="s">
        <v>50</v>
      </c>
      <c r="H802">
        <v>20</v>
      </c>
      <c r="I802">
        <v>652.87</v>
      </c>
      <c r="J802">
        <v>11751.66</v>
      </c>
      <c r="K802">
        <v>1305.74</v>
      </c>
      <c r="L802">
        <v>13057.4</v>
      </c>
      <c r="M802">
        <v>2350.3319999999999</v>
      </c>
      <c r="N802">
        <v>15407.732</v>
      </c>
      <c r="O802" t="s">
        <v>87</v>
      </c>
      <c r="P802" t="s">
        <v>101</v>
      </c>
    </row>
    <row r="803" spans="1:16" x14ac:dyDescent="0.25">
      <c r="A803" s="2">
        <v>45000</v>
      </c>
      <c r="B803" t="s">
        <v>29</v>
      </c>
      <c r="C803" t="s">
        <v>54</v>
      </c>
      <c r="D803" t="s">
        <v>12</v>
      </c>
      <c r="E803" t="s">
        <v>18</v>
      </c>
      <c r="F803" t="s">
        <v>23</v>
      </c>
      <c r="G803" t="s">
        <v>39</v>
      </c>
      <c r="H803">
        <v>4</v>
      </c>
      <c r="I803">
        <v>2563.65</v>
      </c>
      <c r="J803">
        <v>9229.1400000000012</v>
      </c>
      <c r="K803">
        <v>1025.46</v>
      </c>
      <c r="L803">
        <v>10254.6</v>
      </c>
      <c r="M803">
        <v>1845.828</v>
      </c>
      <c r="N803">
        <v>12100.428</v>
      </c>
      <c r="O803" t="s">
        <v>87</v>
      </c>
      <c r="P803" t="s">
        <v>100</v>
      </c>
    </row>
    <row r="804" spans="1:16" x14ac:dyDescent="0.25">
      <c r="A804" s="2">
        <v>44944</v>
      </c>
      <c r="B804" t="s">
        <v>25</v>
      </c>
      <c r="C804" t="s">
        <v>56</v>
      </c>
      <c r="D804" t="s">
        <v>12</v>
      </c>
      <c r="E804" t="s">
        <v>18</v>
      </c>
      <c r="F804" t="s">
        <v>27</v>
      </c>
      <c r="G804" t="s">
        <v>42</v>
      </c>
      <c r="H804">
        <v>2</v>
      </c>
      <c r="I804">
        <v>771.23</v>
      </c>
      <c r="J804">
        <v>1388.2140000000002</v>
      </c>
      <c r="K804">
        <v>154.24600000000001</v>
      </c>
      <c r="L804">
        <v>1542.46</v>
      </c>
      <c r="M804">
        <v>277.64280000000002</v>
      </c>
      <c r="N804">
        <v>1820.1028000000001</v>
      </c>
      <c r="O804" t="s">
        <v>87</v>
      </c>
      <c r="P804" t="s">
        <v>100</v>
      </c>
    </row>
    <row r="805" spans="1:16" x14ac:dyDescent="0.25">
      <c r="A805" s="2">
        <v>45137</v>
      </c>
      <c r="B805" t="s">
        <v>34</v>
      </c>
      <c r="C805" t="s">
        <v>55</v>
      </c>
      <c r="D805" t="s">
        <v>66</v>
      </c>
      <c r="E805" t="s">
        <v>41</v>
      </c>
      <c r="F805" t="s">
        <v>23</v>
      </c>
      <c r="G805" t="s">
        <v>39</v>
      </c>
      <c r="H805">
        <v>19</v>
      </c>
      <c r="I805">
        <v>2290.6799999999998</v>
      </c>
      <c r="J805">
        <v>39170.627999999997</v>
      </c>
      <c r="K805">
        <v>4352.2920000000004</v>
      </c>
      <c r="L805">
        <v>43522.92</v>
      </c>
      <c r="M805">
        <v>7834.1255999999994</v>
      </c>
      <c r="N805">
        <v>51357.045599999998</v>
      </c>
      <c r="O805" t="s">
        <v>87</v>
      </c>
      <c r="P805" t="s">
        <v>66</v>
      </c>
    </row>
    <row r="806" spans="1:16" x14ac:dyDescent="0.25">
      <c r="A806" s="2">
        <v>44950</v>
      </c>
      <c r="B806" t="s">
        <v>29</v>
      </c>
      <c r="C806" t="s">
        <v>62</v>
      </c>
      <c r="D806" t="s">
        <v>65</v>
      </c>
      <c r="E806" t="s">
        <v>64</v>
      </c>
      <c r="F806" t="s">
        <v>19</v>
      </c>
      <c r="G806" t="s">
        <v>30</v>
      </c>
      <c r="H806">
        <v>9</v>
      </c>
      <c r="I806">
        <v>4965.3</v>
      </c>
      <c r="J806">
        <v>40218.93</v>
      </c>
      <c r="K806">
        <v>4468.7699999999995</v>
      </c>
      <c r="L806">
        <v>44687.7</v>
      </c>
      <c r="M806">
        <v>8043.7859999999991</v>
      </c>
      <c r="N806">
        <v>52731.485999999997</v>
      </c>
      <c r="O806" t="s">
        <v>87</v>
      </c>
      <c r="P806" t="s">
        <v>101</v>
      </c>
    </row>
    <row r="807" spans="1:16" x14ac:dyDescent="0.25">
      <c r="A807" s="2">
        <v>45195</v>
      </c>
      <c r="B807" t="s">
        <v>25</v>
      </c>
      <c r="C807" t="s">
        <v>11</v>
      </c>
      <c r="D807" t="s">
        <v>22</v>
      </c>
      <c r="E807" t="s">
        <v>13</v>
      </c>
      <c r="F807" t="s">
        <v>32</v>
      </c>
      <c r="G807" t="s">
        <v>36</v>
      </c>
      <c r="H807">
        <v>4</v>
      </c>
      <c r="I807">
        <v>3684.5</v>
      </c>
      <c r="J807">
        <v>13264.2</v>
      </c>
      <c r="K807">
        <v>1473.8000000000002</v>
      </c>
      <c r="L807">
        <v>14738</v>
      </c>
      <c r="M807">
        <v>2652.8399999999997</v>
      </c>
      <c r="N807">
        <v>17390.84</v>
      </c>
      <c r="O807" t="s">
        <v>87</v>
      </c>
      <c r="P807" t="s">
        <v>99</v>
      </c>
    </row>
    <row r="808" spans="1:16" x14ac:dyDescent="0.25">
      <c r="A808" s="2">
        <v>45118</v>
      </c>
      <c r="B808" t="s">
        <v>21</v>
      </c>
      <c r="C808" t="s">
        <v>35</v>
      </c>
      <c r="D808" t="s">
        <v>65</v>
      </c>
      <c r="E808" t="s">
        <v>64</v>
      </c>
      <c r="F808" t="s">
        <v>27</v>
      </c>
      <c r="G808" t="s">
        <v>46</v>
      </c>
      <c r="H808">
        <v>14</v>
      </c>
      <c r="I808">
        <v>4566.12</v>
      </c>
      <c r="J808">
        <v>57533.112000000001</v>
      </c>
      <c r="K808">
        <v>6392.5680000000002</v>
      </c>
      <c r="L808">
        <v>63925.68</v>
      </c>
      <c r="M808">
        <v>11506.6224</v>
      </c>
      <c r="N808">
        <v>75432.3024</v>
      </c>
      <c r="O808" t="s">
        <v>87</v>
      </c>
      <c r="P808" t="s">
        <v>101</v>
      </c>
    </row>
    <row r="809" spans="1:16" x14ac:dyDescent="0.25">
      <c r="A809" s="2">
        <v>45254</v>
      </c>
      <c r="B809" t="s">
        <v>31</v>
      </c>
      <c r="C809" t="s">
        <v>56</v>
      </c>
      <c r="D809" t="s">
        <v>12</v>
      </c>
      <c r="E809" t="s">
        <v>18</v>
      </c>
      <c r="F809" t="s">
        <v>14</v>
      </c>
      <c r="G809" t="s">
        <v>53</v>
      </c>
      <c r="H809">
        <v>17</v>
      </c>
      <c r="I809">
        <v>2246.8200000000002</v>
      </c>
      <c r="J809">
        <v>34376.346000000005</v>
      </c>
      <c r="K809">
        <v>3819.5940000000005</v>
      </c>
      <c r="L809">
        <v>38195.94</v>
      </c>
      <c r="M809">
        <v>6875.2691999999997</v>
      </c>
      <c r="N809">
        <v>45071.209200000005</v>
      </c>
      <c r="O809" t="s">
        <v>87</v>
      </c>
      <c r="P809" t="s">
        <v>100</v>
      </c>
    </row>
    <row r="810" spans="1:16" x14ac:dyDescent="0.25">
      <c r="A810" s="2">
        <v>45089</v>
      </c>
      <c r="B810" t="s">
        <v>21</v>
      </c>
      <c r="C810" t="s">
        <v>26</v>
      </c>
      <c r="D810" t="s">
        <v>12</v>
      </c>
      <c r="E810" t="s">
        <v>18</v>
      </c>
      <c r="F810" t="s">
        <v>19</v>
      </c>
      <c r="G810" t="s">
        <v>20</v>
      </c>
      <c r="H810">
        <v>3</v>
      </c>
      <c r="I810">
        <v>215.21</v>
      </c>
      <c r="J810">
        <v>581.06700000000001</v>
      </c>
      <c r="K810">
        <v>64.563000000000002</v>
      </c>
      <c r="L810">
        <v>645.63</v>
      </c>
      <c r="M810">
        <v>116.21339999999999</v>
      </c>
      <c r="N810">
        <v>761.84339999999997</v>
      </c>
      <c r="O810" t="s">
        <v>87</v>
      </c>
      <c r="P810" t="s">
        <v>100</v>
      </c>
    </row>
    <row r="811" spans="1:16" x14ac:dyDescent="0.25">
      <c r="A811" s="2">
        <v>45289</v>
      </c>
      <c r="B811" t="s">
        <v>43</v>
      </c>
      <c r="C811" t="s">
        <v>54</v>
      </c>
      <c r="D811" t="s">
        <v>12</v>
      </c>
      <c r="E811" t="s">
        <v>18</v>
      </c>
      <c r="F811" t="s">
        <v>32</v>
      </c>
      <c r="G811" t="s">
        <v>33</v>
      </c>
      <c r="H811">
        <v>7</v>
      </c>
      <c r="I811">
        <v>1294.31</v>
      </c>
      <c r="J811">
        <v>8154.1530000000002</v>
      </c>
      <c r="K811">
        <v>906.01700000000005</v>
      </c>
      <c r="L811">
        <v>9060.17</v>
      </c>
      <c r="M811">
        <v>1630.8306</v>
      </c>
      <c r="N811">
        <v>10691.000599999999</v>
      </c>
      <c r="O811" t="s">
        <v>87</v>
      </c>
      <c r="P811" t="s">
        <v>100</v>
      </c>
    </row>
    <row r="812" spans="1:16" x14ac:dyDescent="0.25">
      <c r="A812" s="2">
        <v>45158</v>
      </c>
      <c r="B812" t="s">
        <v>29</v>
      </c>
      <c r="C812" t="s">
        <v>63</v>
      </c>
      <c r="D812" t="s">
        <v>65</v>
      </c>
      <c r="E812" t="s">
        <v>64</v>
      </c>
      <c r="F812" t="s">
        <v>27</v>
      </c>
      <c r="G812" t="s">
        <v>46</v>
      </c>
      <c r="H812">
        <v>9</v>
      </c>
      <c r="I812">
        <v>1558.74</v>
      </c>
      <c r="J812">
        <v>12625.794</v>
      </c>
      <c r="K812">
        <v>1402.866</v>
      </c>
      <c r="L812">
        <v>14028.66</v>
      </c>
      <c r="M812">
        <v>2525.1587999999997</v>
      </c>
      <c r="N812">
        <v>16553.818800000001</v>
      </c>
      <c r="O812" t="s">
        <v>87</v>
      </c>
      <c r="P812" t="s">
        <v>101</v>
      </c>
    </row>
    <row r="813" spans="1:16" x14ac:dyDescent="0.25">
      <c r="A813" s="2">
        <v>45009</v>
      </c>
      <c r="B813" t="s">
        <v>38</v>
      </c>
      <c r="C813" t="s">
        <v>17</v>
      </c>
      <c r="D813" t="s">
        <v>65</v>
      </c>
      <c r="E813" t="s">
        <v>64</v>
      </c>
      <c r="F813" t="s">
        <v>19</v>
      </c>
      <c r="G813" t="s">
        <v>52</v>
      </c>
      <c r="H813">
        <v>11</v>
      </c>
      <c r="I813">
        <v>4382.91</v>
      </c>
      <c r="J813">
        <v>43390.809000000001</v>
      </c>
      <c r="K813">
        <v>4821.201</v>
      </c>
      <c r="L813">
        <v>48212.01</v>
      </c>
      <c r="M813">
        <v>8678.1617999999999</v>
      </c>
      <c r="N813">
        <v>56890.171800000004</v>
      </c>
      <c r="O813" t="s">
        <v>87</v>
      </c>
      <c r="P813" t="s">
        <v>101</v>
      </c>
    </row>
    <row r="814" spans="1:16" x14ac:dyDescent="0.25">
      <c r="A814" s="2">
        <v>45138</v>
      </c>
      <c r="B814" t="s">
        <v>29</v>
      </c>
      <c r="C814" t="s">
        <v>26</v>
      </c>
      <c r="D814" t="s">
        <v>12</v>
      </c>
      <c r="E814" t="s">
        <v>18</v>
      </c>
      <c r="F814" t="s">
        <v>32</v>
      </c>
      <c r="G814" t="s">
        <v>49</v>
      </c>
      <c r="H814">
        <v>6</v>
      </c>
      <c r="I814">
        <v>4197.59</v>
      </c>
      <c r="J814">
        <v>22666.986000000001</v>
      </c>
      <c r="K814">
        <v>2518.5540000000001</v>
      </c>
      <c r="L814">
        <v>25185.54</v>
      </c>
      <c r="M814">
        <v>4533.3972000000003</v>
      </c>
      <c r="N814">
        <v>29718.9372</v>
      </c>
      <c r="O814" t="s">
        <v>87</v>
      </c>
      <c r="P814" t="s">
        <v>100</v>
      </c>
    </row>
    <row r="815" spans="1:16" x14ac:dyDescent="0.25">
      <c r="A815" s="2">
        <v>44961</v>
      </c>
      <c r="B815" t="s">
        <v>10</v>
      </c>
      <c r="C815" t="s">
        <v>56</v>
      </c>
      <c r="D815" t="s">
        <v>12</v>
      </c>
      <c r="E815" t="s">
        <v>18</v>
      </c>
      <c r="F815" t="s">
        <v>19</v>
      </c>
      <c r="G815" t="s">
        <v>52</v>
      </c>
      <c r="H815">
        <v>2</v>
      </c>
      <c r="I815">
        <v>4137.49</v>
      </c>
      <c r="J815">
        <v>7447.482</v>
      </c>
      <c r="K815">
        <v>827.49800000000005</v>
      </c>
      <c r="L815">
        <v>8274.98</v>
      </c>
      <c r="M815">
        <v>1489.4963999999998</v>
      </c>
      <c r="N815">
        <v>9764.4763999999996</v>
      </c>
      <c r="O815" t="s">
        <v>87</v>
      </c>
      <c r="P815" t="s">
        <v>100</v>
      </c>
    </row>
    <row r="816" spans="1:16" x14ac:dyDescent="0.25">
      <c r="A816" s="2">
        <v>45242</v>
      </c>
      <c r="B816" t="s">
        <v>34</v>
      </c>
      <c r="C816" t="s">
        <v>61</v>
      </c>
      <c r="D816" t="s">
        <v>65</v>
      </c>
      <c r="E816" t="s">
        <v>64</v>
      </c>
      <c r="F816" t="s">
        <v>32</v>
      </c>
      <c r="G816" t="s">
        <v>49</v>
      </c>
      <c r="H816">
        <v>16</v>
      </c>
      <c r="I816">
        <v>1598.06</v>
      </c>
      <c r="J816">
        <v>23012.063999999998</v>
      </c>
      <c r="K816">
        <v>2556.8960000000002</v>
      </c>
      <c r="L816">
        <v>25568.959999999999</v>
      </c>
      <c r="M816">
        <v>4602.4128000000001</v>
      </c>
      <c r="N816">
        <v>30171.372799999997</v>
      </c>
      <c r="O816" t="s">
        <v>87</v>
      </c>
      <c r="P816" t="s">
        <v>101</v>
      </c>
    </row>
    <row r="817" spans="1:16" x14ac:dyDescent="0.25">
      <c r="A817" s="2">
        <v>45250</v>
      </c>
      <c r="B817" t="s">
        <v>16</v>
      </c>
      <c r="C817" t="s">
        <v>26</v>
      </c>
      <c r="D817" t="s">
        <v>12</v>
      </c>
      <c r="E817" t="s">
        <v>18</v>
      </c>
      <c r="F817" t="s">
        <v>14</v>
      </c>
      <c r="G817" t="s">
        <v>53</v>
      </c>
      <c r="H817">
        <v>3</v>
      </c>
      <c r="I817">
        <v>3044.02</v>
      </c>
      <c r="J817">
        <v>8218.8539999999994</v>
      </c>
      <c r="K817">
        <v>913.20600000000002</v>
      </c>
      <c r="L817">
        <v>9132.06</v>
      </c>
      <c r="M817">
        <v>1643.7707999999998</v>
      </c>
      <c r="N817">
        <v>10775.8308</v>
      </c>
      <c r="O817" t="s">
        <v>87</v>
      </c>
      <c r="P817" t="s">
        <v>100</v>
      </c>
    </row>
    <row r="818" spans="1:16" x14ac:dyDescent="0.25">
      <c r="A818" s="2">
        <v>44935</v>
      </c>
      <c r="B818" t="s">
        <v>10</v>
      </c>
      <c r="C818" t="s">
        <v>59</v>
      </c>
      <c r="D818" t="s">
        <v>66</v>
      </c>
      <c r="E818" t="s">
        <v>41</v>
      </c>
      <c r="F818" t="s">
        <v>23</v>
      </c>
      <c r="G818" t="s">
        <v>47</v>
      </c>
      <c r="H818">
        <v>6</v>
      </c>
      <c r="I818">
        <v>4270.03</v>
      </c>
      <c r="J818">
        <v>23058.162</v>
      </c>
      <c r="K818">
        <v>2562.018</v>
      </c>
      <c r="L818">
        <v>25620.18</v>
      </c>
      <c r="M818">
        <v>4611.6323999999995</v>
      </c>
      <c r="N818">
        <v>30231.812399999999</v>
      </c>
      <c r="O818" t="s">
        <v>87</v>
      </c>
      <c r="P818" t="s">
        <v>66</v>
      </c>
    </row>
    <row r="819" spans="1:16" x14ac:dyDescent="0.25">
      <c r="A819" s="2">
        <v>45179</v>
      </c>
      <c r="B819" t="s">
        <v>16</v>
      </c>
      <c r="C819" t="s">
        <v>59</v>
      </c>
      <c r="D819" t="s">
        <v>66</v>
      </c>
      <c r="E819" t="s">
        <v>41</v>
      </c>
      <c r="F819" t="s">
        <v>14</v>
      </c>
      <c r="G819" t="s">
        <v>53</v>
      </c>
      <c r="H819">
        <v>13</v>
      </c>
      <c r="I819">
        <v>298.08999999999997</v>
      </c>
      <c r="J819">
        <v>3487.6530000000002</v>
      </c>
      <c r="K819">
        <v>387.51700000000005</v>
      </c>
      <c r="L819">
        <v>3875.17</v>
      </c>
      <c r="M819">
        <v>697.53059999999994</v>
      </c>
      <c r="N819">
        <v>4572.7006000000001</v>
      </c>
      <c r="O819" t="s">
        <v>87</v>
      </c>
      <c r="P819" t="s">
        <v>66</v>
      </c>
    </row>
    <row r="820" spans="1:16" x14ac:dyDescent="0.25">
      <c r="A820" s="2">
        <v>45090</v>
      </c>
      <c r="B820" t="s">
        <v>34</v>
      </c>
      <c r="C820" t="s">
        <v>63</v>
      </c>
      <c r="D820" t="s">
        <v>65</v>
      </c>
      <c r="E820" t="s">
        <v>64</v>
      </c>
      <c r="F820" t="s">
        <v>32</v>
      </c>
      <c r="G820" t="s">
        <v>36</v>
      </c>
      <c r="H820">
        <v>3</v>
      </c>
      <c r="I820">
        <v>1453.68</v>
      </c>
      <c r="J820">
        <v>3924.9360000000001</v>
      </c>
      <c r="K820">
        <v>436.10400000000004</v>
      </c>
      <c r="L820">
        <v>4361.04</v>
      </c>
      <c r="M820">
        <v>784.98719999999992</v>
      </c>
      <c r="N820">
        <v>5146.0271999999995</v>
      </c>
      <c r="O820" t="s">
        <v>87</v>
      </c>
      <c r="P820" t="s">
        <v>101</v>
      </c>
    </row>
    <row r="821" spans="1:16" x14ac:dyDescent="0.25">
      <c r="A821" s="2">
        <v>45129</v>
      </c>
      <c r="B821" t="s">
        <v>40</v>
      </c>
      <c r="C821" t="s">
        <v>61</v>
      </c>
      <c r="D821" t="s">
        <v>65</v>
      </c>
      <c r="E821" t="s">
        <v>64</v>
      </c>
      <c r="F821" t="s">
        <v>19</v>
      </c>
      <c r="G821" t="s">
        <v>48</v>
      </c>
      <c r="H821">
        <v>4</v>
      </c>
      <c r="I821">
        <v>1009.78</v>
      </c>
      <c r="J821">
        <v>3635.2080000000001</v>
      </c>
      <c r="K821">
        <v>403.91200000000003</v>
      </c>
      <c r="L821">
        <v>4039.12</v>
      </c>
      <c r="M821">
        <v>727.0415999999999</v>
      </c>
      <c r="N821">
        <v>4766.1615999999995</v>
      </c>
      <c r="O821" t="s">
        <v>87</v>
      </c>
      <c r="P821" t="s">
        <v>101</v>
      </c>
    </row>
    <row r="822" spans="1:16" x14ac:dyDescent="0.25">
      <c r="A822" s="2">
        <v>45203</v>
      </c>
      <c r="B822" t="s">
        <v>10</v>
      </c>
      <c r="C822" t="s">
        <v>55</v>
      </c>
      <c r="D822" t="s">
        <v>66</v>
      </c>
      <c r="E822" t="s">
        <v>41</v>
      </c>
      <c r="F822" t="s">
        <v>32</v>
      </c>
      <c r="G822" t="s">
        <v>33</v>
      </c>
      <c r="H822">
        <v>12</v>
      </c>
      <c r="I822">
        <v>231.07</v>
      </c>
      <c r="J822">
        <v>2495.556</v>
      </c>
      <c r="K822">
        <v>277.28400000000005</v>
      </c>
      <c r="L822">
        <v>2772.84</v>
      </c>
      <c r="M822">
        <v>499.1112</v>
      </c>
      <c r="N822">
        <v>3271.9512</v>
      </c>
      <c r="O822" t="s">
        <v>87</v>
      </c>
      <c r="P822" t="s">
        <v>66</v>
      </c>
    </row>
    <row r="823" spans="1:16" x14ac:dyDescent="0.25">
      <c r="A823" s="2">
        <v>44963</v>
      </c>
      <c r="B823" t="s">
        <v>10</v>
      </c>
      <c r="C823" t="s">
        <v>11</v>
      </c>
      <c r="D823" t="s">
        <v>22</v>
      </c>
      <c r="E823" t="s">
        <v>13</v>
      </c>
      <c r="F823" t="s">
        <v>32</v>
      </c>
      <c r="G823" t="s">
        <v>36</v>
      </c>
      <c r="H823">
        <v>12</v>
      </c>
      <c r="I823">
        <v>1410.03</v>
      </c>
      <c r="J823">
        <v>15228.324000000001</v>
      </c>
      <c r="K823">
        <v>1692.0360000000001</v>
      </c>
      <c r="L823">
        <v>16920.36</v>
      </c>
      <c r="M823">
        <v>3045.6648</v>
      </c>
      <c r="N823">
        <v>19966.024799999999</v>
      </c>
      <c r="O823" t="s">
        <v>87</v>
      </c>
      <c r="P823" t="s">
        <v>99</v>
      </c>
    </row>
    <row r="824" spans="1:16" x14ac:dyDescent="0.25">
      <c r="A824" s="2">
        <v>44966</v>
      </c>
      <c r="B824" t="s">
        <v>34</v>
      </c>
      <c r="C824" t="s">
        <v>59</v>
      </c>
      <c r="D824" t="s">
        <v>66</v>
      </c>
      <c r="E824" t="s">
        <v>41</v>
      </c>
      <c r="F824" t="s">
        <v>19</v>
      </c>
      <c r="G824" t="s">
        <v>30</v>
      </c>
      <c r="H824">
        <v>6</v>
      </c>
      <c r="I824">
        <v>1610.91</v>
      </c>
      <c r="J824">
        <v>8698.9139999999989</v>
      </c>
      <c r="K824">
        <v>966.54599999999994</v>
      </c>
      <c r="L824">
        <v>9665.4599999999991</v>
      </c>
      <c r="M824">
        <v>1739.7827999999997</v>
      </c>
      <c r="N824">
        <v>11405.242799999998</v>
      </c>
      <c r="O824" t="s">
        <v>87</v>
      </c>
      <c r="P824" t="s">
        <v>66</v>
      </c>
    </row>
    <row r="825" spans="1:16" x14ac:dyDescent="0.25">
      <c r="A825" s="2">
        <v>44964</v>
      </c>
      <c r="B825" t="s">
        <v>38</v>
      </c>
      <c r="C825" t="s">
        <v>62</v>
      </c>
      <c r="D825" t="s">
        <v>65</v>
      </c>
      <c r="E825" t="s">
        <v>64</v>
      </c>
      <c r="F825" t="s">
        <v>19</v>
      </c>
      <c r="G825" t="s">
        <v>30</v>
      </c>
      <c r="H825">
        <v>7</v>
      </c>
      <c r="I825">
        <v>3396.62</v>
      </c>
      <c r="J825">
        <v>21398.706000000002</v>
      </c>
      <c r="K825">
        <v>2377.634</v>
      </c>
      <c r="L825">
        <v>23776.34</v>
      </c>
      <c r="M825">
        <v>4279.7411999999995</v>
      </c>
      <c r="N825">
        <v>28056.081200000001</v>
      </c>
      <c r="O825" t="s">
        <v>87</v>
      </c>
      <c r="P825" t="s">
        <v>101</v>
      </c>
    </row>
    <row r="826" spans="1:16" x14ac:dyDescent="0.25">
      <c r="A826" s="2">
        <v>45115</v>
      </c>
      <c r="B826" t="s">
        <v>43</v>
      </c>
      <c r="C826" t="s">
        <v>62</v>
      </c>
      <c r="D826" t="s">
        <v>65</v>
      </c>
      <c r="E826" t="s">
        <v>64</v>
      </c>
      <c r="F826" t="s">
        <v>19</v>
      </c>
      <c r="G826" t="s">
        <v>48</v>
      </c>
      <c r="H826">
        <v>14</v>
      </c>
      <c r="I826">
        <v>4164.33</v>
      </c>
      <c r="J826">
        <v>52470.558000000005</v>
      </c>
      <c r="K826">
        <v>5830.0620000000008</v>
      </c>
      <c r="L826">
        <v>58300.62</v>
      </c>
      <c r="M826">
        <v>10494.1116</v>
      </c>
      <c r="N826">
        <v>68794.731599999999</v>
      </c>
      <c r="O826" t="s">
        <v>87</v>
      </c>
      <c r="P826" t="s">
        <v>101</v>
      </c>
    </row>
    <row r="827" spans="1:16" x14ac:dyDescent="0.25">
      <c r="A827" s="2">
        <v>44939</v>
      </c>
      <c r="B827" t="s">
        <v>43</v>
      </c>
      <c r="C827" t="s">
        <v>11</v>
      </c>
      <c r="D827" t="s">
        <v>22</v>
      </c>
      <c r="E827" t="s">
        <v>13</v>
      </c>
      <c r="F827" t="s">
        <v>14</v>
      </c>
      <c r="G827" t="s">
        <v>45</v>
      </c>
      <c r="H827">
        <v>12</v>
      </c>
      <c r="I827">
        <v>4414.2700000000004</v>
      </c>
      <c r="J827">
        <v>47674.116000000002</v>
      </c>
      <c r="K827">
        <v>5297.1239999999998</v>
      </c>
      <c r="L827">
        <v>52971.24</v>
      </c>
      <c r="M827">
        <v>9534.8231999999989</v>
      </c>
      <c r="N827">
        <v>62506.063199999997</v>
      </c>
      <c r="O827" t="s">
        <v>87</v>
      </c>
      <c r="P827" t="s">
        <v>99</v>
      </c>
    </row>
    <row r="828" spans="1:16" x14ac:dyDescent="0.25">
      <c r="A828" s="2">
        <v>45125</v>
      </c>
      <c r="B828" t="s">
        <v>38</v>
      </c>
      <c r="C828" t="s">
        <v>56</v>
      </c>
      <c r="D828" t="s">
        <v>12</v>
      </c>
      <c r="E828" t="s">
        <v>18</v>
      </c>
      <c r="F828" t="s">
        <v>23</v>
      </c>
      <c r="G828" t="s">
        <v>47</v>
      </c>
      <c r="H828">
        <v>13</v>
      </c>
      <c r="I828">
        <v>3101.42</v>
      </c>
      <c r="J828">
        <v>36286.614000000001</v>
      </c>
      <c r="K828">
        <v>4031.846</v>
      </c>
      <c r="L828">
        <v>40318.46</v>
      </c>
      <c r="M828">
        <v>7257.3227999999999</v>
      </c>
      <c r="N828">
        <v>47575.782800000001</v>
      </c>
      <c r="O828" t="s">
        <v>87</v>
      </c>
      <c r="P828" t="s">
        <v>100</v>
      </c>
    </row>
    <row r="829" spans="1:16" x14ac:dyDescent="0.25">
      <c r="A829" s="2">
        <v>45158</v>
      </c>
      <c r="B829" t="s">
        <v>40</v>
      </c>
      <c r="C829" t="s">
        <v>55</v>
      </c>
      <c r="D829" t="s">
        <v>66</v>
      </c>
      <c r="E829" t="s">
        <v>41</v>
      </c>
      <c r="F829" t="s">
        <v>19</v>
      </c>
      <c r="G829" t="s">
        <v>52</v>
      </c>
      <c r="H829">
        <v>18</v>
      </c>
      <c r="I829">
        <v>3002.55</v>
      </c>
      <c r="J829">
        <v>48641.310000000005</v>
      </c>
      <c r="K829">
        <v>5404.59</v>
      </c>
      <c r="L829">
        <v>54045.9</v>
      </c>
      <c r="M829">
        <v>9728.2620000000006</v>
      </c>
      <c r="N829">
        <v>63774.162000000004</v>
      </c>
      <c r="O829" t="s">
        <v>87</v>
      </c>
      <c r="P829" t="s">
        <v>66</v>
      </c>
    </row>
    <row r="830" spans="1:16" x14ac:dyDescent="0.25">
      <c r="A830" s="2">
        <v>44962</v>
      </c>
      <c r="B830" t="s">
        <v>10</v>
      </c>
      <c r="C830" t="s">
        <v>58</v>
      </c>
      <c r="D830" t="s">
        <v>12</v>
      </c>
      <c r="E830" t="s">
        <v>18</v>
      </c>
      <c r="F830" t="s">
        <v>14</v>
      </c>
      <c r="G830" t="s">
        <v>15</v>
      </c>
      <c r="H830">
        <v>13</v>
      </c>
      <c r="I830">
        <v>2098.65</v>
      </c>
      <c r="J830">
        <v>24554.205000000002</v>
      </c>
      <c r="K830">
        <v>2728.2450000000003</v>
      </c>
      <c r="L830">
        <v>27282.45</v>
      </c>
      <c r="M830">
        <v>4910.8410000000003</v>
      </c>
      <c r="N830">
        <v>32193.291000000001</v>
      </c>
      <c r="O830" t="s">
        <v>87</v>
      </c>
      <c r="P830" t="s">
        <v>100</v>
      </c>
    </row>
    <row r="831" spans="1:16" x14ac:dyDescent="0.25">
      <c r="A831" s="2">
        <v>45205</v>
      </c>
      <c r="B831" t="s">
        <v>38</v>
      </c>
      <c r="C831" t="s">
        <v>60</v>
      </c>
      <c r="D831" t="s">
        <v>12</v>
      </c>
      <c r="E831" t="s">
        <v>18</v>
      </c>
      <c r="F831" t="s">
        <v>32</v>
      </c>
      <c r="G831" t="s">
        <v>49</v>
      </c>
      <c r="H831">
        <v>5</v>
      </c>
      <c r="I831">
        <v>4106.79</v>
      </c>
      <c r="J831">
        <v>18480.555</v>
      </c>
      <c r="K831">
        <v>2053.395</v>
      </c>
      <c r="L831">
        <v>20533.95</v>
      </c>
      <c r="M831">
        <v>3696.1109999999999</v>
      </c>
      <c r="N831">
        <v>24230.061000000002</v>
      </c>
      <c r="O831" t="s">
        <v>87</v>
      </c>
      <c r="P831" t="s">
        <v>100</v>
      </c>
    </row>
    <row r="832" spans="1:16" x14ac:dyDescent="0.25">
      <c r="A832" s="2">
        <v>45077</v>
      </c>
      <c r="B832" t="s">
        <v>25</v>
      </c>
      <c r="C832" t="s">
        <v>61</v>
      </c>
      <c r="D832" t="s">
        <v>65</v>
      </c>
      <c r="E832" t="s">
        <v>64</v>
      </c>
      <c r="F832" t="s">
        <v>23</v>
      </c>
      <c r="G832" t="s">
        <v>24</v>
      </c>
      <c r="H832">
        <v>1</v>
      </c>
      <c r="I832">
        <v>3041.26</v>
      </c>
      <c r="J832">
        <v>2737.1340000000005</v>
      </c>
      <c r="K832">
        <v>304.12600000000003</v>
      </c>
      <c r="L832">
        <v>3041.26</v>
      </c>
      <c r="M832">
        <v>547.42680000000007</v>
      </c>
      <c r="N832">
        <v>3588.6868000000004</v>
      </c>
      <c r="O832" t="s">
        <v>87</v>
      </c>
      <c r="P832" t="s">
        <v>101</v>
      </c>
    </row>
    <row r="833" spans="1:16" x14ac:dyDescent="0.25">
      <c r="A833" s="2">
        <v>45248</v>
      </c>
      <c r="B833" t="s">
        <v>25</v>
      </c>
      <c r="C833" t="s">
        <v>26</v>
      </c>
      <c r="D833" t="s">
        <v>12</v>
      </c>
      <c r="E833" t="s">
        <v>18</v>
      </c>
      <c r="F833" t="s">
        <v>19</v>
      </c>
      <c r="G833" t="s">
        <v>30</v>
      </c>
      <c r="H833">
        <v>7</v>
      </c>
      <c r="I833">
        <v>4514.21</v>
      </c>
      <c r="J833">
        <v>28439.523000000001</v>
      </c>
      <c r="K833">
        <v>3159.9470000000001</v>
      </c>
      <c r="L833">
        <v>31599.47</v>
      </c>
      <c r="M833">
        <v>5687.9045999999998</v>
      </c>
      <c r="N833">
        <v>37287.374600000003</v>
      </c>
      <c r="O833" t="s">
        <v>87</v>
      </c>
      <c r="P833" t="s">
        <v>100</v>
      </c>
    </row>
    <row r="834" spans="1:16" x14ac:dyDescent="0.25">
      <c r="A834" s="2">
        <v>45006</v>
      </c>
      <c r="B834" t="s">
        <v>43</v>
      </c>
      <c r="C834" t="s">
        <v>56</v>
      </c>
      <c r="D834" t="s">
        <v>12</v>
      </c>
      <c r="E834" t="s">
        <v>18</v>
      </c>
      <c r="F834" t="s">
        <v>23</v>
      </c>
      <c r="G834" t="s">
        <v>24</v>
      </c>
      <c r="H834">
        <v>18</v>
      </c>
      <c r="I834">
        <v>2971.68</v>
      </c>
      <c r="J834">
        <v>48141.216</v>
      </c>
      <c r="K834">
        <v>5349.0240000000003</v>
      </c>
      <c r="L834">
        <v>53490.239999999998</v>
      </c>
      <c r="M834">
        <v>9628.243199999999</v>
      </c>
      <c r="N834">
        <v>63118.483199999995</v>
      </c>
      <c r="O834" t="s">
        <v>87</v>
      </c>
      <c r="P834" t="s">
        <v>100</v>
      </c>
    </row>
    <row r="835" spans="1:16" x14ac:dyDescent="0.25">
      <c r="A835" s="2">
        <v>45161</v>
      </c>
      <c r="B835" t="s">
        <v>34</v>
      </c>
      <c r="C835" t="s">
        <v>57</v>
      </c>
      <c r="D835" t="s">
        <v>22</v>
      </c>
      <c r="E835" t="s">
        <v>13</v>
      </c>
      <c r="F835" t="s">
        <v>27</v>
      </c>
      <c r="G835" t="s">
        <v>28</v>
      </c>
      <c r="H835">
        <v>6</v>
      </c>
      <c r="I835">
        <v>2263.36</v>
      </c>
      <c r="J835">
        <v>12222.144</v>
      </c>
      <c r="K835">
        <v>1358.0160000000001</v>
      </c>
      <c r="L835">
        <v>13580.16</v>
      </c>
      <c r="M835">
        <v>2444.4287999999997</v>
      </c>
      <c r="N835">
        <v>16024.5888</v>
      </c>
      <c r="O835" t="s">
        <v>87</v>
      </c>
      <c r="P835" t="s">
        <v>99</v>
      </c>
    </row>
    <row r="836" spans="1:16" x14ac:dyDescent="0.25">
      <c r="A836" s="2">
        <v>45059</v>
      </c>
      <c r="B836" t="s">
        <v>10</v>
      </c>
      <c r="C836" t="s">
        <v>17</v>
      </c>
      <c r="D836" t="s">
        <v>65</v>
      </c>
      <c r="E836" t="s">
        <v>64</v>
      </c>
      <c r="F836" t="s">
        <v>14</v>
      </c>
      <c r="G836" t="s">
        <v>51</v>
      </c>
      <c r="H836">
        <v>8</v>
      </c>
      <c r="I836">
        <v>3859.28</v>
      </c>
      <c r="J836">
        <v>27786.816000000003</v>
      </c>
      <c r="K836">
        <v>3087.4240000000004</v>
      </c>
      <c r="L836">
        <v>30874.240000000002</v>
      </c>
      <c r="M836">
        <v>5557.3631999999998</v>
      </c>
      <c r="N836">
        <v>36431.603199999998</v>
      </c>
      <c r="O836" t="s">
        <v>87</v>
      </c>
      <c r="P836" t="s">
        <v>101</v>
      </c>
    </row>
    <row r="837" spans="1:16" x14ac:dyDescent="0.25">
      <c r="A837" s="2">
        <v>45061</v>
      </c>
      <c r="B837" t="s">
        <v>38</v>
      </c>
      <c r="C837" t="s">
        <v>11</v>
      </c>
      <c r="D837" t="s">
        <v>22</v>
      </c>
      <c r="E837" t="s">
        <v>13</v>
      </c>
      <c r="F837" t="s">
        <v>14</v>
      </c>
      <c r="G837" t="s">
        <v>53</v>
      </c>
      <c r="H837">
        <v>14</v>
      </c>
      <c r="I837">
        <v>3044.71</v>
      </c>
      <c r="J837">
        <v>38363.346000000005</v>
      </c>
      <c r="K837">
        <v>4262.5940000000001</v>
      </c>
      <c r="L837">
        <v>42625.94</v>
      </c>
      <c r="M837">
        <v>7672.6692000000003</v>
      </c>
      <c r="N837">
        <v>50298.609200000006</v>
      </c>
      <c r="O837" t="s">
        <v>87</v>
      </c>
      <c r="P837" t="s">
        <v>99</v>
      </c>
    </row>
    <row r="838" spans="1:16" x14ac:dyDescent="0.25">
      <c r="A838" s="2">
        <v>45105</v>
      </c>
      <c r="B838" t="s">
        <v>25</v>
      </c>
      <c r="C838" t="s">
        <v>62</v>
      </c>
      <c r="D838" t="s">
        <v>65</v>
      </c>
      <c r="E838" t="s">
        <v>64</v>
      </c>
      <c r="F838" t="s">
        <v>19</v>
      </c>
      <c r="G838" t="s">
        <v>48</v>
      </c>
      <c r="H838">
        <v>11</v>
      </c>
      <c r="I838">
        <v>4653.38</v>
      </c>
      <c r="J838">
        <v>46068.462</v>
      </c>
      <c r="K838">
        <v>5118.7180000000008</v>
      </c>
      <c r="L838">
        <v>51187.18</v>
      </c>
      <c r="M838">
        <v>9213.6923999999999</v>
      </c>
      <c r="N838">
        <v>60400.8724</v>
      </c>
      <c r="O838" t="s">
        <v>87</v>
      </c>
      <c r="P838" t="s">
        <v>101</v>
      </c>
    </row>
    <row r="839" spans="1:16" x14ac:dyDescent="0.25">
      <c r="A839" s="2">
        <v>44964</v>
      </c>
      <c r="B839" t="s">
        <v>34</v>
      </c>
      <c r="C839" t="s">
        <v>57</v>
      </c>
      <c r="D839" t="s">
        <v>22</v>
      </c>
      <c r="E839" t="s">
        <v>13</v>
      </c>
      <c r="F839" t="s">
        <v>14</v>
      </c>
      <c r="G839" t="s">
        <v>53</v>
      </c>
      <c r="H839">
        <v>9</v>
      </c>
      <c r="I839">
        <v>3425.59</v>
      </c>
      <c r="J839">
        <v>27747.279000000002</v>
      </c>
      <c r="K839">
        <v>3083.0310000000004</v>
      </c>
      <c r="L839">
        <v>30830.31</v>
      </c>
      <c r="M839">
        <v>5549.4557999999997</v>
      </c>
      <c r="N839">
        <v>36379.765800000001</v>
      </c>
      <c r="O839" t="s">
        <v>87</v>
      </c>
      <c r="P839" t="s">
        <v>99</v>
      </c>
    </row>
    <row r="840" spans="1:16" x14ac:dyDescent="0.25">
      <c r="A840" s="2">
        <v>45134</v>
      </c>
      <c r="B840" t="s">
        <v>10</v>
      </c>
      <c r="C840" t="s">
        <v>26</v>
      </c>
      <c r="D840" t="s">
        <v>12</v>
      </c>
      <c r="E840" t="s">
        <v>18</v>
      </c>
      <c r="F840" t="s">
        <v>23</v>
      </c>
      <c r="G840" t="s">
        <v>24</v>
      </c>
      <c r="H840">
        <v>15</v>
      </c>
      <c r="I840">
        <v>4671.6899999999996</v>
      </c>
      <c r="J840">
        <v>63067.81500000001</v>
      </c>
      <c r="K840">
        <v>7007.5350000000008</v>
      </c>
      <c r="L840">
        <v>70075.350000000006</v>
      </c>
      <c r="M840">
        <v>12613.563</v>
      </c>
      <c r="N840">
        <v>82688.913</v>
      </c>
      <c r="O840" t="s">
        <v>87</v>
      </c>
      <c r="P840" t="s">
        <v>100</v>
      </c>
    </row>
    <row r="841" spans="1:16" x14ac:dyDescent="0.25">
      <c r="A841" s="2">
        <v>45186</v>
      </c>
      <c r="B841" t="s">
        <v>16</v>
      </c>
      <c r="C841" t="s">
        <v>59</v>
      </c>
      <c r="D841" t="s">
        <v>66</v>
      </c>
      <c r="E841" t="s">
        <v>41</v>
      </c>
      <c r="F841" t="s">
        <v>19</v>
      </c>
      <c r="G841" t="s">
        <v>52</v>
      </c>
      <c r="H841">
        <v>5</v>
      </c>
      <c r="I841">
        <v>4600.38</v>
      </c>
      <c r="J841">
        <v>20701.710000000003</v>
      </c>
      <c r="K841">
        <v>2300.19</v>
      </c>
      <c r="L841">
        <v>23001.9</v>
      </c>
      <c r="M841">
        <v>4140.3420000000006</v>
      </c>
      <c r="N841">
        <v>27142.242000000002</v>
      </c>
      <c r="O841" t="s">
        <v>87</v>
      </c>
      <c r="P841" t="s">
        <v>66</v>
      </c>
    </row>
    <row r="842" spans="1:16" x14ac:dyDescent="0.25">
      <c r="A842" s="2">
        <v>45088</v>
      </c>
      <c r="B842" t="s">
        <v>40</v>
      </c>
      <c r="C842" t="s">
        <v>56</v>
      </c>
      <c r="D842" t="s">
        <v>12</v>
      </c>
      <c r="E842" t="s">
        <v>18</v>
      </c>
      <c r="F842" t="s">
        <v>27</v>
      </c>
      <c r="G842" t="s">
        <v>46</v>
      </c>
      <c r="H842">
        <v>19</v>
      </c>
      <c r="I842">
        <v>2183.09</v>
      </c>
      <c r="J842">
        <v>37330.839</v>
      </c>
      <c r="K842">
        <v>4147.8710000000001</v>
      </c>
      <c r="L842">
        <v>41478.71</v>
      </c>
      <c r="M842">
        <v>7466.1677999999993</v>
      </c>
      <c r="N842">
        <v>48944.877800000002</v>
      </c>
      <c r="O842" t="s">
        <v>87</v>
      </c>
      <c r="P842" t="s">
        <v>100</v>
      </c>
    </row>
    <row r="843" spans="1:16" x14ac:dyDescent="0.25">
      <c r="A843" s="2">
        <v>45280</v>
      </c>
      <c r="B843" t="s">
        <v>34</v>
      </c>
      <c r="C843" t="s">
        <v>55</v>
      </c>
      <c r="D843" t="s">
        <v>66</v>
      </c>
      <c r="E843" t="s">
        <v>41</v>
      </c>
      <c r="F843" t="s">
        <v>32</v>
      </c>
      <c r="G843" t="s">
        <v>36</v>
      </c>
      <c r="H843">
        <v>8</v>
      </c>
      <c r="I843">
        <v>1850.8</v>
      </c>
      <c r="J843">
        <v>13325.76</v>
      </c>
      <c r="K843">
        <v>1480.64</v>
      </c>
      <c r="L843">
        <v>14806.4</v>
      </c>
      <c r="M843">
        <v>2665.152</v>
      </c>
      <c r="N843">
        <v>17471.552</v>
      </c>
      <c r="O843" t="s">
        <v>87</v>
      </c>
      <c r="P843" t="s">
        <v>66</v>
      </c>
    </row>
    <row r="844" spans="1:16" x14ac:dyDescent="0.25">
      <c r="A844" s="2">
        <v>45272</v>
      </c>
      <c r="B844" t="s">
        <v>16</v>
      </c>
      <c r="C844" t="s">
        <v>61</v>
      </c>
      <c r="D844" t="s">
        <v>65</v>
      </c>
      <c r="E844" t="s">
        <v>64</v>
      </c>
      <c r="F844" t="s">
        <v>32</v>
      </c>
      <c r="G844" t="s">
        <v>49</v>
      </c>
      <c r="H844">
        <v>12</v>
      </c>
      <c r="I844">
        <v>3695.68</v>
      </c>
      <c r="J844">
        <v>39913.344000000005</v>
      </c>
      <c r="K844">
        <v>4434.8160000000007</v>
      </c>
      <c r="L844">
        <v>44348.160000000003</v>
      </c>
      <c r="M844">
        <v>7982.6688000000004</v>
      </c>
      <c r="N844">
        <v>52330.828800000003</v>
      </c>
      <c r="O844" t="s">
        <v>87</v>
      </c>
      <c r="P844" t="s">
        <v>101</v>
      </c>
    </row>
    <row r="845" spans="1:16" x14ac:dyDescent="0.25">
      <c r="A845" s="2">
        <v>45119</v>
      </c>
      <c r="B845" t="s">
        <v>10</v>
      </c>
      <c r="C845" t="s">
        <v>35</v>
      </c>
      <c r="D845" t="s">
        <v>65</v>
      </c>
      <c r="E845" t="s">
        <v>64</v>
      </c>
      <c r="F845" t="s">
        <v>14</v>
      </c>
      <c r="G845" t="s">
        <v>53</v>
      </c>
      <c r="H845">
        <v>14</v>
      </c>
      <c r="I845">
        <v>3099.57</v>
      </c>
      <c r="J845">
        <v>39054.582000000002</v>
      </c>
      <c r="K845">
        <v>4339.3980000000001</v>
      </c>
      <c r="L845">
        <v>43393.98</v>
      </c>
      <c r="M845">
        <v>7810.9164000000001</v>
      </c>
      <c r="N845">
        <v>51204.896400000005</v>
      </c>
      <c r="O845" t="s">
        <v>87</v>
      </c>
      <c r="P845" t="s">
        <v>101</v>
      </c>
    </row>
    <row r="846" spans="1:16" x14ac:dyDescent="0.25">
      <c r="A846" s="2">
        <v>45222</v>
      </c>
      <c r="B846" t="s">
        <v>31</v>
      </c>
      <c r="C846" t="s">
        <v>11</v>
      </c>
      <c r="D846" t="s">
        <v>22</v>
      </c>
      <c r="E846" t="s">
        <v>13</v>
      </c>
      <c r="F846" t="s">
        <v>23</v>
      </c>
      <c r="G846" t="s">
        <v>37</v>
      </c>
      <c r="H846">
        <v>1</v>
      </c>
      <c r="I846">
        <v>3758.07</v>
      </c>
      <c r="J846">
        <v>3382.2630000000004</v>
      </c>
      <c r="K846">
        <v>375.80700000000002</v>
      </c>
      <c r="L846">
        <v>3758.07</v>
      </c>
      <c r="M846">
        <v>676.45259999999996</v>
      </c>
      <c r="N846">
        <v>4434.5226000000002</v>
      </c>
      <c r="O846" t="s">
        <v>87</v>
      </c>
      <c r="P846" t="s">
        <v>99</v>
      </c>
    </row>
    <row r="847" spans="1:16" x14ac:dyDescent="0.25">
      <c r="A847" s="2">
        <v>45163</v>
      </c>
      <c r="B847" t="s">
        <v>29</v>
      </c>
      <c r="C847" t="s">
        <v>58</v>
      </c>
      <c r="D847" t="s">
        <v>12</v>
      </c>
      <c r="E847" t="s">
        <v>18</v>
      </c>
      <c r="F847" t="s">
        <v>14</v>
      </c>
      <c r="G847" t="s">
        <v>45</v>
      </c>
      <c r="H847">
        <v>5</v>
      </c>
      <c r="I847">
        <v>2536.65</v>
      </c>
      <c r="J847">
        <v>11414.925000000001</v>
      </c>
      <c r="K847">
        <v>1268.325</v>
      </c>
      <c r="L847">
        <v>12683.25</v>
      </c>
      <c r="M847">
        <v>2282.9850000000001</v>
      </c>
      <c r="N847">
        <v>14966.235000000001</v>
      </c>
      <c r="O847" t="s">
        <v>87</v>
      </c>
      <c r="P847" t="s">
        <v>100</v>
      </c>
    </row>
    <row r="848" spans="1:16" x14ac:dyDescent="0.25">
      <c r="A848" s="2">
        <v>45160</v>
      </c>
      <c r="B848" t="s">
        <v>31</v>
      </c>
      <c r="C848" t="s">
        <v>26</v>
      </c>
      <c r="D848" t="s">
        <v>12</v>
      </c>
      <c r="E848" t="s">
        <v>18</v>
      </c>
      <c r="F848" t="s">
        <v>27</v>
      </c>
      <c r="G848" t="s">
        <v>44</v>
      </c>
      <c r="H848">
        <v>9</v>
      </c>
      <c r="I848">
        <v>564.08000000000004</v>
      </c>
      <c r="J848">
        <v>4569.0480000000007</v>
      </c>
      <c r="K848">
        <v>507.67200000000003</v>
      </c>
      <c r="L848">
        <v>5076.72</v>
      </c>
      <c r="M848">
        <v>913.80960000000005</v>
      </c>
      <c r="N848">
        <v>5990.5295999999998</v>
      </c>
      <c r="O848" t="s">
        <v>87</v>
      </c>
      <c r="P848" t="s">
        <v>100</v>
      </c>
    </row>
    <row r="849" spans="1:16" x14ac:dyDescent="0.25">
      <c r="A849" s="2">
        <v>45257</v>
      </c>
      <c r="B849" t="s">
        <v>10</v>
      </c>
      <c r="C849" t="s">
        <v>54</v>
      </c>
      <c r="D849" t="s">
        <v>12</v>
      </c>
      <c r="E849" t="s">
        <v>18</v>
      </c>
      <c r="F849" t="s">
        <v>27</v>
      </c>
      <c r="G849" t="s">
        <v>42</v>
      </c>
      <c r="H849">
        <v>4</v>
      </c>
      <c r="I849">
        <v>3762.47</v>
      </c>
      <c r="J849">
        <v>13544.892</v>
      </c>
      <c r="K849">
        <v>1504.9880000000001</v>
      </c>
      <c r="L849">
        <v>15049.88</v>
      </c>
      <c r="M849">
        <v>2708.9784</v>
      </c>
      <c r="N849">
        <v>17758.858399999997</v>
      </c>
      <c r="O849" t="s">
        <v>87</v>
      </c>
      <c r="P849" t="s">
        <v>100</v>
      </c>
    </row>
    <row r="850" spans="1:16" x14ac:dyDescent="0.25">
      <c r="A850" s="2">
        <v>45229</v>
      </c>
      <c r="B850" t="s">
        <v>21</v>
      </c>
      <c r="C850" t="s">
        <v>63</v>
      </c>
      <c r="D850" t="s">
        <v>65</v>
      </c>
      <c r="E850" t="s">
        <v>64</v>
      </c>
      <c r="F850" t="s">
        <v>27</v>
      </c>
      <c r="G850" t="s">
        <v>46</v>
      </c>
      <c r="H850">
        <v>5</v>
      </c>
      <c r="I850">
        <v>4180.57</v>
      </c>
      <c r="J850">
        <v>18812.564999999999</v>
      </c>
      <c r="K850">
        <v>2090.2849999999999</v>
      </c>
      <c r="L850">
        <v>20902.849999999999</v>
      </c>
      <c r="M850">
        <v>3762.5129999999995</v>
      </c>
      <c r="N850">
        <v>24665.362999999998</v>
      </c>
      <c r="O850" t="s">
        <v>87</v>
      </c>
      <c r="P850" t="s">
        <v>101</v>
      </c>
    </row>
    <row r="851" spans="1:16" x14ac:dyDescent="0.25">
      <c r="A851" s="2">
        <v>44945</v>
      </c>
      <c r="B851" t="s">
        <v>34</v>
      </c>
      <c r="C851" t="s">
        <v>62</v>
      </c>
      <c r="D851" t="s">
        <v>65</v>
      </c>
      <c r="E851" t="s">
        <v>64</v>
      </c>
      <c r="F851" t="s">
        <v>14</v>
      </c>
      <c r="G851" t="s">
        <v>45</v>
      </c>
      <c r="H851">
        <v>5</v>
      </c>
      <c r="I851">
        <v>1947.01</v>
      </c>
      <c r="J851">
        <v>8761.5450000000001</v>
      </c>
      <c r="K851">
        <v>973.505</v>
      </c>
      <c r="L851">
        <v>9735.0499999999993</v>
      </c>
      <c r="M851">
        <v>1752.3089999999997</v>
      </c>
      <c r="N851">
        <v>11487.358999999999</v>
      </c>
      <c r="O851" t="s">
        <v>87</v>
      </c>
      <c r="P851" t="s">
        <v>101</v>
      </c>
    </row>
    <row r="852" spans="1:16" x14ac:dyDescent="0.25">
      <c r="A852" s="2">
        <v>45129</v>
      </c>
      <c r="B852" t="s">
        <v>10</v>
      </c>
      <c r="C852" t="s">
        <v>11</v>
      </c>
      <c r="D852" t="s">
        <v>22</v>
      </c>
      <c r="E852" t="s">
        <v>13</v>
      </c>
      <c r="F852" t="s">
        <v>23</v>
      </c>
      <c r="G852" t="s">
        <v>39</v>
      </c>
      <c r="H852">
        <v>13</v>
      </c>
      <c r="I852">
        <v>4686.21</v>
      </c>
      <c r="J852">
        <v>54828.657000000007</v>
      </c>
      <c r="K852">
        <v>6092.0730000000003</v>
      </c>
      <c r="L852">
        <v>60920.73</v>
      </c>
      <c r="M852">
        <v>10965.731400000001</v>
      </c>
      <c r="N852">
        <v>71886.4614</v>
      </c>
      <c r="O852" t="s">
        <v>87</v>
      </c>
      <c r="P852" t="s">
        <v>99</v>
      </c>
    </row>
    <row r="853" spans="1:16" x14ac:dyDescent="0.25">
      <c r="A853" s="2">
        <v>44944</v>
      </c>
      <c r="B853" t="s">
        <v>21</v>
      </c>
      <c r="C853" t="s">
        <v>11</v>
      </c>
      <c r="D853" t="s">
        <v>22</v>
      </c>
      <c r="E853" t="s">
        <v>13</v>
      </c>
      <c r="F853" t="s">
        <v>14</v>
      </c>
      <c r="G853" t="s">
        <v>15</v>
      </c>
      <c r="H853">
        <v>7</v>
      </c>
      <c r="I853">
        <v>4418.17</v>
      </c>
      <c r="J853">
        <v>27834.470999999998</v>
      </c>
      <c r="K853">
        <v>3092.7190000000001</v>
      </c>
      <c r="L853">
        <v>30927.19</v>
      </c>
      <c r="M853">
        <v>5566.8941999999997</v>
      </c>
      <c r="N853">
        <v>36494.084199999998</v>
      </c>
      <c r="O853" t="s">
        <v>87</v>
      </c>
      <c r="P853" t="s">
        <v>99</v>
      </c>
    </row>
    <row r="854" spans="1:16" x14ac:dyDescent="0.25">
      <c r="A854" s="2">
        <v>45208</v>
      </c>
      <c r="B854" t="s">
        <v>34</v>
      </c>
      <c r="C854" t="s">
        <v>59</v>
      </c>
      <c r="D854" t="s">
        <v>66</v>
      </c>
      <c r="E854" t="s">
        <v>41</v>
      </c>
      <c r="F854" t="s">
        <v>23</v>
      </c>
      <c r="G854" t="s">
        <v>47</v>
      </c>
      <c r="H854">
        <v>19</v>
      </c>
      <c r="I854">
        <v>4186.6400000000003</v>
      </c>
      <c r="J854">
        <v>71591.544000000009</v>
      </c>
      <c r="K854">
        <v>7954.6160000000009</v>
      </c>
      <c r="L854">
        <v>79546.16</v>
      </c>
      <c r="M854">
        <v>14318.308800000001</v>
      </c>
      <c r="N854">
        <v>93864.468800000002</v>
      </c>
      <c r="O854" t="s">
        <v>87</v>
      </c>
      <c r="P854" t="s">
        <v>66</v>
      </c>
    </row>
    <row r="855" spans="1:16" x14ac:dyDescent="0.25">
      <c r="A855" s="2">
        <v>45113</v>
      </c>
      <c r="B855" t="s">
        <v>16</v>
      </c>
      <c r="C855" t="s">
        <v>60</v>
      </c>
      <c r="D855" t="s">
        <v>12</v>
      </c>
      <c r="E855" t="s">
        <v>18</v>
      </c>
      <c r="F855" t="s">
        <v>14</v>
      </c>
      <c r="G855" t="s">
        <v>15</v>
      </c>
      <c r="H855">
        <v>6</v>
      </c>
      <c r="I855">
        <v>1003.96</v>
      </c>
      <c r="J855">
        <v>5421.384</v>
      </c>
      <c r="K855">
        <v>602.37600000000009</v>
      </c>
      <c r="L855">
        <v>6023.76</v>
      </c>
      <c r="M855">
        <v>1084.2768000000001</v>
      </c>
      <c r="N855">
        <v>7108.0367999999999</v>
      </c>
      <c r="O855" t="s">
        <v>87</v>
      </c>
      <c r="P855" t="s">
        <v>100</v>
      </c>
    </row>
    <row r="856" spans="1:16" x14ac:dyDescent="0.25">
      <c r="A856" s="2">
        <v>45127</v>
      </c>
      <c r="B856" t="s">
        <v>38</v>
      </c>
      <c r="C856" t="s">
        <v>55</v>
      </c>
      <c r="D856" t="s">
        <v>66</v>
      </c>
      <c r="E856" t="s">
        <v>41</v>
      </c>
      <c r="F856" t="s">
        <v>32</v>
      </c>
      <c r="G856" t="s">
        <v>36</v>
      </c>
      <c r="H856">
        <v>13</v>
      </c>
      <c r="I856">
        <v>1028.74</v>
      </c>
      <c r="J856">
        <v>12036.258000000002</v>
      </c>
      <c r="K856">
        <v>1337.3620000000001</v>
      </c>
      <c r="L856">
        <v>13373.62</v>
      </c>
      <c r="M856">
        <v>2407.2516000000001</v>
      </c>
      <c r="N856">
        <v>15780.8716</v>
      </c>
      <c r="O856" t="s">
        <v>87</v>
      </c>
      <c r="P856" t="s">
        <v>66</v>
      </c>
    </row>
    <row r="857" spans="1:16" x14ac:dyDescent="0.25">
      <c r="A857" s="2">
        <v>45168</v>
      </c>
      <c r="B857" t="s">
        <v>29</v>
      </c>
      <c r="C857" t="s">
        <v>17</v>
      </c>
      <c r="D857" t="s">
        <v>65</v>
      </c>
      <c r="E857" t="s">
        <v>64</v>
      </c>
      <c r="F857" t="s">
        <v>23</v>
      </c>
      <c r="G857" t="s">
        <v>47</v>
      </c>
      <c r="H857">
        <v>20</v>
      </c>
      <c r="I857">
        <v>4751.1400000000003</v>
      </c>
      <c r="J857">
        <v>85520.52</v>
      </c>
      <c r="K857">
        <v>9502.2800000000007</v>
      </c>
      <c r="L857">
        <v>95022.8</v>
      </c>
      <c r="M857">
        <v>17104.103999999999</v>
      </c>
      <c r="N857">
        <v>112126.90400000001</v>
      </c>
      <c r="O857" t="s">
        <v>87</v>
      </c>
      <c r="P857" t="s">
        <v>101</v>
      </c>
    </row>
    <row r="858" spans="1:16" x14ac:dyDescent="0.25">
      <c r="A858" s="2">
        <v>45091</v>
      </c>
      <c r="B858" t="s">
        <v>10</v>
      </c>
      <c r="C858" t="s">
        <v>57</v>
      </c>
      <c r="D858" t="s">
        <v>22</v>
      </c>
      <c r="E858" t="s">
        <v>13</v>
      </c>
      <c r="F858" t="s">
        <v>23</v>
      </c>
      <c r="G858" t="s">
        <v>39</v>
      </c>
      <c r="H858">
        <v>8</v>
      </c>
      <c r="I858">
        <v>565.82000000000005</v>
      </c>
      <c r="J858">
        <v>4073.9040000000005</v>
      </c>
      <c r="K858">
        <v>452.65600000000006</v>
      </c>
      <c r="L858">
        <v>4526.5600000000004</v>
      </c>
      <c r="M858">
        <v>814.7808</v>
      </c>
      <c r="N858">
        <v>5341.3407999999999</v>
      </c>
      <c r="O858" t="s">
        <v>87</v>
      </c>
      <c r="P858" t="s">
        <v>99</v>
      </c>
    </row>
    <row r="859" spans="1:16" x14ac:dyDescent="0.25">
      <c r="A859" s="2">
        <v>45164</v>
      </c>
      <c r="B859" t="s">
        <v>21</v>
      </c>
      <c r="C859" t="s">
        <v>59</v>
      </c>
      <c r="D859" t="s">
        <v>66</v>
      </c>
      <c r="E859" t="s">
        <v>41</v>
      </c>
      <c r="F859" t="s">
        <v>32</v>
      </c>
      <c r="G859" t="s">
        <v>49</v>
      </c>
      <c r="H859">
        <v>1</v>
      </c>
      <c r="I859">
        <v>1903.53</v>
      </c>
      <c r="J859">
        <v>1713.1769999999999</v>
      </c>
      <c r="K859">
        <v>190.35300000000001</v>
      </c>
      <c r="L859">
        <v>1903.53</v>
      </c>
      <c r="M859">
        <v>342.6354</v>
      </c>
      <c r="N859">
        <v>2246.1653999999999</v>
      </c>
      <c r="O859" t="s">
        <v>87</v>
      </c>
      <c r="P859" t="s">
        <v>66</v>
      </c>
    </row>
    <row r="860" spans="1:16" x14ac:dyDescent="0.25">
      <c r="A860" s="2">
        <v>45238</v>
      </c>
      <c r="B860" t="s">
        <v>29</v>
      </c>
      <c r="C860" t="s">
        <v>63</v>
      </c>
      <c r="D860" t="s">
        <v>65</v>
      </c>
      <c r="E860" t="s">
        <v>64</v>
      </c>
      <c r="F860" t="s">
        <v>19</v>
      </c>
      <c r="G860" t="s">
        <v>20</v>
      </c>
      <c r="H860">
        <v>20</v>
      </c>
      <c r="I860">
        <v>3286.69</v>
      </c>
      <c r="J860">
        <v>59160.420000000006</v>
      </c>
      <c r="K860">
        <v>6573.380000000001</v>
      </c>
      <c r="L860">
        <v>65733.8</v>
      </c>
      <c r="M860">
        <v>11832.084000000001</v>
      </c>
      <c r="N860">
        <v>77565.884000000005</v>
      </c>
      <c r="O860" t="s">
        <v>87</v>
      </c>
      <c r="P860" t="s">
        <v>101</v>
      </c>
    </row>
    <row r="861" spans="1:16" x14ac:dyDescent="0.25">
      <c r="A861" s="2">
        <v>45059</v>
      </c>
      <c r="B861" t="s">
        <v>10</v>
      </c>
      <c r="C861" t="s">
        <v>26</v>
      </c>
      <c r="D861" t="s">
        <v>12</v>
      </c>
      <c r="E861" t="s">
        <v>18</v>
      </c>
      <c r="F861" t="s">
        <v>19</v>
      </c>
      <c r="G861" t="s">
        <v>48</v>
      </c>
      <c r="H861">
        <v>20</v>
      </c>
      <c r="I861">
        <v>1176.4000000000001</v>
      </c>
      <c r="J861">
        <v>21175.200000000001</v>
      </c>
      <c r="K861">
        <v>2352.8000000000002</v>
      </c>
      <c r="L861">
        <v>23528</v>
      </c>
      <c r="M861">
        <v>4235.04</v>
      </c>
      <c r="N861">
        <v>27763.040000000001</v>
      </c>
      <c r="O861" t="s">
        <v>87</v>
      </c>
      <c r="P861" t="s">
        <v>100</v>
      </c>
    </row>
    <row r="862" spans="1:16" x14ac:dyDescent="0.25">
      <c r="A862" s="2">
        <v>45279</v>
      </c>
      <c r="B862" t="s">
        <v>10</v>
      </c>
      <c r="C862" t="s">
        <v>60</v>
      </c>
      <c r="D862" t="s">
        <v>12</v>
      </c>
      <c r="E862" t="s">
        <v>18</v>
      </c>
      <c r="F862" t="s">
        <v>19</v>
      </c>
      <c r="G862" t="s">
        <v>20</v>
      </c>
      <c r="H862">
        <v>11</v>
      </c>
      <c r="I862">
        <v>2038.9</v>
      </c>
      <c r="J862">
        <v>20185.11</v>
      </c>
      <c r="K862">
        <v>2242.7900000000004</v>
      </c>
      <c r="L862">
        <v>22427.9</v>
      </c>
      <c r="M862">
        <v>4037.0219999999999</v>
      </c>
      <c r="N862">
        <v>26464.922000000002</v>
      </c>
      <c r="O862" t="s">
        <v>87</v>
      </c>
      <c r="P862" t="s">
        <v>100</v>
      </c>
    </row>
    <row r="863" spans="1:16" x14ac:dyDescent="0.25">
      <c r="A863" s="2">
        <v>44986</v>
      </c>
      <c r="B863" t="s">
        <v>21</v>
      </c>
      <c r="C863" t="s">
        <v>17</v>
      </c>
      <c r="D863" t="s">
        <v>65</v>
      </c>
      <c r="E863" t="s">
        <v>64</v>
      </c>
      <c r="F863" t="s">
        <v>19</v>
      </c>
      <c r="G863" t="s">
        <v>52</v>
      </c>
      <c r="H863">
        <v>19</v>
      </c>
      <c r="I863">
        <v>3990.16</v>
      </c>
      <c r="J863">
        <v>68231.73599999999</v>
      </c>
      <c r="K863">
        <v>7581.3040000000001</v>
      </c>
      <c r="L863">
        <v>75813.039999999994</v>
      </c>
      <c r="M863">
        <v>13646.347199999998</v>
      </c>
      <c r="N863">
        <v>89459.387199999997</v>
      </c>
      <c r="O863" t="s">
        <v>87</v>
      </c>
      <c r="P863" t="s">
        <v>101</v>
      </c>
    </row>
    <row r="864" spans="1:16" x14ac:dyDescent="0.25">
      <c r="A864" s="2">
        <v>44947</v>
      </c>
      <c r="B864" t="s">
        <v>43</v>
      </c>
      <c r="C864" t="s">
        <v>58</v>
      </c>
      <c r="D864" t="s">
        <v>12</v>
      </c>
      <c r="E864" t="s">
        <v>18</v>
      </c>
      <c r="F864" t="s">
        <v>23</v>
      </c>
      <c r="G864" t="s">
        <v>37</v>
      </c>
      <c r="H864">
        <v>15</v>
      </c>
      <c r="I864">
        <v>3765.36</v>
      </c>
      <c r="J864">
        <v>50832.36</v>
      </c>
      <c r="K864">
        <v>5648.0400000000009</v>
      </c>
      <c r="L864">
        <v>56480.4</v>
      </c>
      <c r="M864">
        <v>10166.472</v>
      </c>
      <c r="N864">
        <v>66646.872000000003</v>
      </c>
      <c r="O864" t="s">
        <v>87</v>
      </c>
      <c r="P864" t="s">
        <v>100</v>
      </c>
    </row>
    <row r="865" spans="1:16" x14ac:dyDescent="0.25">
      <c r="A865" s="2">
        <v>45252</v>
      </c>
      <c r="B865" t="s">
        <v>25</v>
      </c>
      <c r="C865" t="s">
        <v>56</v>
      </c>
      <c r="D865" t="s">
        <v>12</v>
      </c>
      <c r="E865" t="s">
        <v>18</v>
      </c>
      <c r="F865" t="s">
        <v>23</v>
      </c>
      <c r="G865" t="s">
        <v>39</v>
      </c>
      <c r="H865">
        <v>12</v>
      </c>
      <c r="I865">
        <v>1794.88</v>
      </c>
      <c r="J865">
        <v>19384.704000000002</v>
      </c>
      <c r="K865">
        <v>2153.8560000000002</v>
      </c>
      <c r="L865">
        <v>21538.560000000001</v>
      </c>
      <c r="M865">
        <v>3876.9408000000003</v>
      </c>
      <c r="N865">
        <v>25415.500800000002</v>
      </c>
      <c r="O865" t="s">
        <v>87</v>
      </c>
      <c r="P865" t="s">
        <v>100</v>
      </c>
    </row>
    <row r="866" spans="1:16" x14ac:dyDescent="0.25">
      <c r="A866" s="2">
        <v>45094</v>
      </c>
      <c r="B866" t="s">
        <v>31</v>
      </c>
      <c r="C866" t="s">
        <v>54</v>
      </c>
      <c r="D866" t="s">
        <v>12</v>
      </c>
      <c r="E866" t="s">
        <v>18</v>
      </c>
      <c r="F866" t="s">
        <v>32</v>
      </c>
      <c r="G866" t="s">
        <v>49</v>
      </c>
      <c r="H866">
        <v>19</v>
      </c>
      <c r="I866">
        <v>2750.97</v>
      </c>
      <c r="J866">
        <v>47041.587</v>
      </c>
      <c r="K866">
        <v>5226.8430000000008</v>
      </c>
      <c r="L866">
        <v>52268.43</v>
      </c>
      <c r="M866">
        <v>9408.3173999999999</v>
      </c>
      <c r="N866">
        <v>61676.7474</v>
      </c>
      <c r="O866" t="s">
        <v>87</v>
      </c>
      <c r="P866" t="s">
        <v>100</v>
      </c>
    </row>
    <row r="867" spans="1:16" x14ac:dyDescent="0.25">
      <c r="A867" s="2">
        <v>45161</v>
      </c>
      <c r="B867" t="s">
        <v>43</v>
      </c>
      <c r="C867" t="s">
        <v>11</v>
      </c>
      <c r="D867" t="s">
        <v>22</v>
      </c>
      <c r="E867" t="s">
        <v>13</v>
      </c>
      <c r="F867" t="s">
        <v>19</v>
      </c>
      <c r="G867" t="s">
        <v>20</v>
      </c>
      <c r="H867">
        <v>17</v>
      </c>
      <c r="I867">
        <v>3677.4</v>
      </c>
      <c r="J867">
        <v>56264.22</v>
      </c>
      <c r="K867">
        <v>6251.5800000000008</v>
      </c>
      <c r="L867">
        <v>62515.8</v>
      </c>
      <c r="M867">
        <v>11252.844000000001</v>
      </c>
      <c r="N867">
        <v>73768.644</v>
      </c>
      <c r="O867" t="s">
        <v>87</v>
      </c>
      <c r="P867" t="s">
        <v>99</v>
      </c>
    </row>
    <row r="868" spans="1:16" x14ac:dyDescent="0.25">
      <c r="A868" s="2">
        <v>45012</v>
      </c>
      <c r="B868" t="s">
        <v>43</v>
      </c>
      <c r="C868" t="s">
        <v>59</v>
      </c>
      <c r="D868" t="s">
        <v>66</v>
      </c>
      <c r="E868" t="s">
        <v>41</v>
      </c>
      <c r="F868" t="s">
        <v>19</v>
      </c>
      <c r="G868" t="s">
        <v>20</v>
      </c>
      <c r="H868">
        <v>7</v>
      </c>
      <c r="I868">
        <v>2253.94</v>
      </c>
      <c r="J868">
        <v>14199.822</v>
      </c>
      <c r="K868">
        <v>1577.758</v>
      </c>
      <c r="L868">
        <v>15777.58</v>
      </c>
      <c r="M868">
        <v>2839.9643999999998</v>
      </c>
      <c r="N868">
        <v>18617.544399999999</v>
      </c>
      <c r="O868" t="s">
        <v>87</v>
      </c>
      <c r="P868" t="s">
        <v>66</v>
      </c>
    </row>
    <row r="869" spans="1:16" x14ac:dyDescent="0.25">
      <c r="A869" s="2">
        <v>45064</v>
      </c>
      <c r="B869" t="s">
        <v>21</v>
      </c>
      <c r="C869" t="s">
        <v>54</v>
      </c>
      <c r="D869" t="s">
        <v>12</v>
      </c>
      <c r="E869" t="s">
        <v>18</v>
      </c>
      <c r="F869" t="s">
        <v>27</v>
      </c>
      <c r="G869" t="s">
        <v>44</v>
      </c>
      <c r="H869">
        <v>8</v>
      </c>
      <c r="I869">
        <v>1762.43</v>
      </c>
      <c r="J869">
        <v>12689.496000000001</v>
      </c>
      <c r="K869">
        <v>1409.9440000000002</v>
      </c>
      <c r="L869">
        <v>14099.44</v>
      </c>
      <c r="M869">
        <v>2537.8991999999998</v>
      </c>
      <c r="N869">
        <v>16637.339200000002</v>
      </c>
      <c r="O869" t="s">
        <v>87</v>
      </c>
      <c r="P869" t="s">
        <v>100</v>
      </c>
    </row>
    <row r="870" spans="1:16" x14ac:dyDescent="0.25">
      <c r="A870" s="2">
        <v>45044</v>
      </c>
      <c r="B870" t="s">
        <v>21</v>
      </c>
      <c r="C870" t="s">
        <v>17</v>
      </c>
      <c r="D870" t="s">
        <v>65</v>
      </c>
      <c r="E870" t="s">
        <v>64</v>
      </c>
      <c r="F870" t="s">
        <v>14</v>
      </c>
      <c r="G870" t="s">
        <v>45</v>
      </c>
      <c r="H870">
        <v>20</v>
      </c>
      <c r="I870">
        <v>278.55</v>
      </c>
      <c r="J870">
        <v>5013.9000000000005</v>
      </c>
      <c r="K870">
        <v>557.1</v>
      </c>
      <c r="L870">
        <v>5571</v>
      </c>
      <c r="M870">
        <v>1002.78</v>
      </c>
      <c r="N870">
        <v>6573.78</v>
      </c>
      <c r="O870" t="s">
        <v>87</v>
      </c>
      <c r="P870" t="s">
        <v>101</v>
      </c>
    </row>
    <row r="871" spans="1:16" x14ac:dyDescent="0.25">
      <c r="A871" s="2">
        <v>45190</v>
      </c>
      <c r="B871" t="s">
        <v>10</v>
      </c>
      <c r="C871" t="s">
        <v>11</v>
      </c>
      <c r="D871" t="s">
        <v>22</v>
      </c>
      <c r="E871" t="s">
        <v>13</v>
      </c>
      <c r="F871" t="s">
        <v>14</v>
      </c>
      <c r="G871" t="s">
        <v>45</v>
      </c>
      <c r="H871">
        <v>7</v>
      </c>
      <c r="I871">
        <v>1940.86</v>
      </c>
      <c r="J871">
        <v>12227.418000000001</v>
      </c>
      <c r="K871">
        <v>1358.6020000000001</v>
      </c>
      <c r="L871">
        <v>13586.02</v>
      </c>
      <c r="M871">
        <v>2445.4836</v>
      </c>
      <c r="N871">
        <v>16031.5036</v>
      </c>
      <c r="O871" t="s">
        <v>87</v>
      </c>
      <c r="P871" t="s">
        <v>99</v>
      </c>
    </row>
    <row r="872" spans="1:16" x14ac:dyDescent="0.25">
      <c r="A872" s="2">
        <v>45201</v>
      </c>
      <c r="B872" t="s">
        <v>10</v>
      </c>
      <c r="C872" t="s">
        <v>17</v>
      </c>
      <c r="D872" t="s">
        <v>65</v>
      </c>
      <c r="E872" t="s">
        <v>64</v>
      </c>
      <c r="F872" t="s">
        <v>27</v>
      </c>
      <c r="G872" t="s">
        <v>42</v>
      </c>
      <c r="H872">
        <v>1</v>
      </c>
      <c r="I872">
        <v>414.64</v>
      </c>
      <c r="J872">
        <v>373.17599999999999</v>
      </c>
      <c r="K872">
        <v>41.463999999999999</v>
      </c>
      <c r="L872">
        <v>414.64</v>
      </c>
      <c r="M872">
        <v>74.635199999999998</v>
      </c>
      <c r="N872">
        <v>489.27519999999998</v>
      </c>
      <c r="O872" t="s">
        <v>87</v>
      </c>
      <c r="P872" t="s">
        <v>101</v>
      </c>
    </row>
    <row r="873" spans="1:16" x14ac:dyDescent="0.25">
      <c r="A873" s="2">
        <v>45203</v>
      </c>
      <c r="B873" t="s">
        <v>21</v>
      </c>
      <c r="C873" t="s">
        <v>62</v>
      </c>
      <c r="D873" t="s">
        <v>65</v>
      </c>
      <c r="E873" t="s">
        <v>64</v>
      </c>
      <c r="F873" t="s">
        <v>19</v>
      </c>
      <c r="G873" t="s">
        <v>30</v>
      </c>
      <c r="H873">
        <v>7</v>
      </c>
      <c r="I873">
        <v>1073.54</v>
      </c>
      <c r="J873">
        <v>6763.3019999999997</v>
      </c>
      <c r="K873">
        <v>751.47800000000007</v>
      </c>
      <c r="L873">
        <v>7514.78</v>
      </c>
      <c r="M873">
        <v>1352.6604</v>
      </c>
      <c r="N873">
        <v>8867.4403999999995</v>
      </c>
      <c r="O873" t="s">
        <v>87</v>
      </c>
      <c r="P873" t="s">
        <v>101</v>
      </c>
    </row>
    <row r="874" spans="1:16" x14ac:dyDescent="0.25">
      <c r="A874" s="2">
        <v>45146</v>
      </c>
      <c r="B874" t="s">
        <v>31</v>
      </c>
      <c r="C874" t="s">
        <v>17</v>
      </c>
      <c r="D874" t="s">
        <v>65</v>
      </c>
      <c r="E874" t="s">
        <v>64</v>
      </c>
      <c r="F874" t="s">
        <v>32</v>
      </c>
      <c r="G874" t="s">
        <v>50</v>
      </c>
      <c r="H874">
        <v>2</v>
      </c>
      <c r="I874">
        <v>2078.33</v>
      </c>
      <c r="J874">
        <v>3740.9940000000001</v>
      </c>
      <c r="K874">
        <v>415.666</v>
      </c>
      <c r="L874">
        <v>4156.66</v>
      </c>
      <c r="M874">
        <v>748.19879999999989</v>
      </c>
      <c r="N874">
        <v>4904.8588</v>
      </c>
      <c r="O874" t="s">
        <v>87</v>
      </c>
      <c r="P874" t="s">
        <v>101</v>
      </c>
    </row>
    <row r="875" spans="1:16" x14ac:dyDescent="0.25">
      <c r="A875" s="2">
        <v>44939</v>
      </c>
      <c r="B875" t="s">
        <v>25</v>
      </c>
      <c r="C875" t="s">
        <v>26</v>
      </c>
      <c r="D875" t="s">
        <v>12</v>
      </c>
      <c r="E875" t="s">
        <v>18</v>
      </c>
      <c r="F875" t="s">
        <v>14</v>
      </c>
      <c r="G875" t="s">
        <v>51</v>
      </c>
      <c r="H875">
        <v>15</v>
      </c>
      <c r="I875">
        <v>4188.84</v>
      </c>
      <c r="J875">
        <v>56549.34</v>
      </c>
      <c r="K875">
        <v>6283.26</v>
      </c>
      <c r="L875">
        <v>62832.6</v>
      </c>
      <c r="M875">
        <v>11309.867999999999</v>
      </c>
      <c r="N875">
        <v>74142.467999999993</v>
      </c>
      <c r="O875" t="s">
        <v>87</v>
      </c>
      <c r="P875" t="s">
        <v>100</v>
      </c>
    </row>
    <row r="876" spans="1:16" x14ac:dyDescent="0.25">
      <c r="A876" s="2">
        <v>45086</v>
      </c>
      <c r="B876" t="s">
        <v>38</v>
      </c>
      <c r="C876" t="s">
        <v>17</v>
      </c>
      <c r="D876" t="s">
        <v>65</v>
      </c>
      <c r="E876" t="s">
        <v>64</v>
      </c>
      <c r="F876" t="s">
        <v>23</v>
      </c>
      <c r="G876" t="s">
        <v>47</v>
      </c>
      <c r="H876">
        <v>16</v>
      </c>
      <c r="I876">
        <v>3046.66</v>
      </c>
      <c r="J876">
        <v>43871.904000000002</v>
      </c>
      <c r="K876">
        <v>4874.6559999999999</v>
      </c>
      <c r="L876">
        <v>48746.559999999998</v>
      </c>
      <c r="M876">
        <v>8774.380799999999</v>
      </c>
      <c r="N876">
        <v>57520.940799999997</v>
      </c>
      <c r="O876" t="s">
        <v>87</v>
      </c>
      <c r="P876" t="s">
        <v>101</v>
      </c>
    </row>
    <row r="877" spans="1:16" x14ac:dyDescent="0.25">
      <c r="A877" s="2">
        <v>45144</v>
      </c>
      <c r="B877" t="s">
        <v>31</v>
      </c>
      <c r="C877" t="s">
        <v>17</v>
      </c>
      <c r="D877" t="s">
        <v>65</v>
      </c>
      <c r="E877" t="s">
        <v>64</v>
      </c>
      <c r="F877" t="s">
        <v>23</v>
      </c>
      <c r="G877" t="s">
        <v>47</v>
      </c>
      <c r="H877">
        <v>13</v>
      </c>
      <c r="I877">
        <v>566.55999999999995</v>
      </c>
      <c r="J877">
        <v>6628.7519999999995</v>
      </c>
      <c r="K877">
        <v>736.52800000000002</v>
      </c>
      <c r="L877">
        <v>7365.28</v>
      </c>
      <c r="M877">
        <v>1325.7503999999999</v>
      </c>
      <c r="N877">
        <v>8691.0303999999996</v>
      </c>
      <c r="O877" t="s">
        <v>87</v>
      </c>
      <c r="P877" t="s">
        <v>101</v>
      </c>
    </row>
    <row r="878" spans="1:16" x14ac:dyDescent="0.25">
      <c r="A878" s="2">
        <v>45148</v>
      </c>
      <c r="B878" t="s">
        <v>31</v>
      </c>
      <c r="C878" t="s">
        <v>61</v>
      </c>
      <c r="D878" t="s">
        <v>65</v>
      </c>
      <c r="E878" t="s">
        <v>64</v>
      </c>
      <c r="F878" t="s">
        <v>32</v>
      </c>
      <c r="G878" t="s">
        <v>50</v>
      </c>
      <c r="H878">
        <v>9</v>
      </c>
      <c r="I878">
        <v>4726.68</v>
      </c>
      <c r="J878">
        <v>38286.108</v>
      </c>
      <c r="K878">
        <v>4254.0120000000006</v>
      </c>
      <c r="L878">
        <v>42540.12</v>
      </c>
      <c r="M878">
        <v>7657.2215999999999</v>
      </c>
      <c r="N878">
        <v>50197.3416</v>
      </c>
      <c r="O878" t="s">
        <v>87</v>
      </c>
      <c r="P878" t="s">
        <v>101</v>
      </c>
    </row>
    <row r="879" spans="1:16" x14ac:dyDescent="0.25">
      <c r="A879" s="2">
        <v>45029</v>
      </c>
      <c r="B879" t="s">
        <v>43</v>
      </c>
      <c r="C879" t="s">
        <v>62</v>
      </c>
      <c r="D879" t="s">
        <v>65</v>
      </c>
      <c r="E879" t="s">
        <v>64</v>
      </c>
      <c r="F879" t="s">
        <v>23</v>
      </c>
      <c r="G879" t="s">
        <v>47</v>
      </c>
      <c r="H879">
        <v>15</v>
      </c>
      <c r="I879">
        <v>2503.4699999999998</v>
      </c>
      <c r="J879">
        <v>33796.845000000001</v>
      </c>
      <c r="K879">
        <v>3755.2050000000004</v>
      </c>
      <c r="L879">
        <v>37552.050000000003</v>
      </c>
      <c r="M879">
        <v>6759.3690000000006</v>
      </c>
      <c r="N879">
        <v>44311.419000000002</v>
      </c>
      <c r="O879" t="s">
        <v>87</v>
      </c>
      <c r="P879" t="s">
        <v>101</v>
      </c>
    </row>
    <row r="880" spans="1:16" x14ac:dyDescent="0.25">
      <c r="A880" s="2">
        <v>45118</v>
      </c>
      <c r="B880" t="s">
        <v>21</v>
      </c>
      <c r="C880" t="s">
        <v>62</v>
      </c>
      <c r="D880" t="s">
        <v>65</v>
      </c>
      <c r="E880" t="s">
        <v>64</v>
      </c>
      <c r="F880" t="s">
        <v>27</v>
      </c>
      <c r="G880" t="s">
        <v>42</v>
      </c>
      <c r="H880">
        <v>13</v>
      </c>
      <c r="I880">
        <v>2244.77</v>
      </c>
      <c r="J880">
        <v>26263.808999999997</v>
      </c>
      <c r="K880">
        <v>2918.201</v>
      </c>
      <c r="L880">
        <v>29182.01</v>
      </c>
      <c r="M880">
        <v>5252.7617999999993</v>
      </c>
      <c r="N880">
        <v>34434.771799999995</v>
      </c>
      <c r="O880" t="s">
        <v>87</v>
      </c>
      <c r="P880" t="s">
        <v>101</v>
      </c>
    </row>
    <row r="881" spans="1:16" x14ac:dyDescent="0.25">
      <c r="A881" s="2">
        <v>45271</v>
      </c>
      <c r="B881" t="s">
        <v>34</v>
      </c>
      <c r="C881" t="s">
        <v>59</v>
      </c>
      <c r="D881" t="s">
        <v>66</v>
      </c>
      <c r="E881" t="s">
        <v>41</v>
      </c>
      <c r="F881" t="s">
        <v>19</v>
      </c>
      <c r="G881" t="s">
        <v>20</v>
      </c>
      <c r="H881">
        <v>18</v>
      </c>
      <c r="I881">
        <v>3559.2</v>
      </c>
      <c r="J881">
        <v>57659.040000000001</v>
      </c>
      <c r="K881">
        <v>6406.56</v>
      </c>
      <c r="L881">
        <v>64065.599999999999</v>
      </c>
      <c r="M881">
        <v>11531.807999999999</v>
      </c>
      <c r="N881">
        <v>75597.407999999996</v>
      </c>
      <c r="O881" t="s">
        <v>87</v>
      </c>
      <c r="P881" t="s">
        <v>66</v>
      </c>
    </row>
    <row r="882" spans="1:16" x14ac:dyDescent="0.25">
      <c r="A882" s="2">
        <v>45280</v>
      </c>
      <c r="B882" t="s">
        <v>25</v>
      </c>
      <c r="C882" t="s">
        <v>57</v>
      </c>
      <c r="D882" t="s">
        <v>22</v>
      </c>
      <c r="E882" t="s">
        <v>13</v>
      </c>
      <c r="F882" t="s">
        <v>23</v>
      </c>
      <c r="G882" t="s">
        <v>47</v>
      </c>
      <c r="H882">
        <v>16</v>
      </c>
      <c r="I882">
        <v>4238.6400000000003</v>
      </c>
      <c r="J882">
        <v>61036.416000000005</v>
      </c>
      <c r="K882">
        <v>6781.8240000000005</v>
      </c>
      <c r="L882">
        <v>67818.240000000005</v>
      </c>
      <c r="M882">
        <v>12207.2832</v>
      </c>
      <c r="N882">
        <v>80025.523200000011</v>
      </c>
      <c r="O882" t="s">
        <v>87</v>
      </c>
      <c r="P882" t="s">
        <v>99</v>
      </c>
    </row>
    <row r="883" spans="1:16" x14ac:dyDescent="0.25">
      <c r="A883" s="2">
        <v>45244</v>
      </c>
      <c r="B883" t="s">
        <v>29</v>
      </c>
      <c r="C883" t="s">
        <v>26</v>
      </c>
      <c r="D883" t="s">
        <v>12</v>
      </c>
      <c r="E883" t="s">
        <v>18</v>
      </c>
      <c r="F883" t="s">
        <v>23</v>
      </c>
      <c r="G883" t="s">
        <v>47</v>
      </c>
      <c r="H883">
        <v>13</v>
      </c>
      <c r="I883">
        <v>151.65</v>
      </c>
      <c r="J883">
        <v>1774.3050000000001</v>
      </c>
      <c r="K883">
        <v>197.14500000000001</v>
      </c>
      <c r="L883">
        <v>1971.45</v>
      </c>
      <c r="M883">
        <v>354.86099999999999</v>
      </c>
      <c r="N883">
        <v>2326.3110000000001</v>
      </c>
      <c r="O883" t="s">
        <v>87</v>
      </c>
      <c r="P883" t="s">
        <v>100</v>
      </c>
    </row>
    <row r="884" spans="1:16" x14ac:dyDescent="0.25">
      <c r="A884" s="2">
        <v>45086</v>
      </c>
      <c r="B884" t="s">
        <v>10</v>
      </c>
      <c r="C884" t="s">
        <v>26</v>
      </c>
      <c r="D884" t="s">
        <v>12</v>
      </c>
      <c r="E884" t="s">
        <v>18</v>
      </c>
      <c r="F884" t="s">
        <v>14</v>
      </c>
      <c r="G884" t="s">
        <v>53</v>
      </c>
      <c r="H884">
        <v>11</v>
      </c>
      <c r="I884">
        <v>4242.8999999999996</v>
      </c>
      <c r="J884">
        <v>42004.71</v>
      </c>
      <c r="K884">
        <v>4667.1900000000005</v>
      </c>
      <c r="L884">
        <v>46671.9</v>
      </c>
      <c r="M884">
        <v>8400.9419999999991</v>
      </c>
      <c r="N884">
        <v>55072.842000000004</v>
      </c>
      <c r="O884" t="s">
        <v>87</v>
      </c>
      <c r="P884" t="s">
        <v>100</v>
      </c>
    </row>
    <row r="885" spans="1:16" x14ac:dyDescent="0.25">
      <c r="A885" s="2">
        <v>45192</v>
      </c>
      <c r="B885" t="s">
        <v>16</v>
      </c>
      <c r="C885" t="s">
        <v>60</v>
      </c>
      <c r="D885" t="s">
        <v>12</v>
      </c>
      <c r="E885" t="s">
        <v>18</v>
      </c>
      <c r="F885" t="s">
        <v>27</v>
      </c>
      <c r="G885" t="s">
        <v>28</v>
      </c>
      <c r="H885">
        <v>9</v>
      </c>
      <c r="I885">
        <v>4639.93</v>
      </c>
      <c r="J885">
        <v>37583.433000000005</v>
      </c>
      <c r="K885">
        <v>4175.9370000000008</v>
      </c>
      <c r="L885">
        <v>41759.370000000003</v>
      </c>
      <c r="M885">
        <v>7516.6866</v>
      </c>
      <c r="N885">
        <v>49276.056600000004</v>
      </c>
      <c r="O885" t="s">
        <v>87</v>
      </c>
      <c r="P885" t="s">
        <v>100</v>
      </c>
    </row>
    <row r="886" spans="1:16" x14ac:dyDescent="0.25">
      <c r="A886" s="2">
        <v>45132</v>
      </c>
      <c r="B886" t="s">
        <v>34</v>
      </c>
      <c r="C886" t="s">
        <v>55</v>
      </c>
      <c r="D886" t="s">
        <v>66</v>
      </c>
      <c r="E886" t="s">
        <v>41</v>
      </c>
      <c r="F886" t="s">
        <v>23</v>
      </c>
      <c r="G886" t="s">
        <v>37</v>
      </c>
      <c r="H886">
        <v>4</v>
      </c>
      <c r="I886">
        <v>4336.92</v>
      </c>
      <c r="J886">
        <v>15612.912</v>
      </c>
      <c r="K886">
        <v>1734.768</v>
      </c>
      <c r="L886">
        <v>17347.68</v>
      </c>
      <c r="M886">
        <v>3122.5823999999998</v>
      </c>
      <c r="N886">
        <v>20470.2624</v>
      </c>
      <c r="O886" t="s">
        <v>87</v>
      </c>
      <c r="P886" t="s">
        <v>66</v>
      </c>
    </row>
    <row r="887" spans="1:16" x14ac:dyDescent="0.25">
      <c r="A887" s="2">
        <v>45036</v>
      </c>
      <c r="B887" t="s">
        <v>10</v>
      </c>
      <c r="C887" t="s">
        <v>58</v>
      </c>
      <c r="D887" t="s">
        <v>12</v>
      </c>
      <c r="E887" t="s">
        <v>18</v>
      </c>
      <c r="F887" t="s">
        <v>14</v>
      </c>
      <c r="G887" t="s">
        <v>15</v>
      </c>
      <c r="H887">
        <v>17</v>
      </c>
      <c r="I887">
        <v>1005.44</v>
      </c>
      <c r="J887">
        <v>15383.232</v>
      </c>
      <c r="K887">
        <v>1709.248</v>
      </c>
      <c r="L887">
        <v>17092.48</v>
      </c>
      <c r="M887">
        <v>3076.6463999999996</v>
      </c>
      <c r="N887">
        <v>20169.126400000001</v>
      </c>
      <c r="O887" t="s">
        <v>87</v>
      </c>
      <c r="P887" t="s">
        <v>100</v>
      </c>
    </row>
    <row r="888" spans="1:16" x14ac:dyDescent="0.25">
      <c r="A888" s="2">
        <v>44996</v>
      </c>
      <c r="B888" t="s">
        <v>16</v>
      </c>
      <c r="C888" t="s">
        <v>57</v>
      </c>
      <c r="D888" t="s">
        <v>22</v>
      </c>
      <c r="E888" t="s">
        <v>13</v>
      </c>
      <c r="F888" t="s">
        <v>14</v>
      </c>
      <c r="G888" t="s">
        <v>51</v>
      </c>
      <c r="H888">
        <v>18</v>
      </c>
      <c r="I888">
        <v>2231.56</v>
      </c>
      <c r="J888">
        <v>36151.272000000004</v>
      </c>
      <c r="K888">
        <v>4016.8080000000004</v>
      </c>
      <c r="L888">
        <v>40168.080000000002</v>
      </c>
      <c r="M888">
        <v>7230.2543999999998</v>
      </c>
      <c r="N888">
        <v>47398.3344</v>
      </c>
      <c r="O888" t="s">
        <v>87</v>
      </c>
      <c r="P888" t="s">
        <v>99</v>
      </c>
    </row>
    <row r="889" spans="1:16" x14ac:dyDescent="0.25">
      <c r="A889" s="2">
        <v>45118</v>
      </c>
      <c r="B889" t="s">
        <v>10</v>
      </c>
      <c r="C889" t="s">
        <v>59</v>
      </c>
      <c r="D889" t="s">
        <v>66</v>
      </c>
      <c r="E889" t="s">
        <v>41</v>
      </c>
      <c r="F889" t="s">
        <v>14</v>
      </c>
      <c r="G889" t="s">
        <v>45</v>
      </c>
      <c r="H889">
        <v>14</v>
      </c>
      <c r="I889">
        <v>3677.67</v>
      </c>
      <c r="J889">
        <v>46338.642</v>
      </c>
      <c r="K889">
        <v>5148.7380000000003</v>
      </c>
      <c r="L889">
        <v>51487.38</v>
      </c>
      <c r="M889">
        <v>9267.7284</v>
      </c>
      <c r="N889">
        <v>60755.108399999997</v>
      </c>
      <c r="O889" t="s">
        <v>87</v>
      </c>
      <c r="P889" t="s">
        <v>66</v>
      </c>
    </row>
    <row r="890" spans="1:16" x14ac:dyDescent="0.25">
      <c r="A890" s="2">
        <v>45003</v>
      </c>
      <c r="B890" t="s">
        <v>21</v>
      </c>
      <c r="C890" t="s">
        <v>55</v>
      </c>
      <c r="D890" t="s">
        <v>66</v>
      </c>
      <c r="E890" t="s">
        <v>41</v>
      </c>
      <c r="F890" t="s">
        <v>32</v>
      </c>
      <c r="G890" t="s">
        <v>50</v>
      </c>
      <c r="H890">
        <v>6</v>
      </c>
      <c r="I890">
        <v>1047.72</v>
      </c>
      <c r="J890">
        <v>5657.6880000000001</v>
      </c>
      <c r="K890">
        <v>628.63200000000006</v>
      </c>
      <c r="L890">
        <v>6286.32</v>
      </c>
      <c r="M890">
        <v>1131.5375999999999</v>
      </c>
      <c r="N890">
        <v>7417.8575999999994</v>
      </c>
      <c r="O890" t="s">
        <v>87</v>
      </c>
      <c r="P890" t="s">
        <v>66</v>
      </c>
    </row>
    <row r="891" spans="1:16" x14ac:dyDescent="0.25">
      <c r="A891" s="2">
        <v>45000</v>
      </c>
      <c r="B891" t="s">
        <v>16</v>
      </c>
      <c r="C891" t="s">
        <v>55</v>
      </c>
      <c r="D891" t="s">
        <v>66</v>
      </c>
      <c r="E891" t="s">
        <v>41</v>
      </c>
      <c r="F891" t="s">
        <v>19</v>
      </c>
      <c r="G891" t="s">
        <v>52</v>
      </c>
      <c r="H891">
        <v>20</v>
      </c>
      <c r="I891">
        <v>827.08</v>
      </c>
      <c r="J891">
        <v>14887.439999999999</v>
      </c>
      <c r="K891">
        <v>1654.1599999999999</v>
      </c>
      <c r="L891">
        <v>16541.599999999999</v>
      </c>
      <c r="M891">
        <v>2977.4879999999998</v>
      </c>
      <c r="N891">
        <v>19519.088</v>
      </c>
      <c r="O891" t="s">
        <v>87</v>
      </c>
      <c r="P891" t="s">
        <v>66</v>
      </c>
    </row>
    <row r="892" spans="1:16" x14ac:dyDescent="0.25">
      <c r="A892" s="2">
        <v>45290</v>
      </c>
      <c r="B892" t="s">
        <v>16</v>
      </c>
      <c r="C892" t="s">
        <v>62</v>
      </c>
      <c r="D892" t="s">
        <v>65</v>
      </c>
      <c r="E892" t="s">
        <v>64</v>
      </c>
      <c r="F892" t="s">
        <v>19</v>
      </c>
      <c r="G892" t="s">
        <v>30</v>
      </c>
      <c r="H892">
        <v>19</v>
      </c>
      <c r="I892">
        <v>1726.65</v>
      </c>
      <c r="J892">
        <v>29525.715</v>
      </c>
      <c r="K892">
        <v>3280.6350000000002</v>
      </c>
      <c r="L892">
        <v>32806.35</v>
      </c>
      <c r="M892">
        <v>5905.1429999999991</v>
      </c>
      <c r="N892">
        <v>38711.492999999995</v>
      </c>
      <c r="O892" t="s">
        <v>87</v>
      </c>
      <c r="P892" t="s">
        <v>101</v>
      </c>
    </row>
    <row r="893" spans="1:16" x14ac:dyDescent="0.25">
      <c r="A893" s="2">
        <v>45054</v>
      </c>
      <c r="B893" t="s">
        <v>29</v>
      </c>
      <c r="C893" t="s">
        <v>54</v>
      </c>
      <c r="D893" t="s">
        <v>12</v>
      </c>
      <c r="E893" t="s">
        <v>18</v>
      </c>
      <c r="F893" t="s">
        <v>19</v>
      </c>
      <c r="G893" t="s">
        <v>48</v>
      </c>
      <c r="H893">
        <v>17</v>
      </c>
      <c r="I893">
        <v>2339.5700000000002</v>
      </c>
      <c r="J893">
        <v>35795.421000000002</v>
      </c>
      <c r="K893">
        <v>3977.2690000000002</v>
      </c>
      <c r="L893">
        <v>39772.69</v>
      </c>
      <c r="M893">
        <v>7159.0842000000002</v>
      </c>
      <c r="N893">
        <v>46931.7742</v>
      </c>
      <c r="O893" t="s">
        <v>87</v>
      </c>
      <c r="P893" t="s">
        <v>100</v>
      </c>
    </row>
    <row r="894" spans="1:16" x14ac:dyDescent="0.25">
      <c r="A894" s="2">
        <v>45048</v>
      </c>
      <c r="B894" t="s">
        <v>29</v>
      </c>
      <c r="C894" t="s">
        <v>55</v>
      </c>
      <c r="D894" t="s">
        <v>66</v>
      </c>
      <c r="E894" t="s">
        <v>41</v>
      </c>
      <c r="F894" t="s">
        <v>23</v>
      </c>
      <c r="G894" t="s">
        <v>37</v>
      </c>
      <c r="H894">
        <v>8</v>
      </c>
      <c r="I894">
        <v>4984.96</v>
      </c>
      <c r="J894">
        <v>35891.712</v>
      </c>
      <c r="K894">
        <v>3987.9680000000003</v>
      </c>
      <c r="L894">
        <v>39879.68</v>
      </c>
      <c r="M894">
        <v>7178.3423999999995</v>
      </c>
      <c r="N894">
        <v>47058.022400000002</v>
      </c>
      <c r="O894" t="s">
        <v>87</v>
      </c>
      <c r="P894" t="s">
        <v>66</v>
      </c>
    </row>
    <row r="895" spans="1:16" x14ac:dyDescent="0.25">
      <c r="A895" s="2">
        <v>45050</v>
      </c>
      <c r="B895" t="s">
        <v>43</v>
      </c>
      <c r="C895" t="s">
        <v>61</v>
      </c>
      <c r="D895" t="s">
        <v>65</v>
      </c>
      <c r="E895" t="s">
        <v>64</v>
      </c>
      <c r="F895" t="s">
        <v>32</v>
      </c>
      <c r="G895" t="s">
        <v>49</v>
      </c>
      <c r="H895">
        <v>17</v>
      </c>
      <c r="I895">
        <v>3259.21</v>
      </c>
      <c r="J895">
        <v>49865.913</v>
      </c>
      <c r="K895">
        <v>5540.6570000000002</v>
      </c>
      <c r="L895">
        <v>55406.57</v>
      </c>
      <c r="M895">
        <v>9973.1826000000001</v>
      </c>
      <c r="N895">
        <v>65379.7526</v>
      </c>
      <c r="O895" t="s">
        <v>87</v>
      </c>
      <c r="P895" t="s">
        <v>101</v>
      </c>
    </row>
    <row r="896" spans="1:16" x14ac:dyDescent="0.25">
      <c r="A896" s="2">
        <v>45168</v>
      </c>
      <c r="B896" t="s">
        <v>16</v>
      </c>
      <c r="C896" t="s">
        <v>17</v>
      </c>
      <c r="D896" t="s">
        <v>65</v>
      </c>
      <c r="E896" t="s">
        <v>64</v>
      </c>
      <c r="F896" t="s">
        <v>14</v>
      </c>
      <c r="G896" t="s">
        <v>15</v>
      </c>
      <c r="H896">
        <v>7</v>
      </c>
      <c r="I896">
        <v>4847.62</v>
      </c>
      <c r="J896">
        <v>30540.005999999998</v>
      </c>
      <c r="K896">
        <v>3393.3339999999998</v>
      </c>
      <c r="L896">
        <v>33933.339999999997</v>
      </c>
      <c r="M896">
        <v>6108.0011999999988</v>
      </c>
      <c r="N896">
        <v>40041.341199999995</v>
      </c>
      <c r="O896" t="s">
        <v>87</v>
      </c>
      <c r="P896" t="s">
        <v>101</v>
      </c>
    </row>
    <row r="897" spans="1:16" x14ac:dyDescent="0.25">
      <c r="A897" s="2">
        <v>45130</v>
      </c>
      <c r="B897" t="s">
        <v>21</v>
      </c>
      <c r="C897" t="s">
        <v>56</v>
      </c>
      <c r="D897" t="s">
        <v>12</v>
      </c>
      <c r="E897" t="s">
        <v>18</v>
      </c>
      <c r="F897" t="s">
        <v>27</v>
      </c>
      <c r="G897" t="s">
        <v>42</v>
      </c>
      <c r="H897">
        <v>6</v>
      </c>
      <c r="I897">
        <v>2260.16</v>
      </c>
      <c r="J897">
        <v>12204.864</v>
      </c>
      <c r="K897">
        <v>1356.096</v>
      </c>
      <c r="L897">
        <v>13560.96</v>
      </c>
      <c r="M897">
        <v>2440.9727999999996</v>
      </c>
      <c r="N897">
        <v>16001.932799999999</v>
      </c>
      <c r="O897" t="s">
        <v>87</v>
      </c>
      <c r="P897" t="s">
        <v>100</v>
      </c>
    </row>
    <row r="898" spans="1:16" x14ac:dyDescent="0.25">
      <c r="A898" s="2">
        <v>45181</v>
      </c>
      <c r="B898" t="s">
        <v>31</v>
      </c>
      <c r="C898" t="s">
        <v>26</v>
      </c>
      <c r="D898" t="s">
        <v>12</v>
      </c>
      <c r="E898" t="s">
        <v>18</v>
      </c>
      <c r="F898" t="s">
        <v>14</v>
      </c>
      <c r="G898" t="s">
        <v>45</v>
      </c>
      <c r="H898">
        <v>16</v>
      </c>
      <c r="I898">
        <v>1795.37</v>
      </c>
      <c r="J898">
        <v>25853.327999999998</v>
      </c>
      <c r="K898">
        <v>2872.5920000000001</v>
      </c>
      <c r="L898">
        <v>28725.919999999998</v>
      </c>
      <c r="M898">
        <v>5170.6655999999994</v>
      </c>
      <c r="N898">
        <v>33896.585599999999</v>
      </c>
      <c r="O898" t="s">
        <v>87</v>
      </c>
      <c r="P898" t="s">
        <v>100</v>
      </c>
    </row>
    <row r="899" spans="1:16" x14ac:dyDescent="0.25">
      <c r="A899" s="2">
        <v>45049</v>
      </c>
      <c r="B899" t="s">
        <v>31</v>
      </c>
      <c r="C899" t="s">
        <v>63</v>
      </c>
      <c r="D899" t="s">
        <v>65</v>
      </c>
      <c r="E899" t="s">
        <v>64</v>
      </c>
      <c r="F899" t="s">
        <v>32</v>
      </c>
      <c r="G899" t="s">
        <v>50</v>
      </c>
      <c r="H899">
        <v>19</v>
      </c>
      <c r="I899">
        <v>2040.79</v>
      </c>
      <c r="J899">
        <v>34897.509000000005</v>
      </c>
      <c r="K899">
        <v>3877.5010000000002</v>
      </c>
      <c r="L899">
        <v>38775.01</v>
      </c>
      <c r="M899">
        <v>6979.5018</v>
      </c>
      <c r="N899">
        <v>45754.5118</v>
      </c>
      <c r="O899" t="s">
        <v>87</v>
      </c>
      <c r="P899" t="s">
        <v>101</v>
      </c>
    </row>
    <row r="900" spans="1:16" x14ac:dyDescent="0.25">
      <c r="A900" s="2">
        <v>45135</v>
      </c>
      <c r="B900" t="s">
        <v>40</v>
      </c>
      <c r="C900" t="s">
        <v>62</v>
      </c>
      <c r="D900" t="s">
        <v>65</v>
      </c>
      <c r="E900" t="s">
        <v>64</v>
      </c>
      <c r="F900" t="s">
        <v>14</v>
      </c>
      <c r="G900" t="s">
        <v>53</v>
      </c>
      <c r="H900">
        <v>13</v>
      </c>
      <c r="I900">
        <v>1764.64</v>
      </c>
      <c r="J900">
        <v>20646.288</v>
      </c>
      <c r="K900">
        <v>2294.0320000000002</v>
      </c>
      <c r="L900">
        <v>22940.32</v>
      </c>
      <c r="M900">
        <v>4129.2575999999999</v>
      </c>
      <c r="N900">
        <v>27069.577600000001</v>
      </c>
      <c r="O900" t="s">
        <v>87</v>
      </c>
      <c r="P900" t="s">
        <v>101</v>
      </c>
    </row>
    <row r="901" spans="1:16" x14ac:dyDescent="0.25">
      <c r="A901" s="2">
        <v>45159</v>
      </c>
      <c r="B901" t="s">
        <v>10</v>
      </c>
      <c r="C901" t="s">
        <v>17</v>
      </c>
      <c r="D901" t="s">
        <v>65</v>
      </c>
      <c r="E901" t="s">
        <v>64</v>
      </c>
      <c r="F901" t="s">
        <v>27</v>
      </c>
      <c r="G901" t="s">
        <v>42</v>
      </c>
      <c r="H901">
        <v>6</v>
      </c>
      <c r="I901">
        <v>746.23</v>
      </c>
      <c r="J901">
        <v>4029.6420000000003</v>
      </c>
      <c r="K901">
        <v>447.73800000000006</v>
      </c>
      <c r="L901">
        <v>4477.38</v>
      </c>
      <c r="M901">
        <v>805.92840000000001</v>
      </c>
      <c r="N901">
        <v>5283.3083999999999</v>
      </c>
      <c r="O901" t="s">
        <v>87</v>
      </c>
      <c r="P901" t="s">
        <v>101</v>
      </c>
    </row>
    <row r="902" spans="1:16" x14ac:dyDescent="0.25">
      <c r="A902" s="2">
        <v>45240</v>
      </c>
      <c r="B902" t="s">
        <v>21</v>
      </c>
      <c r="C902" t="s">
        <v>26</v>
      </c>
      <c r="D902" t="s">
        <v>12</v>
      </c>
      <c r="E902" t="s">
        <v>18</v>
      </c>
      <c r="F902" t="s">
        <v>14</v>
      </c>
      <c r="G902" t="s">
        <v>51</v>
      </c>
      <c r="H902">
        <v>14</v>
      </c>
      <c r="I902">
        <v>2385.9899999999998</v>
      </c>
      <c r="J902">
        <v>30063.474000000002</v>
      </c>
      <c r="K902">
        <v>3340.3860000000004</v>
      </c>
      <c r="L902">
        <v>33403.86</v>
      </c>
      <c r="M902">
        <v>6012.6948000000002</v>
      </c>
      <c r="N902">
        <v>39416.554799999998</v>
      </c>
      <c r="O902" t="s">
        <v>87</v>
      </c>
      <c r="P902" t="s">
        <v>100</v>
      </c>
    </row>
    <row r="903" spans="1:16" x14ac:dyDescent="0.25">
      <c r="A903" s="2">
        <v>45028</v>
      </c>
      <c r="B903" t="s">
        <v>10</v>
      </c>
      <c r="C903" t="s">
        <v>63</v>
      </c>
      <c r="D903" t="s">
        <v>65</v>
      </c>
      <c r="E903" t="s">
        <v>64</v>
      </c>
      <c r="F903" t="s">
        <v>32</v>
      </c>
      <c r="G903" t="s">
        <v>33</v>
      </c>
      <c r="H903">
        <v>1</v>
      </c>
      <c r="I903">
        <v>2362.15</v>
      </c>
      <c r="J903">
        <v>2125.9349999999999</v>
      </c>
      <c r="K903">
        <v>236.21500000000003</v>
      </c>
      <c r="L903">
        <v>2362.15</v>
      </c>
      <c r="M903">
        <v>425.18700000000001</v>
      </c>
      <c r="N903">
        <v>2787.337</v>
      </c>
      <c r="O903" t="s">
        <v>87</v>
      </c>
      <c r="P903" t="s">
        <v>101</v>
      </c>
    </row>
    <row r="904" spans="1:16" x14ac:dyDescent="0.25">
      <c r="A904" s="2">
        <v>45286</v>
      </c>
      <c r="B904" t="s">
        <v>31</v>
      </c>
      <c r="C904" t="s">
        <v>26</v>
      </c>
      <c r="D904" t="s">
        <v>12</v>
      </c>
      <c r="E904" t="s">
        <v>18</v>
      </c>
      <c r="F904" t="s">
        <v>23</v>
      </c>
      <c r="G904" t="s">
        <v>37</v>
      </c>
      <c r="H904">
        <v>16</v>
      </c>
      <c r="I904">
        <v>1236.8</v>
      </c>
      <c r="J904">
        <v>17809.919999999998</v>
      </c>
      <c r="K904">
        <v>1978.88</v>
      </c>
      <c r="L904">
        <v>19788.8</v>
      </c>
      <c r="M904">
        <v>3561.9839999999999</v>
      </c>
      <c r="N904">
        <v>23350.784</v>
      </c>
      <c r="O904" t="s">
        <v>87</v>
      </c>
      <c r="P904" t="s">
        <v>100</v>
      </c>
    </row>
    <row r="905" spans="1:16" x14ac:dyDescent="0.25">
      <c r="A905" s="2">
        <v>44965</v>
      </c>
      <c r="B905" t="s">
        <v>25</v>
      </c>
      <c r="C905" t="s">
        <v>26</v>
      </c>
      <c r="D905" t="s">
        <v>12</v>
      </c>
      <c r="E905" t="s">
        <v>18</v>
      </c>
      <c r="F905" t="s">
        <v>32</v>
      </c>
      <c r="G905" t="s">
        <v>36</v>
      </c>
      <c r="H905">
        <v>17</v>
      </c>
      <c r="I905">
        <v>1248.03</v>
      </c>
      <c r="J905">
        <v>19094.859</v>
      </c>
      <c r="K905">
        <v>2121.6509999999998</v>
      </c>
      <c r="L905">
        <v>21216.51</v>
      </c>
      <c r="M905">
        <v>3818.9717999999993</v>
      </c>
      <c r="N905">
        <v>25035.481799999998</v>
      </c>
      <c r="O905" t="s">
        <v>87</v>
      </c>
      <c r="P905" t="s">
        <v>100</v>
      </c>
    </row>
    <row r="906" spans="1:16" x14ac:dyDescent="0.25">
      <c r="A906" s="2">
        <v>45080</v>
      </c>
      <c r="B906" t="s">
        <v>40</v>
      </c>
      <c r="C906" t="s">
        <v>61</v>
      </c>
      <c r="D906" t="s">
        <v>65</v>
      </c>
      <c r="E906" t="s">
        <v>64</v>
      </c>
      <c r="F906" t="s">
        <v>19</v>
      </c>
      <c r="G906" t="s">
        <v>30</v>
      </c>
      <c r="H906">
        <v>16</v>
      </c>
      <c r="I906">
        <v>665.83</v>
      </c>
      <c r="J906">
        <v>9587.9520000000011</v>
      </c>
      <c r="K906">
        <v>1065.3280000000002</v>
      </c>
      <c r="L906">
        <v>10653.28</v>
      </c>
      <c r="M906">
        <v>1917.5904</v>
      </c>
      <c r="N906">
        <v>12570.8704</v>
      </c>
      <c r="O906" t="s">
        <v>87</v>
      </c>
      <c r="P906" t="s">
        <v>101</v>
      </c>
    </row>
    <row r="907" spans="1:16" x14ac:dyDescent="0.25">
      <c r="A907" s="2">
        <v>45052</v>
      </c>
      <c r="B907" t="s">
        <v>10</v>
      </c>
      <c r="C907" t="s">
        <v>59</v>
      </c>
      <c r="D907" t="s">
        <v>66</v>
      </c>
      <c r="E907" t="s">
        <v>41</v>
      </c>
      <c r="F907" t="s">
        <v>32</v>
      </c>
      <c r="G907" t="s">
        <v>49</v>
      </c>
      <c r="H907">
        <v>16</v>
      </c>
      <c r="I907">
        <v>615.70000000000005</v>
      </c>
      <c r="J907">
        <v>8866.0800000000017</v>
      </c>
      <c r="K907">
        <v>985.12000000000012</v>
      </c>
      <c r="L907">
        <v>9851.2000000000007</v>
      </c>
      <c r="M907">
        <v>1773.2160000000001</v>
      </c>
      <c r="N907">
        <v>11624.416000000001</v>
      </c>
      <c r="O907" t="s">
        <v>87</v>
      </c>
      <c r="P907" t="s">
        <v>66</v>
      </c>
    </row>
    <row r="908" spans="1:16" x14ac:dyDescent="0.25">
      <c r="A908" s="2">
        <v>45103</v>
      </c>
      <c r="B908" t="s">
        <v>34</v>
      </c>
      <c r="C908" t="s">
        <v>62</v>
      </c>
      <c r="D908" t="s">
        <v>65</v>
      </c>
      <c r="E908" t="s">
        <v>64</v>
      </c>
      <c r="F908" t="s">
        <v>19</v>
      </c>
      <c r="G908" t="s">
        <v>52</v>
      </c>
      <c r="H908">
        <v>13</v>
      </c>
      <c r="I908">
        <v>3616.99</v>
      </c>
      <c r="J908">
        <v>42318.783000000003</v>
      </c>
      <c r="K908">
        <v>4702.0870000000004</v>
      </c>
      <c r="L908">
        <v>47020.87</v>
      </c>
      <c r="M908">
        <v>8463.7566000000006</v>
      </c>
      <c r="N908">
        <v>55484.626600000003</v>
      </c>
      <c r="O908" t="s">
        <v>87</v>
      </c>
      <c r="P908" t="s">
        <v>101</v>
      </c>
    </row>
    <row r="909" spans="1:16" x14ac:dyDescent="0.25">
      <c r="A909" s="2">
        <v>45085</v>
      </c>
      <c r="B909" t="s">
        <v>43</v>
      </c>
      <c r="C909" t="s">
        <v>55</v>
      </c>
      <c r="D909" t="s">
        <v>66</v>
      </c>
      <c r="E909" t="s">
        <v>41</v>
      </c>
      <c r="F909" t="s">
        <v>23</v>
      </c>
      <c r="G909" t="s">
        <v>37</v>
      </c>
      <c r="H909">
        <v>9</v>
      </c>
      <c r="I909">
        <v>1940.11</v>
      </c>
      <c r="J909">
        <v>15714.891000000001</v>
      </c>
      <c r="K909">
        <v>1746.0990000000002</v>
      </c>
      <c r="L909">
        <v>17460.990000000002</v>
      </c>
      <c r="M909">
        <v>3142.9782</v>
      </c>
      <c r="N909">
        <v>20603.968200000003</v>
      </c>
      <c r="O909" t="s">
        <v>87</v>
      </c>
      <c r="P909" t="s">
        <v>66</v>
      </c>
    </row>
    <row r="910" spans="1:16" x14ac:dyDescent="0.25">
      <c r="A910" s="2">
        <v>45036</v>
      </c>
      <c r="B910" t="s">
        <v>38</v>
      </c>
      <c r="C910" t="s">
        <v>55</v>
      </c>
      <c r="D910" t="s">
        <v>66</v>
      </c>
      <c r="E910" t="s">
        <v>41</v>
      </c>
      <c r="F910" t="s">
        <v>32</v>
      </c>
      <c r="G910" t="s">
        <v>36</v>
      </c>
      <c r="H910">
        <v>16</v>
      </c>
      <c r="I910">
        <v>1064.93</v>
      </c>
      <c r="J910">
        <v>15334.992000000002</v>
      </c>
      <c r="K910">
        <v>1703.8880000000001</v>
      </c>
      <c r="L910">
        <v>17038.88</v>
      </c>
      <c r="M910">
        <v>3066.9983999999999</v>
      </c>
      <c r="N910">
        <v>20105.878400000001</v>
      </c>
      <c r="O910" t="s">
        <v>87</v>
      </c>
      <c r="P910" t="s">
        <v>66</v>
      </c>
    </row>
    <row r="911" spans="1:16" x14ac:dyDescent="0.25">
      <c r="A911" s="2">
        <v>44968</v>
      </c>
      <c r="B911" t="s">
        <v>38</v>
      </c>
      <c r="C911" t="s">
        <v>26</v>
      </c>
      <c r="D911" t="s">
        <v>12</v>
      </c>
      <c r="E911" t="s">
        <v>18</v>
      </c>
      <c r="F911" t="s">
        <v>23</v>
      </c>
      <c r="G911" t="s">
        <v>47</v>
      </c>
      <c r="H911">
        <v>2</v>
      </c>
      <c r="I911">
        <v>4845.74</v>
      </c>
      <c r="J911">
        <v>8722.3320000000003</v>
      </c>
      <c r="K911">
        <v>969.14800000000002</v>
      </c>
      <c r="L911">
        <v>9691.48</v>
      </c>
      <c r="M911">
        <v>1744.4663999999998</v>
      </c>
      <c r="N911">
        <v>11435.946399999999</v>
      </c>
      <c r="O911" t="s">
        <v>87</v>
      </c>
      <c r="P911" t="s">
        <v>100</v>
      </c>
    </row>
    <row r="912" spans="1:16" x14ac:dyDescent="0.25">
      <c r="A912" s="2">
        <v>45168</v>
      </c>
      <c r="B912" t="s">
        <v>25</v>
      </c>
      <c r="C912" t="s">
        <v>57</v>
      </c>
      <c r="D912" t="s">
        <v>22</v>
      </c>
      <c r="E912" t="s">
        <v>13</v>
      </c>
      <c r="F912" t="s">
        <v>27</v>
      </c>
      <c r="G912" t="s">
        <v>46</v>
      </c>
      <c r="H912">
        <v>3</v>
      </c>
      <c r="I912">
        <v>4766.28</v>
      </c>
      <c r="J912">
        <v>12868.956</v>
      </c>
      <c r="K912">
        <v>1429.884</v>
      </c>
      <c r="L912">
        <v>14298.84</v>
      </c>
      <c r="M912">
        <v>2573.7912000000001</v>
      </c>
      <c r="N912">
        <v>16872.6312</v>
      </c>
      <c r="O912" t="s">
        <v>87</v>
      </c>
      <c r="P912" t="s">
        <v>99</v>
      </c>
    </row>
    <row r="913" spans="1:16" x14ac:dyDescent="0.25">
      <c r="A913" s="2">
        <v>44996</v>
      </c>
      <c r="B913" t="s">
        <v>16</v>
      </c>
      <c r="C913" t="s">
        <v>26</v>
      </c>
      <c r="D913" t="s">
        <v>12</v>
      </c>
      <c r="E913" t="s">
        <v>18</v>
      </c>
      <c r="F913" t="s">
        <v>23</v>
      </c>
      <c r="G913" t="s">
        <v>47</v>
      </c>
      <c r="H913">
        <v>15</v>
      </c>
      <c r="I913">
        <v>3946.23</v>
      </c>
      <c r="J913">
        <v>53274.104999999996</v>
      </c>
      <c r="K913">
        <v>5919.3450000000003</v>
      </c>
      <c r="L913">
        <v>59193.45</v>
      </c>
      <c r="M913">
        <v>10654.821</v>
      </c>
      <c r="N913">
        <v>69848.270999999993</v>
      </c>
      <c r="O913" t="s">
        <v>87</v>
      </c>
      <c r="P913" t="s">
        <v>100</v>
      </c>
    </row>
    <row r="914" spans="1:16" x14ac:dyDescent="0.25">
      <c r="A914" s="2">
        <v>45115</v>
      </c>
      <c r="B914" t="s">
        <v>34</v>
      </c>
      <c r="C914" t="s">
        <v>35</v>
      </c>
      <c r="D914" t="s">
        <v>65</v>
      </c>
      <c r="E914" t="s">
        <v>64</v>
      </c>
      <c r="F914" t="s">
        <v>23</v>
      </c>
      <c r="G914" t="s">
        <v>37</v>
      </c>
      <c r="H914">
        <v>12</v>
      </c>
      <c r="I914">
        <v>1804.27</v>
      </c>
      <c r="J914">
        <v>19486.116000000002</v>
      </c>
      <c r="K914">
        <v>2165.1240000000003</v>
      </c>
      <c r="L914">
        <v>21651.24</v>
      </c>
      <c r="M914">
        <v>3897.2232000000004</v>
      </c>
      <c r="N914">
        <v>25548.463200000002</v>
      </c>
      <c r="O914" t="s">
        <v>87</v>
      </c>
      <c r="P914" t="s">
        <v>101</v>
      </c>
    </row>
    <row r="915" spans="1:16" x14ac:dyDescent="0.25">
      <c r="A915" s="2">
        <v>45253</v>
      </c>
      <c r="B915" t="s">
        <v>29</v>
      </c>
      <c r="C915" t="s">
        <v>11</v>
      </c>
      <c r="D915" t="s">
        <v>22</v>
      </c>
      <c r="E915" t="s">
        <v>13</v>
      </c>
      <c r="F915" t="s">
        <v>32</v>
      </c>
      <c r="G915" t="s">
        <v>33</v>
      </c>
      <c r="H915">
        <v>3</v>
      </c>
      <c r="I915">
        <v>2055.4499999999998</v>
      </c>
      <c r="J915">
        <v>5549.7150000000001</v>
      </c>
      <c r="K915">
        <v>616.6350000000001</v>
      </c>
      <c r="L915">
        <v>6166.35</v>
      </c>
      <c r="M915">
        <v>1109.943</v>
      </c>
      <c r="N915">
        <v>7276.2930000000006</v>
      </c>
      <c r="O915" t="s">
        <v>87</v>
      </c>
      <c r="P915" t="s">
        <v>99</v>
      </c>
    </row>
    <row r="916" spans="1:16" x14ac:dyDescent="0.25">
      <c r="A916" s="2">
        <v>45204</v>
      </c>
      <c r="B916" t="s">
        <v>29</v>
      </c>
      <c r="C916" t="s">
        <v>26</v>
      </c>
      <c r="D916" t="s">
        <v>12</v>
      </c>
      <c r="E916" t="s">
        <v>18</v>
      </c>
      <c r="F916" t="s">
        <v>14</v>
      </c>
      <c r="G916" t="s">
        <v>45</v>
      </c>
      <c r="H916">
        <v>5</v>
      </c>
      <c r="I916">
        <v>1568.68</v>
      </c>
      <c r="J916">
        <v>7059.0599999999995</v>
      </c>
      <c r="K916">
        <v>784.34</v>
      </c>
      <c r="L916">
        <v>7843.4</v>
      </c>
      <c r="M916">
        <v>1411.8119999999999</v>
      </c>
      <c r="N916">
        <v>9255.2119999999995</v>
      </c>
      <c r="O916" t="s">
        <v>87</v>
      </c>
      <c r="P916" t="s">
        <v>100</v>
      </c>
    </row>
    <row r="917" spans="1:16" x14ac:dyDescent="0.25">
      <c r="A917" s="2">
        <v>44975</v>
      </c>
      <c r="B917" t="s">
        <v>31</v>
      </c>
      <c r="C917" t="s">
        <v>57</v>
      </c>
      <c r="D917" t="s">
        <v>22</v>
      </c>
      <c r="E917" t="s">
        <v>13</v>
      </c>
      <c r="F917" t="s">
        <v>14</v>
      </c>
      <c r="G917" t="s">
        <v>51</v>
      </c>
      <c r="H917">
        <v>16</v>
      </c>
      <c r="I917">
        <v>2288.6799999999998</v>
      </c>
      <c r="J917">
        <v>32956.991999999998</v>
      </c>
      <c r="K917">
        <v>3661.8879999999999</v>
      </c>
      <c r="L917">
        <v>36618.879999999997</v>
      </c>
      <c r="M917">
        <v>6591.3983999999991</v>
      </c>
      <c r="N917">
        <v>43210.278399999996</v>
      </c>
      <c r="O917" t="s">
        <v>87</v>
      </c>
      <c r="P917" t="s">
        <v>99</v>
      </c>
    </row>
    <row r="918" spans="1:16" x14ac:dyDescent="0.25">
      <c r="A918" s="2">
        <v>45084</v>
      </c>
      <c r="B918" t="s">
        <v>40</v>
      </c>
      <c r="C918" t="s">
        <v>55</v>
      </c>
      <c r="D918" t="s">
        <v>66</v>
      </c>
      <c r="E918" t="s">
        <v>41</v>
      </c>
      <c r="F918" t="s">
        <v>14</v>
      </c>
      <c r="G918" t="s">
        <v>53</v>
      </c>
      <c r="H918">
        <v>12</v>
      </c>
      <c r="I918">
        <v>2133.0500000000002</v>
      </c>
      <c r="J918">
        <v>23036.94</v>
      </c>
      <c r="K918">
        <v>2559.66</v>
      </c>
      <c r="L918">
        <v>25596.6</v>
      </c>
      <c r="M918">
        <v>4607.3879999999999</v>
      </c>
      <c r="N918">
        <v>30203.987999999998</v>
      </c>
      <c r="O918" t="s">
        <v>87</v>
      </c>
      <c r="P918" t="s">
        <v>66</v>
      </c>
    </row>
    <row r="919" spans="1:16" x14ac:dyDescent="0.25">
      <c r="A919" s="2">
        <v>45021</v>
      </c>
      <c r="B919" t="s">
        <v>40</v>
      </c>
      <c r="C919" t="s">
        <v>59</v>
      </c>
      <c r="D919" t="s">
        <v>66</v>
      </c>
      <c r="E919" t="s">
        <v>41</v>
      </c>
      <c r="F919" t="s">
        <v>27</v>
      </c>
      <c r="G919" t="s">
        <v>44</v>
      </c>
      <c r="H919">
        <v>4</v>
      </c>
      <c r="I919">
        <v>1208.42</v>
      </c>
      <c r="J919">
        <v>4350.3120000000008</v>
      </c>
      <c r="K919">
        <v>483.36800000000005</v>
      </c>
      <c r="L919">
        <v>4833.68</v>
      </c>
      <c r="M919">
        <v>870.06240000000003</v>
      </c>
      <c r="N919">
        <v>5703.7424000000001</v>
      </c>
      <c r="O919" t="s">
        <v>87</v>
      </c>
      <c r="P919" t="s">
        <v>66</v>
      </c>
    </row>
    <row r="920" spans="1:16" x14ac:dyDescent="0.25">
      <c r="A920" s="2">
        <v>45086</v>
      </c>
      <c r="B920" t="s">
        <v>40</v>
      </c>
      <c r="C920" t="s">
        <v>58</v>
      </c>
      <c r="D920" t="s">
        <v>12</v>
      </c>
      <c r="E920" t="s">
        <v>18</v>
      </c>
      <c r="F920" t="s">
        <v>19</v>
      </c>
      <c r="G920" t="s">
        <v>20</v>
      </c>
      <c r="H920">
        <v>14</v>
      </c>
      <c r="I920">
        <v>630.45000000000005</v>
      </c>
      <c r="J920">
        <v>7943.6699999999992</v>
      </c>
      <c r="K920">
        <v>882.63</v>
      </c>
      <c r="L920">
        <v>8826.2999999999993</v>
      </c>
      <c r="M920">
        <v>1588.7339999999999</v>
      </c>
      <c r="N920">
        <v>10415.034</v>
      </c>
      <c r="O920" t="s">
        <v>87</v>
      </c>
      <c r="P920" t="s">
        <v>100</v>
      </c>
    </row>
    <row r="921" spans="1:16" x14ac:dyDescent="0.25">
      <c r="A921" s="2">
        <v>44948</v>
      </c>
      <c r="B921" t="s">
        <v>29</v>
      </c>
      <c r="C921" t="s">
        <v>11</v>
      </c>
      <c r="D921" t="s">
        <v>22</v>
      </c>
      <c r="E921" t="s">
        <v>13</v>
      </c>
      <c r="F921" t="s">
        <v>23</v>
      </c>
      <c r="G921" t="s">
        <v>24</v>
      </c>
      <c r="H921">
        <v>14</v>
      </c>
      <c r="I921">
        <v>2713.47</v>
      </c>
      <c r="J921">
        <v>34189.722000000002</v>
      </c>
      <c r="K921">
        <v>3798.8580000000002</v>
      </c>
      <c r="L921">
        <v>37988.58</v>
      </c>
      <c r="M921">
        <v>6837.9444000000003</v>
      </c>
      <c r="N921">
        <v>44826.524400000002</v>
      </c>
      <c r="O921" t="s">
        <v>87</v>
      </c>
      <c r="P921" t="s">
        <v>99</v>
      </c>
    </row>
    <row r="922" spans="1:16" x14ac:dyDescent="0.25">
      <c r="A922" s="2">
        <v>45025</v>
      </c>
      <c r="B922" t="s">
        <v>10</v>
      </c>
      <c r="C922" t="s">
        <v>58</v>
      </c>
      <c r="D922" t="s">
        <v>12</v>
      </c>
      <c r="E922" t="s">
        <v>18</v>
      </c>
      <c r="F922" t="s">
        <v>14</v>
      </c>
      <c r="G922" t="s">
        <v>53</v>
      </c>
      <c r="H922">
        <v>7</v>
      </c>
      <c r="I922">
        <v>3273.61</v>
      </c>
      <c r="J922">
        <v>20623.743000000002</v>
      </c>
      <c r="K922">
        <v>2291.527</v>
      </c>
      <c r="L922">
        <v>22915.27</v>
      </c>
      <c r="M922">
        <v>4124.7485999999999</v>
      </c>
      <c r="N922">
        <v>27040.018599999999</v>
      </c>
      <c r="O922" t="s">
        <v>87</v>
      </c>
      <c r="P922" t="s">
        <v>100</v>
      </c>
    </row>
    <row r="923" spans="1:16" x14ac:dyDescent="0.25">
      <c r="A923" s="2">
        <v>45189</v>
      </c>
      <c r="B923" t="s">
        <v>29</v>
      </c>
      <c r="C923" t="s">
        <v>59</v>
      </c>
      <c r="D923" t="s">
        <v>66</v>
      </c>
      <c r="E923" t="s">
        <v>41</v>
      </c>
      <c r="F923" t="s">
        <v>23</v>
      </c>
      <c r="G923" t="s">
        <v>39</v>
      </c>
      <c r="H923">
        <v>9</v>
      </c>
      <c r="I923">
        <v>566.91999999999996</v>
      </c>
      <c r="J923">
        <v>4592.0519999999997</v>
      </c>
      <c r="K923">
        <v>510.22800000000001</v>
      </c>
      <c r="L923">
        <v>5102.28</v>
      </c>
      <c r="M923">
        <v>918.41039999999987</v>
      </c>
      <c r="N923">
        <v>6020.6903999999995</v>
      </c>
      <c r="O923" t="s">
        <v>87</v>
      </c>
      <c r="P923" t="s">
        <v>66</v>
      </c>
    </row>
    <row r="924" spans="1:16" x14ac:dyDescent="0.25">
      <c r="A924" s="2">
        <v>45004</v>
      </c>
      <c r="B924" t="s">
        <v>38</v>
      </c>
      <c r="C924" t="s">
        <v>57</v>
      </c>
      <c r="D924" t="s">
        <v>22</v>
      </c>
      <c r="E924" t="s">
        <v>13</v>
      </c>
      <c r="F924" t="s">
        <v>32</v>
      </c>
      <c r="G924" t="s">
        <v>36</v>
      </c>
      <c r="H924">
        <v>2</v>
      </c>
      <c r="I924">
        <v>3830.39</v>
      </c>
      <c r="J924">
        <v>6894.7020000000002</v>
      </c>
      <c r="K924">
        <v>766.07799999999997</v>
      </c>
      <c r="L924">
        <v>7660.78</v>
      </c>
      <c r="M924">
        <v>1378.9404</v>
      </c>
      <c r="N924">
        <v>9039.7204000000002</v>
      </c>
      <c r="O924" t="s">
        <v>87</v>
      </c>
      <c r="P924" t="s">
        <v>99</v>
      </c>
    </row>
    <row r="925" spans="1:16" x14ac:dyDescent="0.25">
      <c r="A925" s="2">
        <v>45250</v>
      </c>
      <c r="B925" t="s">
        <v>25</v>
      </c>
      <c r="C925" t="s">
        <v>59</v>
      </c>
      <c r="D925" t="s">
        <v>66</v>
      </c>
      <c r="E925" t="s">
        <v>41</v>
      </c>
      <c r="F925" t="s">
        <v>32</v>
      </c>
      <c r="G925" t="s">
        <v>49</v>
      </c>
      <c r="H925">
        <v>7</v>
      </c>
      <c r="I925">
        <v>4456.5</v>
      </c>
      <c r="J925">
        <v>28075.95</v>
      </c>
      <c r="K925">
        <v>3119.55</v>
      </c>
      <c r="L925">
        <v>31195.5</v>
      </c>
      <c r="M925">
        <v>5615.19</v>
      </c>
      <c r="N925">
        <v>36810.69</v>
      </c>
      <c r="O925" t="s">
        <v>87</v>
      </c>
      <c r="P925" t="s">
        <v>66</v>
      </c>
    </row>
    <row r="926" spans="1:16" x14ac:dyDescent="0.25">
      <c r="A926" s="2">
        <v>45156</v>
      </c>
      <c r="B926" t="s">
        <v>10</v>
      </c>
      <c r="C926" t="s">
        <v>56</v>
      </c>
      <c r="D926" t="s">
        <v>12</v>
      </c>
      <c r="E926" t="s">
        <v>18</v>
      </c>
      <c r="F926" t="s">
        <v>19</v>
      </c>
      <c r="G926" t="s">
        <v>48</v>
      </c>
      <c r="H926">
        <v>15</v>
      </c>
      <c r="I926">
        <v>202.66</v>
      </c>
      <c r="J926">
        <v>2735.9100000000003</v>
      </c>
      <c r="K926">
        <v>303.99</v>
      </c>
      <c r="L926">
        <v>3039.9</v>
      </c>
      <c r="M926">
        <v>547.18200000000002</v>
      </c>
      <c r="N926">
        <v>3587.0820000000003</v>
      </c>
      <c r="O926" t="s">
        <v>87</v>
      </c>
      <c r="P926" t="s">
        <v>100</v>
      </c>
    </row>
    <row r="927" spans="1:16" x14ac:dyDescent="0.25">
      <c r="A927" s="2">
        <v>45036</v>
      </c>
      <c r="B927" t="s">
        <v>38</v>
      </c>
      <c r="C927" t="s">
        <v>11</v>
      </c>
      <c r="D927" t="s">
        <v>22</v>
      </c>
      <c r="E927" t="s">
        <v>13</v>
      </c>
      <c r="F927" t="s">
        <v>23</v>
      </c>
      <c r="G927" t="s">
        <v>37</v>
      </c>
      <c r="H927">
        <v>10</v>
      </c>
      <c r="I927">
        <v>1018.19</v>
      </c>
      <c r="J927">
        <v>9163.7099999999991</v>
      </c>
      <c r="K927">
        <v>1018.19</v>
      </c>
      <c r="L927">
        <v>10181.9</v>
      </c>
      <c r="M927">
        <v>1832.742</v>
      </c>
      <c r="N927">
        <v>12014.642</v>
      </c>
      <c r="O927" t="s">
        <v>87</v>
      </c>
      <c r="P927" t="s">
        <v>99</v>
      </c>
    </row>
    <row r="928" spans="1:16" x14ac:dyDescent="0.25">
      <c r="A928" s="2">
        <v>45021</v>
      </c>
      <c r="B928" t="s">
        <v>10</v>
      </c>
      <c r="C928" t="s">
        <v>35</v>
      </c>
      <c r="D928" t="s">
        <v>65</v>
      </c>
      <c r="E928" t="s">
        <v>64</v>
      </c>
      <c r="F928" t="s">
        <v>23</v>
      </c>
      <c r="G928" t="s">
        <v>37</v>
      </c>
      <c r="H928">
        <v>4</v>
      </c>
      <c r="I928">
        <v>3300.36</v>
      </c>
      <c r="J928">
        <v>11881.296</v>
      </c>
      <c r="K928">
        <v>1320.1440000000002</v>
      </c>
      <c r="L928">
        <v>13201.44</v>
      </c>
      <c r="M928">
        <v>2376.2592</v>
      </c>
      <c r="N928">
        <v>15577.699200000001</v>
      </c>
      <c r="O928" t="s">
        <v>87</v>
      </c>
      <c r="P928" t="s">
        <v>101</v>
      </c>
    </row>
    <row r="929" spans="1:16" x14ac:dyDescent="0.25">
      <c r="A929" s="2">
        <v>45008</v>
      </c>
      <c r="B929" t="s">
        <v>16</v>
      </c>
      <c r="C929" t="s">
        <v>26</v>
      </c>
      <c r="D929" t="s">
        <v>12</v>
      </c>
      <c r="E929" t="s">
        <v>18</v>
      </c>
      <c r="F929" t="s">
        <v>23</v>
      </c>
      <c r="G929" t="s">
        <v>37</v>
      </c>
      <c r="H929">
        <v>12</v>
      </c>
      <c r="I929">
        <v>957.01</v>
      </c>
      <c r="J929">
        <v>10335.708000000001</v>
      </c>
      <c r="K929">
        <v>1148.412</v>
      </c>
      <c r="L929">
        <v>11484.12</v>
      </c>
      <c r="M929">
        <v>2067.1415999999999</v>
      </c>
      <c r="N929">
        <v>13551.261600000002</v>
      </c>
      <c r="O929" t="s">
        <v>87</v>
      </c>
      <c r="P929" t="s">
        <v>100</v>
      </c>
    </row>
    <row r="930" spans="1:16" x14ac:dyDescent="0.25">
      <c r="A930" s="2">
        <v>45244</v>
      </c>
      <c r="B930" t="s">
        <v>16</v>
      </c>
      <c r="C930" t="s">
        <v>56</v>
      </c>
      <c r="D930" t="s">
        <v>12</v>
      </c>
      <c r="E930" t="s">
        <v>18</v>
      </c>
      <c r="F930" t="s">
        <v>27</v>
      </c>
      <c r="G930" t="s">
        <v>42</v>
      </c>
      <c r="H930">
        <v>19</v>
      </c>
      <c r="I930">
        <v>1933.19</v>
      </c>
      <c r="J930">
        <v>33057.548999999999</v>
      </c>
      <c r="K930">
        <v>3673.0610000000001</v>
      </c>
      <c r="L930">
        <v>36730.61</v>
      </c>
      <c r="M930">
        <v>6611.5097999999998</v>
      </c>
      <c r="N930">
        <v>43342.1198</v>
      </c>
      <c r="O930" t="s">
        <v>87</v>
      </c>
      <c r="P930" t="s">
        <v>100</v>
      </c>
    </row>
    <row r="931" spans="1:16" x14ac:dyDescent="0.25">
      <c r="A931" s="2">
        <v>45125</v>
      </c>
      <c r="B931" t="s">
        <v>21</v>
      </c>
      <c r="C931" t="s">
        <v>58</v>
      </c>
      <c r="D931" t="s">
        <v>12</v>
      </c>
      <c r="E931" t="s">
        <v>18</v>
      </c>
      <c r="F931" t="s">
        <v>14</v>
      </c>
      <c r="G931" t="s">
        <v>53</v>
      </c>
      <c r="H931">
        <v>15</v>
      </c>
      <c r="I931">
        <v>834.13</v>
      </c>
      <c r="J931">
        <v>11260.755000000001</v>
      </c>
      <c r="K931">
        <v>1251.1950000000002</v>
      </c>
      <c r="L931">
        <v>12511.95</v>
      </c>
      <c r="M931">
        <v>2252.1509999999998</v>
      </c>
      <c r="N931">
        <v>14764.101000000001</v>
      </c>
      <c r="O931" t="s">
        <v>87</v>
      </c>
      <c r="P931" t="s">
        <v>100</v>
      </c>
    </row>
    <row r="932" spans="1:16" x14ac:dyDescent="0.25">
      <c r="A932" s="2">
        <v>45095</v>
      </c>
      <c r="B932" t="s">
        <v>31</v>
      </c>
      <c r="C932" t="s">
        <v>57</v>
      </c>
      <c r="D932" t="s">
        <v>22</v>
      </c>
      <c r="E932" t="s">
        <v>13</v>
      </c>
      <c r="F932" t="s">
        <v>19</v>
      </c>
      <c r="G932" t="s">
        <v>48</v>
      </c>
      <c r="H932">
        <v>18</v>
      </c>
      <c r="I932">
        <v>2535.8200000000002</v>
      </c>
      <c r="J932">
        <v>41080.284</v>
      </c>
      <c r="K932">
        <v>4564.4760000000006</v>
      </c>
      <c r="L932">
        <v>45644.76</v>
      </c>
      <c r="M932">
        <v>8216.0568000000003</v>
      </c>
      <c r="N932">
        <v>53860.816800000001</v>
      </c>
      <c r="O932" t="s">
        <v>87</v>
      </c>
      <c r="P932" t="s">
        <v>99</v>
      </c>
    </row>
    <row r="933" spans="1:16" x14ac:dyDescent="0.25">
      <c r="A933" s="2">
        <v>44995</v>
      </c>
      <c r="B933" t="s">
        <v>16</v>
      </c>
      <c r="C933" t="s">
        <v>56</v>
      </c>
      <c r="D933" t="s">
        <v>12</v>
      </c>
      <c r="E933" t="s">
        <v>18</v>
      </c>
      <c r="F933" t="s">
        <v>27</v>
      </c>
      <c r="G933" t="s">
        <v>46</v>
      </c>
      <c r="H933">
        <v>18</v>
      </c>
      <c r="I933">
        <v>2299.9299999999998</v>
      </c>
      <c r="J933">
        <v>37258.866000000002</v>
      </c>
      <c r="K933">
        <v>4139.8739999999998</v>
      </c>
      <c r="L933">
        <v>41398.74</v>
      </c>
      <c r="M933">
        <v>7451.7731999999996</v>
      </c>
      <c r="N933">
        <v>48850.513200000001</v>
      </c>
      <c r="O933" t="s">
        <v>87</v>
      </c>
      <c r="P933" t="s">
        <v>100</v>
      </c>
    </row>
    <row r="934" spans="1:16" x14ac:dyDescent="0.25">
      <c r="A934" s="2">
        <v>45214</v>
      </c>
      <c r="B934" t="s">
        <v>31</v>
      </c>
      <c r="C934" t="s">
        <v>35</v>
      </c>
      <c r="D934" t="s">
        <v>65</v>
      </c>
      <c r="E934" t="s">
        <v>64</v>
      </c>
      <c r="F934" t="s">
        <v>14</v>
      </c>
      <c r="G934" t="s">
        <v>45</v>
      </c>
      <c r="H934">
        <v>5</v>
      </c>
      <c r="I934">
        <v>606.49</v>
      </c>
      <c r="J934">
        <v>2729.2049999999999</v>
      </c>
      <c r="K934">
        <v>303.245</v>
      </c>
      <c r="L934">
        <v>3032.45</v>
      </c>
      <c r="M934">
        <v>545.84099999999989</v>
      </c>
      <c r="N934">
        <v>3578.2909999999997</v>
      </c>
      <c r="O934" t="s">
        <v>87</v>
      </c>
      <c r="P934" t="s">
        <v>101</v>
      </c>
    </row>
    <row r="935" spans="1:16" x14ac:dyDescent="0.25">
      <c r="A935" s="2">
        <v>45002</v>
      </c>
      <c r="B935" t="s">
        <v>29</v>
      </c>
      <c r="C935" t="s">
        <v>62</v>
      </c>
      <c r="D935" t="s">
        <v>65</v>
      </c>
      <c r="E935" t="s">
        <v>64</v>
      </c>
      <c r="F935" t="s">
        <v>19</v>
      </c>
      <c r="G935" t="s">
        <v>30</v>
      </c>
      <c r="H935">
        <v>6</v>
      </c>
      <c r="I935">
        <v>1919.03</v>
      </c>
      <c r="J935">
        <v>10362.762000000001</v>
      </c>
      <c r="K935">
        <v>1151.4180000000001</v>
      </c>
      <c r="L935">
        <v>11514.18</v>
      </c>
      <c r="M935">
        <v>2072.5524</v>
      </c>
      <c r="N935">
        <v>13586.732400000001</v>
      </c>
      <c r="O935" t="s">
        <v>87</v>
      </c>
      <c r="P935" t="s">
        <v>101</v>
      </c>
    </row>
    <row r="936" spans="1:16" x14ac:dyDescent="0.25">
      <c r="A936" s="2">
        <v>45079</v>
      </c>
      <c r="B936" t="s">
        <v>10</v>
      </c>
      <c r="C936" t="s">
        <v>62</v>
      </c>
      <c r="D936" t="s">
        <v>65</v>
      </c>
      <c r="E936" t="s">
        <v>64</v>
      </c>
      <c r="F936" t="s">
        <v>19</v>
      </c>
      <c r="G936" t="s">
        <v>48</v>
      </c>
      <c r="H936">
        <v>9</v>
      </c>
      <c r="I936">
        <v>662.41</v>
      </c>
      <c r="J936">
        <v>5365.5209999999997</v>
      </c>
      <c r="K936">
        <v>596.16899999999998</v>
      </c>
      <c r="L936">
        <v>5961.69</v>
      </c>
      <c r="M936">
        <v>1073.1042</v>
      </c>
      <c r="N936">
        <v>7034.7941999999994</v>
      </c>
      <c r="O936" t="s">
        <v>87</v>
      </c>
      <c r="P936" t="s">
        <v>101</v>
      </c>
    </row>
    <row r="937" spans="1:16" x14ac:dyDescent="0.25">
      <c r="A937" s="2">
        <v>44935</v>
      </c>
      <c r="B937" t="s">
        <v>43</v>
      </c>
      <c r="C937" t="s">
        <v>55</v>
      </c>
      <c r="D937" t="s">
        <v>66</v>
      </c>
      <c r="E937" t="s">
        <v>41</v>
      </c>
      <c r="F937" t="s">
        <v>19</v>
      </c>
      <c r="G937" t="s">
        <v>52</v>
      </c>
      <c r="H937">
        <v>18</v>
      </c>
      <c r="I937">
        <v>970.52</v>
      </c>
      <c r="J937">
        <v>15722.424000000001</v>
      </c>
      <c r="K937">
        <v>1746.9360000000001</v>
      </c>
      <c r="L937">
        <v>17469.36</v>
      </c>
      <c r="M937">
        <v>3144.4848000000002</v>
      </c>
      <c r="N937">
        <v>20613.844799999999</v>
      </c>
      <c r="O937" t="s">
        <v>87</v>
      </c>
      <c r="P937" t="s">
        <v>66</v>
      </c>
    </row>
    <row r="938" spans="1:16" x14ac:dyDescent="0.25">
      <c r="A938" s="2">
        <v>45204</v>
      </c>
      <c r="B938" t="s">
        <v>40</v>
      </c>
      <c r="C938" t="s">
        <v>26</v>
      </c>
      <c r="D938" t="s">
        <v>12</v>
      </c>
      <c r="E938" t="s">
        <v>18</v>
      </c>
      <c r="F938" t="s">
        <v>32</v>
      </c>
      <c r="G938" t="s">
        <v>49</v>
      </c>
      <c r="H938">
        <v>2</v>
      </c>
      <c r="I938">
        <v>4112.53</v>
      </c>
      <c r="J938">
        <v>7402.5540000000001</v>
      </c>
      <c r="K938">
        <v>822.50599999999997</v>
      </c>
      <c r="L938">
        <v>8225.06</v>
      </c>
      <c r="M938">
        <v>1480.5107999999998</v>
      </c>
      <c r="N938">
        <v>9705.5707999999995</v>
      </c>
      <c r="O938" t="s">
        <v>87</v>
      </c>
      <c r="P938" t="s">
        <v>100</v>
      </c>
    </row>
    <row r="939" spans="1:16" x14ac:dyDescent="0.25">
      <c r="A939" s="2">
        <v>45050</v>
      </c>
      <c r="B939" t="s">
        <v>31</v>
      </c>
      <c r="C939" t="s">
        <v>57</v>
      </c>
      <c r="D939" t="s">
        <v>22</v>
      </c>
      <c r="E939" t="s">
        <v>13</v>
      </c>
      <c r="F939" t="s">
        <v>32</v>
      </c>
      <c r="G939" t="s">
        <v>49</v>
      </c>
      <c r="H939">
        <v>4</v>
      </c>
      <c r="I939">
        <v>4968.93</v>
      </c>
      <c r="J939">
        <v>17888.148000000001</v>
      </c>
      <c r="K939">
        <v>1987.5720000000001</v>
      </c>
      <c r="L939">
        <v>19875.72</v>
      </c>
      <c r="M939">
        <v>3577.6296000000002</v>
      </c>
      <c r="N939">
        <v>23453.349600000001</v>
      </c>
      <c r="O939" t="s">
        <v>87</v>
      </c>
      <c r="P939" t="s">
        <v>99</v>
      </c>
    </row>
    <row r="940" spans="1:16" x14ac:dyDescent="0.25">
      <c r="A940" s="2">
        <v>45281</v>
      </c>
      <c r="B940" t="s">
        <v>34</v>
      </c>
      <c r="C940" t="s">
        <v>54</v>
      </c>
      <c r="D940" t="s">
        <v>12</v>
      </c>
      <c r="E940" t="s">
        <v>18</v>
      </c>
      <c r="F940" t="s">
        <v>23</v>
      </c>
      <c r="G940" t="s">
        <v>39</v>
      </c>
      <c r="H940">
        <v>2</v>
      </c>
      <c r="I940">
        <v>339.56</v>
      </c>
      <c r="J940">
        <v>611.20799999999997</v>
      </c>
      <c r="K940">
        <v>67.912000000000006</v>
      </c>
      <c r="L940">
        <v>679.12</v>
      </c>
      <c r="M940">
        <v>122.24159999999999</v>
      </c>
      <c r="N940">
        <v>801.36159999999995</v>
      </c>
      <c r="O940" t="s">
        <v>87</v>
      </c>
      <c r="P940" t="s">
        <v>100</v>
      </c>
    </row>
    <row r="941" spans="1:16" x14ac:dyDescent="0.25">
      <c r="A941" s="2">
        <v>45131</v>
      </c>
      <c r="B941" t="s">
        <v>16</v>
      </c>
      <c r="C941" t="s">
        <v>57</v>
      </c>
      <c r="D941" t="s">
        <v>22</v>
      </c>
      <c r="E941" t="s">
        <v>13</v>
      </c>
      <c r="F941" t="s">
        <v>19</v>
      </c>
      <c r="G941" t="s">
        <v>20</v>
      </c>
      <c r="H941">
        <v>3</v>
      </c>
      <c r="I941">
        <v>3853.05</v>
      </c>
      <c r="J941">
        <v>10403.235000000001</v>
      </c>
      <c r="K941">
        <v>1155.915</v>
      </c>
      <c r="L941">
        <v>11559.15</v>
      </c>
      <c r="M941">
        <v>2080.6469999999999</v>
      </c>
      <c r="N941">
        <v>13639.796999999999</v>
      </c>
      <c r="O941" t="s">
        <v>87</v>
      </c>
      <c r="P941" t="s">
        <v>99</v>
      </c>
    </row>
    <row r="942" spans="1:16" x14ac:dyDescent="0.25">
      <c r="A942" s="2">
        <v>45062</v>
      </c>
      <c r="B942" t="s">
        <v>21</v>
      </c>
      <c r="C942" t="s">
        <v>58</v>
      </c>
      <c r="D942" t="s">
        <v>12</v>
      </c>
      <c r="E942" t="s">
        <v>18</v>
      </c>
      <c r="F942" t="s">
        <v>23</v>
      </c>
      <c r="G942" t="s">
        <v>24</v>
      </c>
      <c r="H942">
        <v>11</v>
      </c>
      <c r="I942">
        <v>2212.9</v>
      </c>
      <c r="J942">
        <v>21907.710000000003</v>
      </c>
      <c r="K942">
        <v>2434.19</v>
      </c>
      <c r="L942">
        <v>24341.9</v>
      </c>
      <c r="M942">
        <v>4381.5420000000004</v>
      </c>
      <c r="N942">
        <v>28723.442000000003</v>
      </c>
      <c r="O942" t="s">
        <v>87</v>
      </c>
      <c r="P942" t="s">
        <v>100</v>
      </c>
    </row>
    <row r="943" spans="1:16" x14ac:dyDescent="0.25">
      <c r="A943" s="2">
        <v>45084</v>
      </c>
      <c r="B943" t="s">
        <v>38</v>
      </c>
      <c r="C943" t="s">
        <v>56</v>
      </c>
      <c r="D943" t="s">
        <v>12</v>
      </c>
      <c r="E943" t="s">
        <v>18</v>
      </c>
      <c r="F943" t="s">
        <v>19</v>
      </c>
      <c r="G943" t="s">
        <v>52</v>
      </c>
      <c r="H943">
        <v>18</v>
      </c>
      <c r="I943">
        <v>509.79</v>
      </c>
      <c r="J943">
        <v>8258.598</v>
      </c>
      <c r="K943">
        <v>917.62199999999996</v>
      </c>
      <c r="L943">
        <v>9176.2199999999993</v>
      </c>
      <c r="M943">
        <v>1651.7195999999999</v>
      </c>
      <c r="N943">
        <v>10827.9396</v>
      </c>
      <c r="O943" t="s">
        <v>87</v>
      </c>
      <c r="P943" t="s">
        <v>100</v>
      </c>
    </row>
    <row r="944" spans="1:16" x14ac:dyDescent="0.25">
      <c r="A944" s="2">
        <v>45082</v>
      </c>
      <c r="B944" t="s">
        <v>43</v>
      </c>
      <c r="C944" t="s">
        <v>54</v>
      </c>
      <c r="D944" t="s">
        <v>12</v>
      </c>
      <c r="E944" t="s">
        <v>18</v>
      </c>
      <c r="F944" t="s">
        <v>14</v>
      </c>
      <c r="G944" t="s">
        <v>45</v>
      </c>
      <c r="H944">
        <v>16</v>
      </c>
      <c r="I944">
        <v>2724.77</v>
      </c>
      <c r="J944">
        <v>39236.688000000002</v>
      </c>
      <c r="K944">
        <v>4359.6320000000005</v>
      </c>
      <c r="L944">
        <v>43596.32</v>
      </c>
      <c r="M944">
        <v>7847.3375999999998</v>
      </c>
      <c r="N944">
        <v>51443.657599999999</v>
      </c>
      <c r="O944" t="s">
        <v>87</v>
      </c>
      <c r="P944" t="s">
        <v>100</v>
      </c>
    </row>
    <row r="945" spans="1:16" x14ac:dyDescent="0.25">
      <c r="A945" s="2">
        <v>45094</v>
      </c>
      <c r="B945" t="s">
        <v>40</v>
      </c>
      <c r="C945" t="s">
        <v>11</v>
      </c>
      <c r="D945" t="s">
        <v>22</v>
      </c>
      <c r="E945" t="s">
        <v>13</v>
      </c>
      <c r="F945" t="s">
        <v>23</v>
      </c>
      <c r="G945" t="s">
        <v>37</v>
      </c>
      <c r="H945">
        <v>18</v>
      </c>
      <c r="I945">
        <v>4718.22</v>
      </c>
      <c r="J945">
        <v>76435.164000000004</v>
      </c>
      <c r="K945">
        <v>8492.7960000000003</v>
      </c>
      <c r="L945">
        <v>84927.96</v>
      </c>
      <c r="M945">
        <v>15287.032800000001</v>
      </c>
      <c r="N945">
        <v>100214.99280000001</v>
      </c>
      <c r="O945" t="s">
        <v>87</v>
      </c>
      <c r="P945" t="s">
        <v>99</v>
      </c>
    </row>
    <row r="946" spans="1:16" x14ac:dyDescent="0.25">
      <c r="A946" s="2">
        <v>44971</v>
      </c>
      <c r="B946" t="s">
        <v>40</v>
      </c>
      <c r="C946" t="s">
        <v>55</v>
      </c>
      <c r="D946" t="s">
        <v>66</v>
      </c>
      <c r="E946" t="s">
        <v>41</v>
      </c>
      <c r="F946" t="s">
        <v>32</v>
      </c>
      <c r="G946" t="s">
        <v>50</v>
      </c>
      <c r="H946">
        <v>9</v>
      </c>
      <c r="I946">
        <v>4811.76</v>
      </c>
      <c r="J946">
        <v>38975.256000000001</v>
      </c>
      <c r="K946">
        <v>4330.5839999999998</v>
      </c>
      <c r="L946">
        <v>43305.84</v>
      </c>
      <c r="M946">
        <v>7795.051199999999</v>
      </c>
      <c r="N946">
        <v>51100.891199999998</v>
      </c>
      <c r="O946" t="s">
        <v>87</v>
      </c>
      <c r="P946" t="s">
        <v>66</v>
      </c>
    </row>
    <row r="947" spans="1:16" x14ac:dyDescent="0.25">
      <c r="A947" s="2">
        <v>44933</v>
      </c>
      <c r="B947" t="s">
        <v>10</v>
      </c>
      <c r="C947" t="s">
        <v>56</v>
      </c>
      <c r="D947" t="s">
        <v>12</v>
      </c>
      <c r="E947" t="s">
        <v>18</v>
      </c>
      <c r="F947" t="s">
        <v>14</v>
      </c>
      <c r="G947" t="s">
        <v>53</v>
      </c>
      <c r="H947">
        <v>8</v>
      </c>
      <c r="I947">
        <v>4021.86</v>
      </c>
      <c r="J947">
        <v>28957.392</v>
      </c>
      <c r="K947">
        <v>3217.4880000000003</v>
      </c>
      <c r="L947">
        <v>32174.880000000001</v>
      </c>
      <c r="M947">
        <v>5791.4784</v>
      </c>
      <c r="N947">
        <v>37966.358399999997</v>
      </c>
      <c r="O947" t="s">
        <v>87</v>
      </c>
      <c r="P947" t="s">
        <v>100</v>
      </c>
    </row>
    <row r="948" spans="1:16" x14ac:dyDescent="0.25">
      <c r="A948" s="2">
        <v>44953</v>
      </c>
      <c r="B948" t="s">
        <v>43</v>
      </c>
      <c r="C948" t="s">
        <v>57</v>
      </c>
      <c r="D948" t="s">
        <v>22</v>
      </c>
      <c r="E948" t="s">
        <v>13</v>
      </c>
      <c r="F948" t="s">
        <v>14</v>
      </c>
      <c r="G948" t="s">
        <v>45</v>
      </c>
      <c r="H948">
        <v>16</v>
      </c>
      <c r="I948">
        <v>4008.72</v>
      </c>
      <c r="J948">
        <v>57725.567999999999</v>
      </c>
      <c r="K948">
        <v>6413.9520000000002</v>
      </c>
      <c r="L948">
        <v>64139.519999999997</v>
      </c>
      <c r="M948">
        <v>11545.113599999999</v>
      </c>
      <c r="N948">
        <v>75684.633600000001</v>
      </c>
      <c r="O948" t="s">
        <v>87</v>
      </c>
      <c r="P948" t="s">
        <v>99</v>
      </c>
    </row>
    <row r="949" spans="1:16" x14ac:dyDescent="0.25">
      <c r="A949" s="2">
        <v>45157</v>
      </c>
      <c r="B949" t="s">
        <v>10</v>
      </c>
      <c r="C949" t="s">
        <v>60</v>
      </c>
      <c r="D949" t="s">
        <v>12</v>
      </c>
      <c r="E949" t="s">
        <v>18</v>
      </c>
      <c r="F949" t="s">
        <v>14</v>
      </c>
      <c r="G949" t="s">
        <v>53</v>
      </c>
      <c r="H949">
        <v>14</v>
      </c>
      <c r="I949">
        <v>4793.38</v>
      </c>
      <c r="J949">
        <v>60396.588000000011</v>
      </c>
      <c r="K949">
        <v>6710.7320000000009</v>
      </c>
      <c r="L949">
        <v>67107.320000000007</v>
      </c>
      <c r="M949">
        <v>12079.3176</v>
      </c>
      <c r="N949">
        <v>79186.637600000002</v>
      </c>
      <c r="O949" t="s">
        <v>87</v>
      </c>
      <c r="P949" t="s">
        <v>100</v>
      </c>
    </row>
    <row r="950" spans="1:16" x14ac:dyDescent="0.25">
      <c r="A950" s="2">
        <v>44954</v>
      </c>
      <c r="B950" t="s">
        <v>31</v>
      </c>
      <c r="C950" t="s">
        <v>61</v>
      </c>
      <c r="D950" t="s">
        <v>65</v>
      </c>
      <c r="E950" t="s">
        <v>64</v>
      </c>
      <c r="F950" t="s">
        <v>14</v>
      </c>
      <c r="G950" t="s">
        <v>51</v>
      </c>
      <c r="H950">
        <v>14</v>
      </c>
      <c r="I950">
        <v>4816.3900000000003</v>
      </c>
      <c r="J950">
        <v>60686.51400000001</v>
      </c>
      <c r="K950">
        <v>6742.9460000000008</v>
      </c>
      <c r="L950">
        <v>67429.460000000006</v>
      </c>
      <c r="M950">
        <v>12137.302800000001</v>
      </c>
      <c r="N950">
        <v>79566.762800000011</v>
      </c>
      <c r="O950" t="s">
        <v>87</v>
      </c>
      <c r="P950" t="s">
        <v>101</v>
      </c>
    </row>
    <row r="951" spans="1:16" x14ac:dyDescent="0.25">
      <c r="A951" s="2">
        <v>45063</v>
      </c>
      <c r="B951" t="s">
        <v>29</v>
      </c>
      <c r="C951" t="s">
        <v>63</v>
      </c>
      <c r="D951" t="s">
        <v>65</v>
      </c>
      <c r="E951" t="s">
        <v>64</v>
      </c>
      <c r="F951" t="s">
        <v>14</v>
      </c>
      <c r="G951" t="s">
        <v>15</v>
      </c>
      <c r="H951">
        <v>6</v>
      </c>
      <c r="I951">
        <v>4072.51</v>
      </c>
      <c r="J951">
        <v>21991.554</v>
      </c>
      <c r="K951">
        <v>2443.5060000000003</v>
      </c>
      <c r="L951">
        <v>24435.06</v>
      </c>
      <c r="M951">
        <v>4398.3108000000002</v>
      </c>
      <c r="N951">
        <v>28833.370800000001</v>
      </c>
      <c r="O951" t="s">
        <v>87</v>
      </c>
      <c r="P951" t="s">
        <v>101</v>
      </c>
    </row>
    <row r="952" spans="1:16" x14ac:dyDescent="0.25">
      <c r="A952" s="2">
        <v>44997</v>
      </c>
      <c r="B952" t="s">
        <v>34</v>
      </c>
      <c r="C952" t="s">
        <v>26</v>
      </c>
      <c r="D952" t="s">
        <v>12</v>
      </c>
      <c r="E952" t="s">
        <v>18</v>
      </c>
      <c r="F952" t="s">
        <v>27</v>
      </c>
      <c r="G952" t="s">
        <v>46</v>
      </c>
      <c r="H952">
        <v>2</v>
      </c>
      <c r="I952">
        <v>1269.81</v>
      </c>
      <c r="J952">
        <v>2285.6579999999999</v>
      </c>
      <c r="K952">
        <v>253.96199999999999</v>
      </c>
      <c r="L952">
        <v>2539.62</v>
      </c>
      <c r="M952">
        <v>457.13159999999999</v>
      </c>
      <c r="N952">
        <v>2996.7516000000001</v>
      </c>
      <c r="O952" t="s">
        <v>87</v>
      </c>
      <c r="P952" t="s">
        <v>100</v>
      </c>
    </row>
    <row r="953" spans="1:16" x14ac:dyDescent="0.25">
      <c r="A953" s="2">
        <v>44948</v>
      </c>
      <c r="B953" t="s">
        <v>38</v>
      </c>
      <c r="C953" t="s">
        <v>63</v>
      </c>
      <c r="D953" t="s">
        <v>65</v>
      </c>
      <c r="E953" t="s">
        <v>64</v>
      </c>
      <c r="F953" t="s">
        <v>27</v>
      </c>
      <c r="G953" t="s">
        <v>44</v>
      </c>
      <c r="H953">
        <v>13</v>
      </c>
      <c r="I953">
        <v>3071.93</v>
      </c>
      <c r="J953">
        <v>35941.580999999998</v>
      </c>
      <c r="K953">
        <v>3993.509</v>
      </c>
      <c r="L953">
        <v>39935.089999999997</v>
      </c>
      <c r="M953">
        <v>7188.3161999999993</v>
      </c>
      <c r="N953">
        <v>47123.406199999998</v>
      </c>
      <c r="O953" t="s">
        <v>87</v>
      </c>
      <c r="P953" t="s">
        <v>101</v>
      </c>
    </row>
    <row r="954" spans="1:16" x14ac:dyDescent="0.25">
      <c r="A954" s="2">
        <v>44999</v>
      </c>
      <c r="B954" t="s">
        <v>25</v>
      </c>
      <c r="C954" t="s">
        <v>35</v>
      </c>
      <c r="D954" t="s">
        <v>65</v>
      </c>
      <c r="E954" t="s">
        <v>64</v>
      </c>
      <c r="F954" t="s">
        <v>23</v>
      </c>
      <c r="G954" t="s">
        <v>24</v>
      </c>
      <c r="H954">
        <v>5</v>
      </c>
      <c r="I954">
        <v>4686.67</v>
      </c>
      <c r="J954">
        <v>21090.014999999999</v>
      </c>
      <c r="K954">
        <v>2343.335</v>
      </c>
      <c r="L954">
        <v>23433.35</v>
      </c>
      <c r="M954">
        <v>4218.0029999999997</v>
      </c>
      <c r="N954">
        <v>27651.352999999999</v>
      </c>
      <c r="O954" t="s">
        <v>87</v>
      </c>
      <c r="P954" t="s">
        <v>101</v>
      </c>
    </row>
    <row r="955" spans="1:16" x14ac:dyDescent="0.25">
      <c r="A955" s="2">
        <v>45228</v>
      </c>
      <c r="B955" t="s">
        <v>43</v>
      </c>
      <c r="C955" t="s">
        <v>11</v>
      </c>
      <c r="D955" t="s">
        <v>22</v>
      </c>
      <c r="E955" t="s">
        <v>13</v>
      </c>
      <c r="F955" t="s">
        <v>14</v>
      </c>
      <c r="G955" t="s">
        <v>51</v>
      </c>
      <c r="H955">
        <v>5</v>
      </c>
      <c r="I955">
        <v>4504.17</v>
      </c>
      <c r="J955">
        <v>20268.764999999999</v>
      </c>
      <c r="K955">
        <v>2252.085</v>
      </c>
      <c r="L955">
        <v>22520.85</v>
      </c>
      <c r="M955">
        <v>4053.7529999999997</v>
      </c>
      <c r="N955">
        <v>26574.602999999999</v>
      </c>
      <c r="O955" t="s">
        <v>87</v>
      </c>
      <c r="P955" t="s">
        <v>99</v>
      </c>
    </row>
    <row r="956" spans="1:16" x14ac:dyDescent="0.25">
      <c r="A956" s="2">
        <v>45126</v>
      </c>
      <c r="B956" t="s">
        <v>10</v>
      </c>
      <c r="C956" t="s">
        <v>54</v>
      </c>
      <c r="D956" t="s">
        <v>12</v>
      </c>
      <c r="E956" t="s">
        <v>18</v>
      </c>
      <c r="F956" t="s">
        <v>14</v>
      </c>
      <c r="G956" t="s">
        <v>15</v>
      </c>
      <c r="H956">
        <v>3</v>
      </c>
      <c r="I956">
        <v>559.70000000000005</v>
      </c>
      <c r="J956">
        <v>1511.19</v>
      </c>
      <c r="K956">
        <v>167.91</v>
      </c>
      <c r="L956">
        <v>1679.1</v>
      </c>
      <c r="M956">
        <v>302.238</v>
      </c>
      <c r="N956">
        <v>1981.338</v>
      </c>
      <c r="O956" t="s">
        <v>87</v>
      </c>
      <c r="P956" t="s">
        <v>100</v>
      </c>
    </row>
    <row r="957" spans="1:16" x14ac:dyDescent="0.25">
      <c r="A957" s="2">
        <v>45212</v>
      </c>
      <c r="B957" t="s">
        <v>21</v>
      </c>
      <c r="C957" t="s">
        <v>57</v>
      </c>
      <c r="D957" t="s">
        <v>22</v>
      </c>
      <c r="E957" t="s">
        <v>13</v>
      </c>
      <c r="F957" t="s">
        <v>27</v>
      </c>
      <c r="G957" t="s">
        <v>42</v>
      </c>
      <c r="H957">
        <v>17</v>
      </c>
      <c r="I957">
        <v>1975.71</v>
      </c>
      <c r="J957">
        <v>30228.363000000001</v>
      </c>
      <c r="K957">
        <v>3358.7070000000003</v>
      </c>
      <c r="L957">
        <v>33587.07</v>
      </c>
      <c r="M957">
        <v>6045.6725999999999</v>
      </c>
      <c r="N957">
        <v>39632.742599999998</v>
      </c>
      <c r="O957" t="s">
        <v>87</v>
      </c>
      <c r="P957" t="s">
        <v>99</v>
      </c>
    </row>
    <row r="958" spans="1:16" x14ac:dyDescent="0.25">
      <c r="A958" s="2">
        <v>45239</v>
      </c>
      <c r="B958" t="s">
        <v>25</v>
      </c>
      <c r="C958" t="s">
        <v>61</v>
      </c>
      <c r="D958" t="s">
        <v>65</v>
      </c>
      <c r="E958" t="s">
        <v>64</v>
      </c>
      <c r="F958" t="s">
        <v>14</v>
      </c>
      <c r="G958" t="s">
        <v>15</v>
      </c>
      <c r="H958">
        <v>8</v>
      </c>
      <c r="I958">
        <v>4175.5600000000004</v>
      </c>
      <c r="J958">
        <v>30064.032000000003</v>
      </c>
      <c r="K958">
        <v>3340.4480000000003</v>
      </c>
      <c r="L958">
        <v>33404.480000000003</v>
      </c>
      <c r="M958">
        <v>6012.8064000000004</v>
      </c>
      <c r="N958">
        <v>39417.286400000005</v>
      </c>
      <c r="O958" t="s">
        <v>87</v>
      </c>
      <c r="P958" t="s">
        <v>101</v>
      </c>
    </row>
    <row r="959" spans="1:16" x14ac:dyDescent="0.25">
      <c r="A959" s="2">
        <v>44956</v>
      </c>
      <c r="B959" t="s">
        <v>10</v>
      </c>
      <c r="C959" t="s">
        <v>57</v>
      </c>
      <c r="D959" t="s">
        <v>22</v>
      </c>
      <c r="E959" t="s">
        <v>13</v>
      </c>
      <c r="F959" t="s">
        <v>32</v>
      </c>
      <c r="G959" t="s">
        <v>49</v>
      </c>
      <c r="H959">
        <v>14</v>
      </c>
      <c r="I959">
        <v>2535.08</v>
      </c>
      <c r="J959">
        <v>31942.008000000002</v>
      </c>
      <c r="K959">
        <v>3549.1120000000005</v>
      </c>
      <c r="L959">
        <v>35491.120000000003</v>
      </c>
      <c r="M959">
        <v>6388.4016000000001</v>
      </c>
      <c r="N959">
        <v>41879.5216</v>
      </c>
      <c r="O959" t="s">
        <v>87</v>
      </c>
      <c r="P959" t="s">
        <v>99</v>
      </c>
    </row>
    <row r="960" spans="1:16" x14ac:dyDescent="0.25">
      <c r="A960" s="2">
        <v>45111</v>
      </c>
      <c r="B960" t="s">
        <v>29</v>
      </c>
      <c r="C960" t="s">
        <v>56</v>
      </c>
      <c r="D960" t="s">
        <v>12</v>
      </c>
      <c r="E960" t="s">
        <v>18</v>
      </c>
      <c r="F960" t="s">
        <v>32</v>
      </c>
      <c r="G960" t="s">
        <v>33</v>
      </c>
      <c r="H960">
        <v>14</v>
      </c>
      <c r="I960">
        <v>2161.65</v>
      </c>
      <c r="J960">
        <v>27236.79</v>
      </c>
      <c r="K960">
        <v>3026.31</v>
      </c>
      <c r="L960">
        <v>30263.1</v>
      </c>
      <c r="M960">
        <v>5447.3579999999993</v>
      </c>
      <c r="N960">
        <v>35710.457999999999</v>
      </c>
      <c r="O960" t="s">
        <v>87</v>
      </c>
      <c r="P960" t="s">
        <v>100</v>
      </c>
    </row>
    <row r="961" spans="1:16" x14ac:dyDescent="0.25">
      <c r="A961" s="2">
        <v>45205</v>
      </c>
      <c r="B961" t="s">
        <v>29</v>
      </c>
      <c r="C961" t="s">
        <v>61</v>
      </c>
      <c r="D961" t="s">
        <v>65</v>
      </c>
      <c r="E961" t="s">
        <v>64</v>
      </c>
      <c r="F961" t="s">
        <v>32</v>
      </c>
      <c r="G961" t="s">
        <v>50</v>
      </c>
      <c r="H961">
        <v>11</v>
      </c>
      <c r="I961">
        <v>3424.45</v>
      </c>
      <c r="J961">
        <v>33902.055</v>
      </c>
      <c r="K961">
        <v>3766.895</v>
      </c>
      <c r="L961">
        <v>37668.949999999997</v>
      </c>
      <c r="M961">
        <v>6780.4109999999991</v>
      </c>
      <c r="N961">
        <v>44449.360999999997</v>
      </c>
      <c r="O961" t="s">
        <v>87</v>
      </c>
      <c r="P961" t="s">
        <v>101</v>
      </c>
    </row>
    <row r="962" spans="1:16" x14ac:dyDescent="0.25">
      <c r="A962" s="2">
        <v>45162</v>
      </c>
      <c r="B962" t="s">
        <v>34</v>
      </c>
      <c r="C962" t="s">
        <v>63</v>
      </c>
      <c r="D962" t="s">
        <v>65</v>
      </c>
      <c r="E962" t="s">
        <v>64</v>
      </c>
      <c r="F962" t="s">
        <v>27</v>
      </c>
      <c r="G962" t="s">
        <v>28</v>
      </c>
      <c r="H962">
        <v>10</v>
      </c>
      <c r="I962">
        <v>1167.21</v>
      </c>
      <c r="J962">
        <v>10504.890000000001</v>
      </c>
      <c r="K962">
        <v>1167.21</v>
      </c>
      <c r="L962">
        <v>11672.1</v>
      </c>
      <c r="M962">
        <v>2100.9780000000001</v>
      </c>
      <c r="N962">
        <v>13773.078000000001</v>
      </c>
      <c r="O962" t="s">
        <v>87</v>
      </c>
      <c r="P962" t="s">
        <v>101</v>
      </c>
    </row>
    <row r="963" spans="1:16" x14ac:dyDescent="0.25">
      <c r="A963" s="2">
        <v>44983</v>
      </c>
      <c r="B963" t="s">
        <v>38</v>
      </c>
      <c r="C963" t="s">
        <v>63</v>
      </c>
      <c r="D963" t="s">
        <v>65</v>
      </c>
      <c r="E963" t="s">
        <v>64</v>
      </c>
      <c r="F963" t="s">
        <v>19</v>
      </c>
      <c r="G963" t="s">
        <v>20</v>
      </c>
      <c r="H963">
        <v>7</v>
      </c>
      <c r="I963">
        <v>500.63</v>
      </c>
      <c r="J963">
        <v>3153.9690000000001</v>
      </c>
      <c r="K963">
        <v>350.44100000000003</v>
      </c>
      <c r="L963">
        <v>3504.41</v>
      </c>
      <c r="M963">
        <v>630.79379999999992</v>
      </c>
      <c r="N963">
        <v>4135.2037999999993</v>
      </c>
      <c r="O963" t="s">
        <v>87</v>
      </c>
      <c r="P963" t="s">
        <v>101</v>
      </c>
    </row>
    <row r="964" spans="1:16" x14ac:dyDescent="0.25">
      <c r="A964" s="2">
        <v>45234</v>
      </c>
      <c r="B964" t="s">
        <v>31</v>
      </c>
      <c r="C964" t="s">
        <v>58</v>
      </c>
      <c r="D964" t="s">
        <v>12</v>
      </c>
      <c r="E964" t="s">
        <v>18</v>
      </c>
      <c r="F964" t="s">
        <v>14</v>
      </c>
      <c r="G964" t="s">
        <v>53</v>
      </c>
      <c r="H964">
        <v>10</v>
      </c>
      <c r="I964">
        <v>1050.8399999999999</v>
      </c>
      <c r="J964">
        <v>9457.56</v>
      </c>
      <c r="K964">
        <v>1050.8399999999999</v>
      </c>
      <c r="L964">
        <v>10508.4</v>
      </c>
      <c r="M964">
        <v>1891.5119999999999</v>
      </c>
      <c r="N964">
        <v>12399.912</v>
      </c>
      <c r="O964" t="s">
        <v>87</v>
      </c>
      <c r="P964" t="s">
        <v>100</v>
      </c>
    </row>
    <row r="965" spans="1:16" x14ac:dyDescent="0.25">
      <c r="A965" s="2">
        <v>45168</v>
      </c>
      <c r="B965" t="s">
        <v>43</v>
      </c>
      <c r="C965" t="s">
        <v>62</v>
      </c>
      <c r="D965" t="s">
        <v>65</v>
      </c>
      <c r="E965" t="s">
        <v>64</v>
      </c>
      <c r="F965" t="s">
        <v>14</v>
      </c>
      <c r="G965" t="s">
        <v>51</v>
      </c>
      <c r="H965">
        <v>14</v>
      </c>
      <c r="I965">
        <v>3726.3</v>
      </c>
      <c r="J965">
        <v>46951.38</v>
      </c>
      <c r="K965">
        <v>5216.82</v>
      </c>
      <c r="L965">
        <v>52168.2</v>
      </c>
      <c r="M965">
        <v>9390.2759999999998</v>
      </c>
      <c r="N965">
        <v>61558.475999999995</v>
      </c>
      <c r="O965" t="s">
        <v>87</v>
      </c>
      <c r="P965" t="s">
        <v>101</v>
      </c>
    </row>
    <row r="966" spans="1:16" x14ac:dyDescent="0.25">
      <c r="A966" s="2">
        <v>45214</v>
      </c>
      <c r="B966" t="s">
        <v>25</v>
      </c>
      <c r="C966" t="s">
        <v>56</v>
      </c>
      <c r="D966" t="s">
        <v>12</v>
      </c>
      <c r="E966" t="s">
        <v>18</v>
      </c>
      <c r="F966" t="s">
        <v>23</v>
      </c>
      <c r="G966" t="s">
        <v>37</v>
      </c>
      <c r="H966">
        <v>10</v>
      </c>
      <c r="I966">
        <v>651.83000000000004</v>
      </c>
      <c r="J966">
        <v>5866.47</v>
      </c>
      <c r="K966">
        <v>651.83000000000004</v>
      </c>
      <c r="L966">
        <v>6518.3</v>
      </c>
      <c r="M966">
        <v>1173.2940000000001</v>
      </c>
      <c r="N966">
        <v>7691.5940000000001</v>
      </c>
      <c r="O966" t="s">
        <v>87</v>
      </c>
      <c r="P966" t="s">
        <v>100</v>
      </c>
    </row>
    <row r="967" spans="1:16" x14ac:dyDescent="0.25">
      <c r="A967" s="2">
        <v>45105</v>
      </c>
      <c r="B967" t="s">
        <v>34</v>
      </c>
      <c r="C967" t="s">
        <v>59</v>
      </c>
      <c r="D967" t="s">
        <v>66</v>
      </c>
      <c r="E967" t="s">
        <v>41</v>
      </c>
      <c r="F967" t="s">
        <v>14</v>
      </c>
      <c r="G967" t="s">
        <v>53</v>
      </c>
      <c r="H967">
        <v>4</v>
      </c>
      <c r="I967">
        <v>1077.23</v>
      </c>
      <c r="J967">
        <v>3878.0280000000002</v>
      </c>
      <c r="K967">
        <v>430.89200000000005</v>
      </c>
      <c r="L967">
        <v>4308.92</v>
      </c>
      <c r="M967">
        <v>775.60559999999998</v>
      </c>
      <c r="N967">
        <v>5084.5255999999999</v>
      </c>
      <c r="O967" t="s">
        <v>87</v>
      </c>
      <c r="P967" t="s">
        <v>66</v>
      </c>
    </row>
    <row r="968" spans="1:16" x14ac:dyDescent="0.25">
      <c r="A968" s="2">
        <v>45090</v>
      </c>
      <c r="B968" t="s">
        <v>43</v>
      </c>
      <c r="C968" t="s">
        <v>58</v>
      </c>
      <c r="D968" t="s">
        <v>12</v>
      </c>
      <c r="E968" t="s">
        <v>18</v>
      </c>
      <c r="F968" t="s">
        <v>32</v>
      </c>
      <c r="G968" t="s">
        <v>36</v>
      </c>
      <c r="H968">
        <v>15</v>
      </c>
      <c r="I968">
        <v>4554.78</v>
      </c>
      <c r="J968">
        <v>61489.53</v>
      </c>
      <c r="K968">
        <v>6832.17</v>
      </c>
      <c r="L968">
        <v>68321.7</v>
      </c>
      <c r="M968">
        <v>12297.905999999999</v>
      </c>
      <c r="N968">
        <v>80619.606</v>
      </c>
      <c r="O968" t="s">
        <v>87</v>
      </c>
      <c r="P968" t="s">
        <v>100</v>
      </c>
    </row>
    <row r="969" spans="1:16" x14ac:dyDescent="0.25">
      <c r="A969" s="2">
        <v>45072</v>
      </c>
      <c r="B969" t="s">
        <v>29</v>
      </c>
      <c r="C969" t="s">
        <v>60</v>
      </c>
      <c r="D969" t="s">
        <v>12</v>
      </c>
      <c r="E969" t="s">
        <v>18</v>
      </c>
      <c r="F969" t="s">
        <v>19</v>
      </c>
      <c r="G969" t="s">
        <v>48</v>
      </c>
      <c r="H969">
        <v>19</v>
      </c>
      <c r="I969">
        <v>1003.13</v>
      </c>
      <c r="J969">
        <v>17153.523000000001</v>
      </c>
      <c r="K969">
        <v>1905.9470000000001</v>
      </c>
      <c r="L969">
        <v>19059.47</v>
      </c>
      <c r="M969">
        <v>3430.7046</v>
      </c>
      <c r="N969">
        <v>22490.174600000002</v>
      </c>
      <c r="O969" t="s">
        <v>87</v>
      </c>
      <c r="P969" t="s">
        <v>100</v>
      </c>
    </row>
    <row r="970" spans="1:16" x14ac:dyDescent="0.25">
      <c r="A970" s="2">
        <v>45133</v>
      </c>
      <c r="B970" t="s">
        <v>10</v>
      </c>
      <c r="C970" t="s">
        <v>62</v>
      </c>
      <c r="D970" t="s">
        <v>65</v>
      </c>
      <c r="E970" t="s">
        <v>64</v>
      </c>
      <c r="F970" t="s">
        <v>27</v>
      </c>
      <c r="G970" t="s">
        <v>42</v>
      </c>
      <c r="H970">
        <v>7</v>
      </c>
      <c r="I970">
        <v>3168.77</v>
      </c>
      <c r="J970">
        <v>19963.251</v>
      </c>
      <c r="K970">
        <v>2218.1390000000001</v>
      </c>
      <c r="L970">
        <v>22181.39</v>
      </c>
      <c r="M970">
        <v>3992.6501999999996</v>
      </c>
      <c r="N970">
        <v>26174.040199999999</v>
      </c>
      <c r="O970" t="s">
        <v>87</v>
      </c>
      <c r="P970" t="s">
        <v>101</v>
      </c>
    </row>
    <row r="971" spans="1:16" x14ac:dyDescent="0.25">
      <c r="A971" s="2">
        <v>44977</v>
      </c>
      <c r="B971" t="s">
        <v>29</v>
      </c>
      <c r="C971" t="s">
        <v>58</v>
      </c>
      <c r="D971" t="s">
        <v>12</v>
      </c>
      <c r="E971" t="s">
        <v>18</v>
      </c>
      <c r="F971" t="s">
        <v>19</v>
      </c>
      <c r="G971" t="s">
        <v>30</v>
      </c>
      <c r="H971">
        <v>19</v>
      </c>
      <c r="I971">
        <v>4528.95</v>
      </c>
      <c r="J971">
        <v>77445.044999999998</v>
      </c>
      <c r="K971">
        <v>8605.005000000001</v>
      </c>
      <c r="L971">
        <v>86050.05</v>
      </c>
      <c r="M971">
        <v>15489.009</v>
      </c>
      <c r="N971">
        <v>101539.05900000001</v>
      </c>
      <c r="O971" t="s">
        <v>87</v>
      </c>
      <c r="P971" t="s">
        <v>100</v>
      </c>
    </row>
    <row r="972" spans="1:16" x14ac:dyDescent="0.25">
      <c r="A972" s="2">
        <v>45164</v>
      </c>
      <c r="B972" t="s">
        <v>21</v>
      </c>
      <c r="C972" t="s">
        <v>62</v>
      </c>
      <c r="D972" t="s">
        <v>65</v>
      </c>
      <c r="E972" t="s">
        <v>64</v>
      </c>
      <c r="F972" t="s">
        <v>32</v>
      </c>
      <c r="G972" t="s">
        <v>36</v>
      </c>
      <c r="H972">
        <v>5</v>
      </c>
      <c r="I972">
        <v>2480.84</v>
      </c>
      <c r="J972">
        <v>11163.78</v>
      </c>
      <c r="K972">
        <v>1240.42</v>
      </c>
      <c r="L972">
        <v>12404.2</v>
      </c>
      <c r="M972">
        <v>2232.7559999999999</v>
      </c>
      <c r="N972">
        <v>14636.956</v>
      </c>
      <c r="O972" t="s">
        <v>87</v>
      </c>
      <c r="P972" t="s">
        <v>101</v>
      </c>
    </row>
    <row r="973" spans="1:16" x14ac:dyDescent="0.25">
      <c r="A973" s="2">
        <v>45051</v>
      </c>
      <c r="B973" t="s">
        <v>38</v>
      </c>
      <c r="C973" t="s">
        <v>26</v>
      </c>
      <c r="D973" t="s">
        <v>12</v>
      </c>
      <c r="E973" t="s">
        <v>18</v>
      </c>
      <c r="F973" t="s">
        <v>23</v>
      </c>
      <c r="G973" t="s">
        <v>47</v>
      </c>
      <c r="H973">
        <v>11</v>
      </c>
      <c r="I973">
        <v>4740.79</v>
      </c>
      <c r="J973">
        <v>46933.821000000004</v>
      </c>
      <c r="K973">
        <v>5214.8690000000006</v>
      </c>
      <c r="L973">
        <v>52148.69</v>
      </c>
      <c r="M973">
        <v>9386.7641999999996</v>
      </c>
      <c r="N973">
        <v>61535.4542</v>
      </c>
      <c r="O973" t="s">
        <v>87</v>
      </c>
      <c r="P973" t="s">
        <v>100</v>
      </c>
    </row>
    <row r="974" spans="1:16" x14ac:dyDescent="0.25">
      <c r="A974" s="2">
        <v>45184</v>
      </c>
      <c r="B974" t="s">
        <v>31</v>
      </c>
      <c r="C974" t="s">
        <v>26</v>
      </c>
      <c r="D974" t="s">
        <v>12</v>
      </c>
      <c r="E974" t="s">
        <v>18</v>
      </c>
      <c r="F974" t="s">
        <v>27</v>
      </c>
      <c r="G974" t="s">
        <v>28</v>
      </c>
      <c r="H974">
        <v>16</v>
      </c>
      <c r="I974">
        <v>2687.77</v>
      </c>
      <c r="J974">
        <v>38703.887999999999</v>
      </c>
      <c r="K974">
        <v>4300.4319999999998</v>
      </c>
      <c r="L974">
        <v>43004.32</v>
      </c>
      <c r="M974">
        <v>7740.7775999999994</v>
      </c>
      <c r="N974">
        <v>50745.097600000001</v>
      </c>
      <c r="O974" t="s">
        <v>87</v>
      </c>
      <c r="P974" t="s">
        <v>100</v>
      </c>
    </row>
    <row r="975" spans="1:16" x14ac:dyDescent="0.25">
      <c r="A975" s="2">
        <v>45142</v>
      </c>
      <c r="B975" t="s">
        <v>29</v>
      </c>
      <c r="C975" t="s">
        <v>55</v>
      </c>
      <c r="D975" t="s">
        <v>66</v>
      </c>
      <c r="E975" t="s">
        <v>41</v>
      </c>
      <c r="F975" t="s">
        <v>27</v>
      </c>
      <c r="G975" t="s">
        <v>42</v>
      </c>
      <c r="H975">
        <v>15</v>
      </c>
      <c r="I975">
        <v>2472.8000000000002</v>
      </c>
      <c r="J975">
        <v>33382.800000000003</v>
      </c>
      <c r="K975">
        <v>3709.2000000000003</v>
      </c>
      <c r="L975">
        <v>37092</v>
      </c>
      <c r="M975">
        <v>6676.5599999999995</v>
      </c>
      <c r="N975">
        <v>43768.56</v>
      </c>
      <c r="O975" t="s">
        <v>87</v>
      </c>
      <c r="P975" t="s">
        <v>66</v>
      </c>
    </row>
    <row r="976" spans="1:16" x14ac:dyDescent="0.25">
      <c r="A976" s="2">
        <v>44972</v>
      </c>
      <c r="B976" t="s">
        <v>43</v>
      </c>
      <c r="C976" t="s">
        <v>26</v>
      </c>
      <c r="D976" t="s">
        <v>12</v>
      </c>
      <c r="E976" t="s">
        <v>18</v>
      </c>
      <c r="F976" t="s">
        <v>14</v>
      </c>
      <c r="G976" t="s">
        <v>15</v>
      </c>
      <c r="H976">
        <v>3</v>
      </c>
      <c r="I976">
        <v>3814.12</v>
      </c>
      <c r="J976">
        <v>10298.124000000002</v>
      </c>
      <c r="K976">
        <v>1144.2360000000001</v>
      </c>
      <c r="L976">
        <v>11442.36</v>
      </c>
      <c r="M976">
        <v>2059.6248000000001</v>
      </c>
      <c r="N976">
        <v>13501.9848</v>
      </c>
      <c r="O976" t="s">
        <v>87</v>
      </c>
      <c r="P976" t="s">
        <v>100</v>
      </c>
    </row>
    <row r="977" spans="1:16" x14ac:dyDescent="0.25">
      <c r="A977" s="2">
        <v>44978</v>
      </c>
      <c r="B977" t="s">
        <v>43</v>
      </c>
      <c r="C977" t="s">
        <v>35</v>
      </c>
      <c r="D977" t="s">
        <v>65</v>
      </c>
      <c r="E977" t="s">
        <v>64</v>
      </c>
      <c r="F977" t="s">
        <v>14</v>
      </c>
      <c r="G977" t="s">
        <v>45</v>
      </c>
      <c r="H977">
        <v>1</v>
      </c>
      <c r="I977">
        <v>2333.7800000000002</v>
      </c>
      <c r="J977">
        <v>2100.402</v>
      </c>
      <c r="K977">
        <v>233.37800000000004</v>
      </c>
      <c r="L977">
        <v>2333.7800000000002</v>
      </c>
      <c r="M977">
        <v>420.0804</v>
      </c>
      <c r="N977">
        <v>2753.8604</v>
      </c>
      <c r="O977" t="s">
        <v>87</v>
      </c>
      <c r="P977" t="s">
        <v>101</v>
      </c>
    </row>
    <row r="978" spans="1:16" x14ac:dyDescent="0.25">
      <c r="A978" s="2">
        <v>44953</v>
      </c>
      <c r="B978" t="s">
        <v>25</v>
      </c>
      <c r="C978" t="s">
        <v>11</v>
      </c>
      <c r="D978" t="s">
        <v>22</v>
      </c>
      <c r="E978" t="s">
        <v>13</v>
      </c>
      <c r="F978" t="s">
        <v>27</v>
      </c>
      <c r="G978" t="s">
        <v>28</v>
      </c>
      <c r="H978">
        <v>10</v>
      </c>
      <c r="I978">
        <v>2628.56</v>
      </c>
      <c r="J978">
        <v>23657.040000000001</v>
      </c>
      <c r="K978">
        <v>2628.56</v>
      </c>
      <c r="L978">
        <v>26285.599999999999</v>
      </c>
      <c r="M978">
        <v>4731.4079999999994</v>
      </c>
      <c r="N978">
        <v>31017.007999999998</v>
      </c>
      <c r="O978" t="s">
        <v>87</v>
      </c>
      <c r="P978" t="s">
        <v>99</v>
      </c>
    </row>
    <row r="979" spans="1:16" x14ac:dyDescent="0.25">
      <c r="A979" s="2">
        <v>45199</v>
      </c>
      <c r="B979" t="s">
        <v>21</v>
      </c>
      <c r="C979" t="s">
        <v>55</v>
      </c>
      <c r="D979" t="s">
        <v>66</v>
      </c>
      <c r="E979" t="s">
        <v>41</v>
      </c>
      <c r="F979" t="s">
        <v>32</v>
      </c>
      <c r="G979" t="s">
        <v>33</v>
      </c>
      <c r="H979">
        <v>16</v>
      </c>
      <c r="I979">
        <v>284.02</v>
      </c>
      <c r="J979">
        <v>4089.8879999999999</v>
      </c>
      <c r="K979">
        <v>454.43200000000002</v>
      </c>
      <c r="L979">
        <v>4544.32</v>
      </c>
      <c r="M979">
        <v>817.97759999999994</v>
      </c>
      <c r="N979">
        <v>5362.2975999999999</v>
      </c>
      <c r="O979" t="s">
        <v>87</v>
      </c>
      <c r="P979" t="s">
        <v>66</v>
      </c>
    </row>
    <row r="980" spans="1:16" x14ac:dyDescent="0.25">
      <c r="A980" s="2">
        <v>45167</v>
      </c>
      <c r="B980" t="s">
        <v>34</v>
      </c>
      <c r="C980" t="s">
        <v>54</v>
      </c>
      <c r="D980" t="s">
        <v>12</v>
      </c>
      <c r="E980" t="s">
        <v>18</v>
      </c>
      <c r="F980" t="s">
        <v>27</v>
      </c>
      <c r="G980" t="s">
        <v>42</v>
      </c>
      <c r="H980">
        <v>8</v>
      </c>
      <c r="I980">
        <v>1011.67</v>
      </c>
      <c r="J980">
        <v>7284.0239999999994</v>
      </c>
      <c r="K980">
        <v>809.33600000000001</v>
      </c>
      <c r="L980">
        <v>8093.36</v>
      </c>
      <c r="M980">
        <v>1456.8047999999999</v>
      </c>
      <c r="N980">
        <v>9550.1647999999986</v>
      </c>
      <c r="O980" t="s">
        <v>87</v>
      </c>
      <c r="P980" t="s">
        <v>100</v>
      </c>
    </row>
    <row r="981" spans="1:16" x14ac:dyDescent="0.25">
      <c r="A981" s="2">
        <v>44993</v>
      </c>
      <c r="B981" t="s">
        <v>38</v>
      </c>
      <c r="C981" t="s">
        <v>61</v>
      </c>
      <c r="D981" t="s">
        <v>65</v>
      </c>
      <c r="E981" t="s">
        <v>64</v>
      </c>
      <c r="F981" t="s">
        <v>27</v>
      </c>
      <c r="G981" t="s">
        <v>44</v>
      </c>
      <c r="H981">
        <v>6</v>
      </c>
      <c r="I981">
        <v>3918.07</v>
      </c>
      <c r="J981">
        <v>21157.577999999998</v>
      </c>
      <c r="K981">
        <v>2350.8420000000001</v>
      </c>
      <c r="L981">
        <v>23508.42</v>
      </c>
      <c r="M981">
        <v>4231.5155999999997</v>
      </c>
      <c r="N981">
        <v>27739.935599999997</v>
      </c>
      <c r="O981" t="s">
        <v>87</v>
      </c>
      <c r="P981" t="s">
        <v>101</v>
      </c>
    </row>
    <row r="982" spans="1:16" x14ac:dyDescent="0.25">
      <c r="A982" s="2">
        <v>45253</v>
      </c>
      <c r="B982" t="s">
        <v>34</v>
      </c>
      <c r="C982" t="s">
        <v>57</v>
      </c>
      <c r="D982" t="s">
        <v>22</v>
      </c>
      <c r="E982" t="s">
        <v>13</v>
      </c>
      <c r="F982" t="s">
        <v>23</v>
      </c>
      <c r="G982" t="s">
        <v>39</v>
      </c>
      <c r="H982">
        <v>2</v>
      </c>
      <c r="I982">
        <v>3313.63</v>
      </c>
      <c r="J982">
        <v>5964.5340000000006</v>
      </c>
      <c r="K982">
        <v>662.72600000000011</v>
      </c>
      <c r="L982">
        <v>6627.26</v>
      </c>
      <c r="M982">
        <v>1192.9068</v>
      </c>
      <c r="N982">
        <v>7820.1668</v>
      </c>
      <c r="O982" t="s">
        <v>87</v>
      </c>
      <c r="P982" t="s">
        <v>99</v>
      </c>
    </row>
    <row r="983" spans="1:16" x14ac:dyDescent="0.25">
      <c r="A983" s="2">
        <v>44980</v>
      </c>
      <c r="B983" t="s">
        <v>40</v>
      </c>
      <c r="C983" t="s">
        <v>17</v>
      </c>
      <c r="D983" t="s">
        <v>65</v>
      </c>
      <c r="E983" t="s">
        <v>64</v>
      </c>
      <c r="F983" t="s">
        <v>23</v>
      </c>
      <c r="G983" t="s">
        <v>37</v>
      </c>
      <c r="H983">
        <v>18</v>
      </c>
      <c r="I983">
        <v>809.24</v>
      </c>
      <c r="J983">
        <v>13109.688</v>
      </c>
      <c r="K983">
        <v>1456.6320000000001</v>
      </c>
      <c r="L983">
        <v>14566.32</v>
      </c>
      <c r="M983">
        <v>2621.9375999999997</v>
      </c>
      <c r="N983">
        <v>17188.257600000001</v>
      </c>
      <c r="O983" t="s">
        <v>87</v>
      </c>
      <c r="P983" t="s">
        <v>101</v>
      </c>
    </row>
    <row r="984" spans="1:16" x14ac:dyDescent="0.25">
      <c r="A984" s="2">
        <v>45034</v>
      </c>
      <c r="B984" t="s">
        <v>21</v>
      </c>
      <c r="C984" t="s">
        <v>58</v>
      </c>
      <c r="D984" t="s">
        <v>12</v>
      </c>
      <c r="E984" t="s">
        <v>18</v>
      </c>
      <c r="F984" t="s">
        <v>27</v>
      </c>
      <c r="G984" t="s">
        <v>46</v>
      </c>
      <c r="H984">
        <v>2</v>
      </c>
      <c r="I984">
        <v>2338.61</v>
      </c>
      <c r="J984">
        <v>4209.4980000000005</v>
      </c>
      <c r="K984">
        <v>467.72200000000004</v>
      </c>
      <c r="L984">
        <v>4677.22</v>
      </c>
      <c r="M984">
        <v>841.89959999999996</v>
      </c>
      <c r="N984">
        <v>5519.1196</v>
      </c>
      <c r="O984" t="s">
        <v>87</v>
      </c>
      <c r="P984" t="s">
        <v>100</v>
      </c>
    </row>
    <row r="985" spans="1:16" x14ac:dyDescent="0.25">
      <c r="A985" s="2">
        <v>45010</v>
      </c>
      <c r="B985" t="s">
        <v>43</v>
      </c>
      <c r="C985" t="s">
        <v>62</v>
      </c>
      <c r="D985" t="s">
        <v>65</v>
      </c>
      <c r="E985" t="s">
        <v>64</v>
      </c>
      <c r="F985" t="s">
        <v>27</v>
      </c>
      <c r="G985" t="s">
        <v>46</v>
      </c>
      <c r="H985">
        <v>18</v>
      </c>
      <c r="I985">
        <v>2773.93</v>
      </c>
      <c r="J985">
        <v>44937.665999999997</v>
      </c>
      <c r="K985">
        <v>4993.0740000000005</v>
      </c>
      <c r="L985">
        <v>49930.74</v>
      </c>
      <c r="M985">
        <v>8987.5331999999999</v>
      </c>
      <c r="N985">
        <v>58918.273199999996</v>
      </c>
      <c r="O985" t="s">
        <v>87</v>
      </c>
      <c r="P985" t="s">
        <v>101</v>
      </c>
    </row>
    <row r="986" spans="1:16" x14ac:dyDescent="0.25">
      <c r="A986" s="2">
        <v>44994</v>
      </c>
      <c r="B986" t="s">
        <v>25</v>
      </c>
      <c r="C986" t="s">
        <v>59</v>
      </c>
      <c r="D986" t="s">
        <v>66</v>
      </c>
      <c r="E986" t="s">
        <v>41</v>
      </c>
      <c r="F986" t="s">
        <v>27</v>
      </c>
      <c r="G986" t="s">
        <v>44</v>
      </c>
      <c r="H986">
        <v>15</v>
      </c>
      <c r="I986">
        <v>2540.06</v>
      </c>
      <c r="J986">
        <v>34290.810000000005</v>
      </c>
      <c r="K986">
        <v>3810.09</v>
      </c>
      <c r="L986">
        <v>38100.9</v>
      </c>
      <c r="M986">
        <v>6858.1620000000003</v>
      </c>
      <c r="N986">
        <v>44959.062000000005</v>
      </c>
      <c r="O986" t="s">
        <v>87</v>
      </c>
      <c r="P986" t="s">
        <v>66</v>
      </c>
    </row>
    <row r="987" spans="1:16" x14ac:dyDescent="0.25">
      <c r="A987" s="2">
        <v>45072</v>
      </c>
      <c r="B987" t="s">
        <v>10</v>
      </c>
      <c r="C987" t="s">
        <v>61</v>
      </c>
      <c r="D987" t="s">
        <v>65</v>
      </c>
      <c r="E987" t="s">
        <v>64</v>
      </c>
      <c r="F987" t="s">
        <v>23</v>
      </c>
      <c r="G987" t="s">
        <v>24</v>
      </c>
      <c r="H987">
        <v>4</v>
      </c>
      <c r="I987">
        <v>1178.71</v>
      </c>
      <c r="J987">
        <v>4243.3560000000007</v>
      </c>
      <c r="K987">
        <v>471.48400000000004</v>
      </c>
      <c r="L987">
        <v>4714.84</v>
      </c>
      <c r="M987">
        <v>848.6712</v>
      </c>
      <c r="N987">
        <v>5563.5111999999999</v>
      </c>
      <c r="O987" t="s">
        <v>87</v>
      </c>
      <c r="P987" t="s">
        <v>101</v>
      </c>
    </row>
    <row r="988" spans="1:16" x14ac:dyDescent="0.25">
      <c r="A988" s="2">
        <v>45282</v>
      </c>
      <c r="B988" t="s">
        <v>38</v>
      </c>
      <c r="C988" t="s">
        <v>17</v>
      </c>
      <c r="D988" t="s">
        <v>65</v>
      </c>
      <c r="E988" t="s">
        <v>64</v>
      </c>
      <c r="F988" t="s">
        <v>27</v>
      </c>
      <c r="G988" t="s">
        <v>28</v>
      </c>
      <c r="H988">
        <v>4</v>
      </c>
      <c r="I988">
        <v>4724.33</v>
      </c>
      <c r="J988">
        <v>17007.588</v>
      </c>
      <c r="K988">
        <v>1889.732</v>
      </c>
      <c r="L988">
        <v>18897.32</v>
      </c>
      <c r="M988">
        <v>3401.5175999999997</v>
      </c>
      <c r="N988">
        <v>22298.837599999999</v>
      </c>
      <c r="O988" t="s">
        <v>87</v>
      </c>
      <c r="P988" t="s">
        <v>101</v>
      </c>
    </row>
    <row r="989" spans="1:16" x14ac:dyDescent="0.25">
      <c r="A989" s="2">
        <v>45159</v>
      </c>
      <c r="B989" t="s">
        <v>38</v>
      </c>
      <c r="C989" t="s">
        <v>26</v>
      </c>
      <c r="D989" t="s">
        <v>12</v>
      </c>
      <c r="E989" t="s">
        <v>18</v>
      </c>
      <c r="F989" t="s">
        <v>32</v>
      </c>
      <c r="G989" t="s">
        <v>49</v>
      </c>
      <c r="H989">
        <v>7</v>
      </c>
      <c r="I989">
        <v>3481</v>
      </c>
      <c r="J989">
        <v>21930.3</v>
      </c>
      <c r="K989">
        <v>2436.7000000000003</v>
      </c>
      <c r="L989">
        <v>24367</v>
      </c>
      <c r="M989">
        <v>4386.0599999999995</v>
      </c>
      <c r="N989">
        <v>28753.059999999998</v>
      </c>
      <c r="O989" t="s">
        <v>87</v>
      </c>
      <c r="P989" t="s">
        <v>100</v>
      </c>
    </row>
    <row r="990" spans="1:16" x14ac:dyDescent="0.25">
      <c r="A990" s="2">
        <v>45215</v>
      </c>
      <c r="B990" t="s">
        <v>43</v>
      </c>
      <c r="C990" t="s">
        <v>35</v>
      </c>
      <c r="D990" t="s">
        <v>65</v>
      </c>
      <c r="E990" t="s">
        <v>64</v>
      </c>
      <c r="F990" t="s">
        <v>14</v>
      </c>
      <c r="G990" t="s">
        <v>15</v>
      </c>
      <c r="H990">
        <v>16</v>
      </c>
      <c r="I990">
        <v>4608.55</v>
      </c>
      <c r="J990">
        <v>66363.12000000001</v>
      </c>
      <c r="K990">
        <v>7373.68</v>
      </c>
      <c r="L990">
        <v>73736.800000000003</v>
      </c>
      <c r="M990">
        <v>13272.624</v>
      </c>
      <c r="N990">
        <v>87009.423999999999</v>
      </c>
      <c r="O990" t="s">
        <v>87</v>
      </c>
      <c r="P990" t="s">
        <v>101</v>
      </c>
    </row>
    <row r="991" spans="1:16" x14ac:dyDescent="0.25">
      <c r="A991" s="2">
        <v>45227</v>
      </c>
      <c r="B991" t="s">
        <v>40</v>
      </c>
      <c r="C991" t="s">
        <v>59</v>
      </c>
      <c r="D991" t="s">
        <v>66</v>
      </c>
      <c r="E991" t="s">
        <v>41</v>
      </c>
      <c r="F991" t="s">
        <v>32</v>
      </c>
      <c r="G991" t="s">
        <v>50</v>
      </c>
      <c r="H991">
        <v>10</v>
      </c>
      <c r="I991">
        <v>2336.88</v>
      </c>
      <c r="J991">
        <v>21031.919999999998</v>
      </c>
      <c r="K991">
        <v>2336.88</v>
      </c>
      <c r="L991">
        <v>23368.799999999999</v>
      </c>
      <c r="M991">
        <v>4206.384</v>
      </c>
      <c r="N991">
        <v>27575.184000000001</v>
      </c>
      <c r="O991" t="s">
        <v>87</v>
      </c>
      <c r="P991" t="s">
        <v>66</v>
      </c>
    </row>
    <row r="992" spans="1:16" x14ac:dyDescent="0.25">
      <c r="A992" s="2">
        <v>45254</v>
      </c>
      <c r="B992" t="s">
        <v>10</v>
      </c>
      <c r="C992" t="s">
        <v>56</v>
      </c>
      <c r="D992" t="s">
        <v>12</v>
      </c>
      <c r="E992" t="s">
        <v>18</v>
      </c>
      <c r="F992" t="s">
        <v>19</v>
      </c>
      <c r="G992" t="s">
        <v>52</v>
      </c>
      <c r="H992">
        <v>1</v>
      </c>
      <c r="I992">
        <v>2993.55</v>
      </c>
      <c r="J992">
        <v>2694.1950000000002</v>
      </c>
      <c r="K992">
        <v>299.35500000000002</v>
      </c>
      <c r="L992">
        <v>2993.55</v>
      </c>
      <c r="M992">
        <v>538.83900000000006</v>
      </c>
      <c r="N992">
        <v>3532.3890000000001</v>
      </c>
      <c r="O992" t="s">
        <v>87</v>
      </c>
      <c r="P992" t="s">
        <v>100</v>
      </c>
    </row>
    <row r="993" spans="1:16" x14ac:dyDescent="0.25">
      <c r="A993" s="2">
        <v>45216</v>
      </c>
      <c r="B993" t="s">
        <v>34</v>
      </c>
      <c r="C993" t="s">
        <v>55</v>
      </c>
      <c r="D993" t="s">
        <v>66</v>
      </c>
      <c r="E993" t="s">
        <v>41</v>
      </c>
      <c r="F993" t="s">
        <v>23</v>
      </c>
      <c r="G993" t="s">
        <v>39</v>
      </c>
      <c r="H993">
        <v>19</v>
      </c>
      <c r="I993">
        <v>4080.77</v>
      </c>
      <c r="J993">
        <v>69781.167000000001</v>
      </c>
      <c r="K993">
        <v>7753.4630000000006</v>
      </c>
      <c r="L993">
        <v>77534.63</v>
      </c>
      <c r="M993">
        <v>13956.233400000001</v>
      </c>
      <c r="N993">
        <v>91490.863400000002</v>
      </c>
      <c r="O993" t="s">
        <v>87</v>
      </c>
      <c r="P993" t="s">
        <v>66</v>
      </c>
    </row>
    <row r="994" spans="1:16" x14ac:dyDescent="0.25">
      <c r="A994" s="2">
        <v>45151</v>
      </c>
      <c r="B994" t="s">
        <v>16</v>
      </c>
      <c r="C994" t="s">
        <v>62</v>
      </c>
      <c r="D994" t="s">
        <v>65</v>
      </c>
      <c r="E994" t="s">
        <v>64</v>
      </c>
      <c r="F994" t="s">
        <v>23</v>
      </c>
      <c r="G994" t="s">
        <v>47</v>
      </c>
      <c r="H994">
        <v>4</v>
      </c>
      <c r="I994">
        <v>3659.61</v>
      </c>
      <c r="J994">
        <v>13174.596000000001</v>
      </c>
      <c r="K994">
        <v>1463.8440000000001</v>
      </c>
      <c r="L994">
        <v>14638.44</v>
      </c>
      <c r="M994">
        <v>2634.9191999999998</v>
      </c>
      <c r="N994">
        <v>17273.359199999999</v>
      </c>
      <c r="O994" t="s">
        <v>87</v>
      </c>
      <c r="P994" t="s">
        <v>101</v>
      </c>
    </row>
    <row r="995" spans="1:16" x14ac:dyDescent="0.25">
      <c r="A995" s="2">
        <v>44964</v>
      </c>
      <c r="B995" t="s">
        <v>29</v>
      </c>
      <c r="C995" t="s">
        <v>26</v>
      </c>
      <c r="D995" t="s">
        <v>12</v>
      </c>
      <c r="E995" t="s">
        <v>18</v>
      </c>
      <c r="F995" t="s">
        <v>23</v>
      </c>
      <c r="G995" t="s">
        <v>47</v>
      </c>
      <c r="H995">
        <v>12</v>
      </c>
      <c r="I995">
        <v>1819.46</v>
      </c>
      <c r="J995">
        <v>19650.168000000001</v>
      </c>
      <c r="K995">
        <v>2183.3520000000003</v>
      </c>
      <c r="L995">
        <v>21833.52</v>
      </c>
      <c r="M995">
        <v>3930.0335999999998</v>
      </c>
      <c r="N995">
        <v>25763.553599999999</v>
      </c>
      <c r="O995" t="s">
        <v>87</v>
      </c>
      <c r="P995" t="s">
        <v>100</v>
      </c>
    </row>
    <row r="996" spans="1:16" x14ac:dyDescent="0.25">
      <c r="A996" s="2">
        <v>45197</v>
      </c>
      <c r="B996" t="s">
        <v>25</v>
      </c>
      <c r="C996" t="s">
        <v>56</v>
      </c>
      <c r="D996" t="s">
        <v>12</v>
      </c>
      <c r="E996" t="s">
        <v>18</v>
      </c>
      <c r="F996" t="s">
        <v>32</v>
      </c>
      <c r="G996" t="s">
        <v>49</v>
      </c>
      <c r="H996">
        <v>13</v>
      </c>
      <c r="I996">
        <v>3520.87</v>
      </c>
      <c r="J996">
        <v>41194.178999999996</v>
      </c>
      <c r="K996">
        <v>4577.1310000000003</v>
      </c>
      <c r="L996">
        <v>45771.31</v>
      </c>
      <c r="M996">
        <v>8238.8357999999989</v>
      </c>
      <c r="N996">
        <v>54010.145799999998</v>
      </c>
      <c r="O996" t="s">
        <v>87</v>
      </c>
      <c r="P996" t="s">
        <v>100</v>
      </c>
    </row>
    <row r="997" spans="1:16" x14ac:dyDescent="0.25">
      <c r="A997" s="2">
        <v>44979</v>
      </c>
      <c r="B997" t="s">
        <v>34</v>
      </c>
      <c r="C997" t="s">
        <v>17</v>
      </c>
      <c r="D997" t="s">
        <v>65</v>
      </c>
      <c r="E997" t="s">
        <v>64</v>
      </c>
      <c r="F997" t="s">
        <v>27</v>
      </c>
      <c r="G997" t="s">
        <v>46</v>
      </c>
      <c r="H997">
        <v>14</v>
      </c>
      <c r="I997">
        <v>4532.88</v>
      </c>
      <c r="J997">
        <v>57114.288</v>
      </c>
      <c r="K997">
        <v>6346.0320000000002</v>
      </c>
      <c r="L997">
        <v>63460.32</v>
      </c>
      <c r="M997">
        <v>11422.857599999999</v>
      </c>
      <c r="N997">
        <v>74883.177599999995</v>
      </c>
      <c r="O997" t="s">
        <v>87</v>
      </c>
      <c r="P997" t="s">
        <v>101</v>
      </c>
    </row>
    <row r="998" spans="1:16" x14ac:dyDescent="0.25">
      <c r="A998" s="2">
        <v>44952</v>
      </c>
      <c r="B998" t="s">
        <v>29</v>
      </c>
      <c r="C998" t="s">
        <v>11</v>
      </c>
      <c r="D998" t="s">
        <v>22</v>
      </c>
      <c r="E998" t="s">
        <v>13</v>
      </c>
      <c r="F998" t="s">
        <v>14</v>
      </c>
      <c r="G998" t="s">
        <v>45</v>
      </c>
      <c r="H998">
        <v>6</v>
      </c>
      <c r="I998">
        <v>1709.52</v>
      </c>
      <c r="J998">
        <v>9231.4080000000013</v>
      </c>
      <c r="K998">
        <v>1025.7120000000002</v>
      </c>
      <c r="L998">
        <v>10257.120000000001</v>
      </c>
      <c r="M998">
        <v>1846.2816</v>
      </c>
      <c r="N998">
        <v>12103.401600000001</v>
      </c>
      <c r="O998" t="s">
        <v>87</v>
      </c>
      <c r="P998" t="s">
        <v>99</v>
      </c>
    </row>
    <row r="999" spans="1:16" x14ac:dyDescent="0.25">
      <c r="A999" s="2">
        <v>45259</v>
      </c>
      <c r="B999" t="s">
        <v>43</v>
      </c>
      <c r="C999" t="s">
        <v>54</v>
      </c>
      <c r="D999" t="s">
        <v>12</v>
      </c>
      <c r="E999" t="s">
        <v>18</v>
      </c>
      <c r="F999" t="s">
        <v>23</v>
      </c>
      <c r="G999" t="s">
        <v>24</v>
      </c>
      <c r="H999">
        <v>10</v>
      </c>
      <c r="I999">
        <v>3803.22</v>
      </c>
      <c r="J999">
        <v>34228.979999999996</v>
      </c>
      <c r="K999">
        <v>3803.22</v>
      </c>
      <c r="L999">
        <v>38032.199999999997</v>
      </c>
      <c r="M999">
        <v>6845.7959999999994</v>
      </c>
      <c r="N999">
        <v>44877.995999999999</v>
      </c>
      <c r="O999" t="s">
        <v>87</v>
      </c>
      <c r="P999" t="s">
        <v>100</v>
      </c>
    </row>
    <row r="1000" spans="1:16" x14ac:dyDescent="0.25">
      <c r="A1000" s="2">
        <v>44928</v>
      </c>
      <c r="B1000" t="s">
        <v>40</v>
      </c>
      <c r="C1000" t="s">
        <v>54</v>
      </c>
      <c r="D1000" t="s">
        <v>12</v>
      </c>
      <c r="E1000" t="s">
        <v>18</v>
      </c>
      <c r="F1000" t="s">
        <v>19</v>
      </c>
      <c r="G1000" t="s">
        <v>52</v>
      </c>
      <c r="H1000">
        <v>15</v>
      </c>
      <c r="I1000">
        <v>1853</v>
      </c>
      <c r="J1000">
        <v>25015.5</v>
      </c>
      <c r="K1000">
        <v>2779.5</v>
      </c>
      <c r="L1000">
        <v>27795</v>
      </c>
      <c r="M1000">
        <v>5003.0999999999995</v>
      </c>
      <c r="N1000">
        <v>32798.1</v>
      </c>
      <c r="O1000" t="s">
        <v>87</v>
      </c>
      <c r="P1000" t="s">
        <v>100</v>
      </c>
    </row>
    <row r="1001" spans="1:16" x14ac:dyDescent="0.25">
      <c r="A1001" s="2">
        <v>44961</v>
      </c>
      <c r="B1001" t="s">
        <v>43</v>
      </c>
      <c r="C1001" t="s">
        <v>26</v>
      </c>
      <c r="D1001" t="s">
        <v>12</v>
      </c>
      <c r="E1001" t="s">
        <v>18</v>
      </c>
      <c r="F1001" t="s">
        <v>23</v>
      </c>
      <c r="G1001" t="s">
        <v>37</v>
      </c>
      <c r="H1001">
        <v>2</v>
      </c>
      <c r="I1001">
        <v>2623.43</v>
      </c>
      <c r="J1001">
        <v>4722.174</v>
      </c>
      <c r="K1001">
        <v>524.68600000000004</v>
      </c>
      <c r="L1001">
        <v>5246.86</v>
      </c>
      <c r="M1001">
        <v>944.43479999999988</v>
      </c>
      <c r="N1001">
        <v>6191.2947999999997</v>
      </c>
      <c r="O1001" t="s">
        <v>87</v>
      </c>
      <c r="P1001" t="s">
        <v>100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9D7D-24CE-4379-B7FD-F72C9EFFA664}">
  <dimension ref="A3:BE351"/>
  <sheetViews>
    <sheetView workbookViewId="0">
      <selection activeCell="F20" sqref="F20"/>
    </sheetView>
  </sheetViews>
  <sheetFormatPr defaultRowHeight="15" x14ac:dyDescent="0.25"/>
  <cols>
    <col min="1" max="1" width="20.28515625" bestFit="1" customWidth="1"/>
    <col min="3" max="3" width="18.7109375" bestFit="1" customWidth="1"/>
    <col min="5" max="5" width="20.85546875" bestFit="1" customWidth="1"/>
    <col min="6" max="6" width="20.28515625" bestFit="1" customWidth="1"/>
    <col min="8" max="8" width="11.7109375" bestFit="1" customWidth="1"/>
    <col min="9" max="9" width="20.28515625" bestFit="1" customWidth="1"/>
    <col min="11" max="11" width="11.28515625" bestFit="1" customWidth="1"/>
    <col min="12" max="12" width="20.28515625" bestFit="1" customWidth="1"/>
    <col min="13" max="13" width="18.7109375" bestFit="1" customWidth="1"/>
    <col min="15" max="15" width="19" bestFit="1" customWidth="1"/>
    <col min="16" max="17" width="20.28515625" bestFit="1" customWidth="1"/>
    <col min="18" max="18" width="19.7109375" bestFit="1" customWidth="1"/>
    <col min="19" max="19" width="15.5703125" bestFit="1" customWidth="1"/>
    <col min="20" max="21" width="11.28515625" bestFit="1" customWidth="1"/>
    <col min="22" max="22" width="20.28515625" bestFit="1" customWidth="1"/>
    <col min="24" max="24" width="19.140625" bestFit="1" customWidth="1"/>
    <col min="25" max="25" width="20.28515625" bestFit="1" customWidth="1"/>
    <col min="26" max="26" width="19" bestFit="1" customWidth="1"/>
    <col min="27" max="27" width="19.7109375" bestFit="1" customWidth="1"/>
    <col min="28" max="28" width="20.28515625" bestFit="1" customWidth="1"/>
    <col min="30" max="30" width="19.7109375" bestFit="1" customWidth="1"/>
    <col min="31" max="31" width="12" bestFit="1" customWidth="1"/>
    <col min="32" max="32" width="19.7109375" bestFit="1" customWidth="1"/>
    <col min="33" max="33" width="11.28515625" bestFit="1" customWidth="1"/>
    <col min="34" max="34" width="18.7109375" bestFit="1" customWidth="1"/>
    <col min="38" max="38" width="11.28515625" bestFit="1" customWidth="1"/>
    <col min="39" max="39" width="20.28515625" bestFit="1" customWidth="1"/>
    <col min="45" max="45" width="19.140625" bestFit="1" customWidth="1"/>
    <col min="46" max="46" width="20.28515625" bestFit="1" customWidth="1"/>
    <col min="56" max="56" width="19.7109375" bestFit="1" customWidth="1"/>
    <col min="57" max="57" width="20.28515625" bestFit="1" customWidth="1"/>
    <col min="58" max="58" width="16.7109375" bestFit="1" customWidth="1"/>
    <col min="59" max="59" width="28.7109375" bestFit="1" customWidth="1"/>
    <col min="60" max="60" width="19.7109375" customWidth="1"/>
    <col min="62" max="62" width="13.42578125" bestFit="1" customWidth="1"/>
    <col min="66" max="66" width="11.28515625" bestFit="1" customWidth="1"/>
  </cols>
  <sheetData>
    <row r="3" spans="1:33" x14ac:dyDescent="0.25">
      <c r="A3" t="s">
        <v>71</v>
      </c>
      <c r="C3" t="s">
        <v>72</v>
      </c>
      <c r="E3" s="5" t="s">
        <v>92</v>
      </c>
      <c r="F3" t="s">
        <v>71</v>
      </c>
      <c r="H3" s="5" t="s">
        <v>91</v>
      </c>
      <c r="I3" t="s">
        <v>71</v>
      </c>
      <c r="K3" s="5" t="s">
        <v>90</v>
      </c>
      <c r="L3" t="s">
        <v>71</v>
      </c>
      <c r="M3" t="s">
        <v>72</v>
      </c>
      <c r="O3" s="5" t="s">
        <v>5</v>
      </c>
      <c r="P3" t="s">
        <v>71</v>
      </c>
      <c r="R3" s="5" t="s">
        <v>3</v>
      </c>
      <c r="S3" t="s">
        <v>86</v>
      </c>
      <c r="U3" s="5" t="s">
        <v>4</v>
      </c>
      <c r="V3" t="s">
        <v>71</v>
      </c>
      <c r="X3" s="5" t="s">
        <v>89</v>
      </c>
      <c r="Y3" t="s">
        <v>71</v>
      </c>
      <c r="AA3" s="5" t="s">
        <v>3</v>
      </c>
      <c r="AB3" t="s">
        <v>71</v>
      </c>
      <c r="AD3" t="s">
        <v>3</v>
      </c>
      <c r="AE3" t="s">
        <v>93</v>
      </c>
      <c r="AG3" s="5" t="s">
        <v>102</v>
      </c>
    </row>
    <row r="4" spans="1:33" x14ac:dyDescent="0.25">
      <c r="A4" s="3">
        <v>27341929.690000001</v>
      </c>
      <c r="C4" s="12">
        <v>2734192.9689999968</v>
      </c>
      <c r="E4" s="6" t="s">
        <v>14</v>
      </c>
      <c r="F4" s="12">
        <v>5766604.0700000022</v>
      </c>
      <c r="H4" s="6" t="s">
        <v>26</v>
      </c>
      <c r="I4" s="12">
        <v>3380420.5500000007</v>
      </c>
      <c r="K4" s="6" t="s">
        <v>74</v>
      </c>
      <c r="L4" s="12">
        <v>2612216.9299999997</v>
      </c>
      <c r="M4" s="12">
        <v>261221.69300000014</v>
      </c>
      <c r="O4" s="6" t="s">
        <v>23</v>
      </c>
      <c r="P4" s="12">
        <v>5676320.0800000029</v>
      </c>
      <c r="R4" s="6" t="s">
        <v>22</v>
      </c>
      <c r="S4" s="12">
        <v>1613</v>
      </c>
      <c r="U4" s="6" t="s">
        <v>64</v>
      </c>
      <c r="V4" s="12">
        <v>9094723.3999999985</v>
      </c>
      <c r="X4" s="6" t="s">
        <v>38</v>
      </c>
      <c r="Y4" s="12">
        <v>3046690.5500000007</v>
      </c>
      <c r="AA4" s="6" t="s">
        <v>99</v>
      </c>
      <c r="AB4" s="12">
        <v>4458640.34</v>
      </c>
      <c r="AD4" t="str">
        <f>AA4</f>
        <v>PK-BA</v>
      </c>
      <c r="AE4">
        <f>AB4</f>
        <v>4458640.34</v>
      </c>
      <c r="AG4" s="7">
        <v>44928</v>
      </c>
    </row>
    <row r="5" spans="1:33" x14ac:dyDescent="0.25">
      <c r="A5" s="4">
        <v>27341929.690000001</v>
      </c>
      <c r="C5" s="4">
        <v>2734192.9689999968</v>
      </c>
      <c r="E5" s="6" t="s">
        <v>19</v>
      </c>
      <c r="F5" s="12">
        <v>5747617.1799999978</v>
      </c>
      <c r="H5" s="6" t="s">
        <v>11</v>
      </c>
      <c r="I5" s="12">
        <v>2371551.41</v>
      </c>
      <c r="K5" s="6" t="s">
        <v>75</v>
      </c>
      <c r="L5" s="12">
        <v>2233903.2099999995</v>
      </c>
      <c r="M5" s="12">
        <v>223390.32099999997</v>
      </c>
      <c r="O5" s="6" t="s">
        <v>32</v>
      </c>
      <c r="P5" s="12">
        <v>5017163.4500000011</v>
      </c>
      <c r="R5" s="6" t="s">
        <v>66</v>
      </c>
      <c r="S5" s="12">
        <v>1414</v>
      </c>
      <c r="U5" s="6" t="s">
        <v>41</v>
      </c>
      <c r="V5" s="12">
        <v>3358036.63</v>
      </c>
      <c r="X5" s="6" t="s">
        <v>43</v>
      </c>
      <c r="Y5" s="12">
        <v>3046058.85</v>
      </c>
      <c r="AA5" s="6" t="s">
        <v>101</v>
      </c>
      <c r="AB5" s="12">
        <v>9094723.3999999985</v>
      </c>
      <c r="AD5" t="str">
        <f>AA5</f>
        <v>PK-PB</v>
      </c>
      <c r="AE5">
        <f>AB5</f>
        <v>9094723.3999999985</v>
      </c>
      <c r="AG5" s="7">
        <v>44929</v>
      </c>
    </row>
    <row r="6" spans="1:33" x14ac:dyDescent="0.25">
      <c r="E6" s="6" t="s">
        <v>23</v>
      </c>
      <c r="F6" s="12">
        <v>5676320.0800000029</v>
      </c>
      <c r="H6" s="6" t="s">
        <v>17</v>
      </c>
      <c r="I6" s="12">
        <v>2187290.5499999993</v>
      </c>
      <c r="K6" s="6" t="s">
        <v>76</v>
      </c>
      <c r="L6" s="12">
        <v>2566570.9800000009</v>
      </c>
      <c r="M6" s="12">
        <v>256657.09800000009</v>
      </c>
      <c r="O6" s="6" t="s">
        <v>14</v>
      </c>
      <c r="P6" s="12">
        <v>5766604.0700000022</v>
      </c>
      <c r="R6" s="6" t="s">
        <v>65</v>
      </c>
      <c r="S6" s="12">
        <v>3394</v>
      </c>
      <c r="U6" s="6" t="s">
        <v>18</v>
      </c>
      <c r="V6" s="12">
        <v>10430529.319999997</v>
      </c>
      <c r="X6" s="6" t="s">
        <v>16</v>
      </c>
      <c r="Y6" s="12">
        <v>2947564.5100000002</v>
      </c>
      <c r="AA6" s="6" t="s">
        <v>100</v>
      </c>
      <c r="AB6" s="12">
        <v>10430529.319999997</v>
      </c>
      <c r="AD6" t="str">
        <f>AA6</f>
        <v>PK-SD</v>
      </c>
      <c r="AE6">
        <f>AB6</f>
        <v>10430529.319999997</v>
      </c>
      <c r="AG6" s="7">
        <v>44930</v>
      </c>
    </row>
    <row r="7" spans="1:33" x14ac:dyDescent="0.25">
      <c r="E7" s="6" t="s">
        <v>27</v>
      </c>
      <c r="F7" s="12">
        <v>5134224.91</v>
      </c>
      <c r="H7" s="6" t="s">
        <v>57</v>
      </c>
      <c r="I7" s="12">
        <v>2087088.9299999997</v>
      </c>
      <c r="K7" s="6" t="s">
        <v>77</v>
      </c>
      <c r="L7" s="12">
        <v>2052606.3699999994</v>
      </c>
      <c r="M7" s="12">
        <v>205260.63699999999</v>
      </c>
      <c r="O7" s="6" t="s">
        <v>27</v>
      </c>
      <c r="P7" s="12">
        <v>5134224.91</v>
      </c>
      <c r="R7" s="6" t="s">
        <v>12</v>
      </c>
      <c r="S7" s="12">
        <v>4153</v>
      </c>
      <c r="U7" s="6" t="s">
        <v>13</v>
      </c>
      <c r="V7" s="12">
        <v>4458640.34</v>
      </c>
      <c r="X7" s="6" t="s">
        <v>21</v>
      </c>
      <c r="Y7" s="12">
        <v>2829331.3599999985</v>
      </c>
      <c r="AA7" s="6" t="s">
        <v>66</v>
      </c>
      <c r="AB7" s="12">
        <v>3358036.63</v>
      </c>
      <c r="AD7" t="str">
        <f>AA7</f>
        <v>Khyber Pakhtunkhwa</v>
      </c>
      <c r="AE7">
        <f>AB7</f>
        <v>3358036.63</v>
      </c>
      <c r="AG7" s="7">
        <v>44931</v>
      </c>
    </row>
    <row r="8" spans="1:33" x14ac:dyDescent="0.25">
      <c r="E8" s="6" t="s">
        <v>32</v>
      </c>
      <c r="F8" s="12">
        <v>5017163.4500000011</v>
      </c>
      <c r="H8" s="6" t="s">
        <v>35</v>
      </c>
      <c r="I8" s="12">
        <v>2060487.5999999996</v>
      </c>
      <c r="K8" s="6" t="s">
        <v>78</v>
      </c>
      <c r="L8" s="12">
        <v>2528189.1999999997</v>
      </c>
      <c r="M8" s="12">
        <v>252818.91999999998</v>
      </c>
      <c r="O8" s="6" t="s">
        <v>19</v>
      </c>
      <c r="P8" s="12">
        <v>5747617.1799999978</v>
      </c>
      <c r="R8" s="6" t="s">
        <v>73</v>
      </c>
      <c r="S8" s="12">
        <v>10574</v>
      </c>
      <c r="U8" s="6" t="s">
        <v>73</v>
      </c>
      <c r="V8" s="12">
        <v>27341929.689999994</v>
      </c>
      <c r="X8" s="6" t="s">
        <v>29</v>
      </c>
      <c r="Y8" s="12">
        <v>2783018.7600000002</v>
      </c>
      <c r="AA8" s="6" t="s">
        <v>73</v>
      </c>
      <c r="AB8" s="12">
        <v>27341929.689999994</v>
      </c>
      <c r="AG8" s="7">
        <v>44932</v>
      </c>
    </row>
    <row r="9" spans="1:33" x14ac:dyDescent="0.25">
      <c r="E9" s="6" t="s">
        <v>73</v>
      </c>
      <c r="F9" s="12">
        <v>27341929.690000001</v>
      </c>
      <c r="H9" s="6" t="s">
        <v>56</v>
      </c>
      <c r="I9" s="12">
        <v>1883112.46</v>
      </c>
      <c r="K9" s="6" t="s">
        <v>79</v>
      </c>
      <c r="L9" s="12">
        <v>2319694.5999999996</v>
      </c>
      <c r="M9" s="12">
        <v>231969.46000000008</v>
      </c>
      <c r="O9" s="6" t="s">
        <v>73</v>
      </c>
      <c r="P9" s="12">
        <v>27341929.690000005</v>
      </c>
      <c r="X9" s="6" t="s">
        <v>10</v>
      </c>
      <c r="Y9" s="12">
        <v>2761279.2199999988</v>
      </c>
      <c r="AG9" s="7">
        <v>44933</v>
      </c>
    </row>
    <row r="10" spans="1:33" x14ac:dyDescent="0.25">
      <c r="H10" s="6" t="s">
        <v>54</v>
      </c>
      <c r="I10" s="12">
        <v>1878798.8599999999</v>
      </c>
      <c r="K10" s="6" t="s">
        <v>80</v>
      </c>
      <c r="L10" s="12">
        <v>2181281.9100000006</v>
      </c>
      <c r="M10" s="12">
        <v>218128.19099999999</v>
      </c>
      <c r="X10" s="6" t="s">
        <v>40</v>
      </c>
      <c r="Y10" s="12">
        <v>2577082.5999999987</v>
      </c>
      <c r="AG10" s="7">
        <v>44934</v>
      </c>
    </row>
    <row r="11" spans="1:33" x14ac:dyDescent="0.25">
      <c r="H11" s="6" t="s">
        <v>59</v>
      </c>
      <c r="I11" s="12">
        <v>1784483.9799999997</v>
      </c>
      <c r="K11" s="6" t="s">
        <v>81</v>
      </c>
      <c r="L11" s="12">
        <v>2125721.5900000003</v>
      </c>
      <c r="M11" s="12">
        <v>212572.15899999996</v>
      </c>
      <c r="X11" s="6" t="s">
        <v>25</v>
      </c>
      <c r="Y11" s="12">
        <v>2558271.1900000004</v>
      </c>
      <c r="AG11" s="7">
        <v>44935</v>
      </c>
    </row>
    <row r="12" spans="1:33" x14ac:dyDescent="0.25">
      <c r="H12" s="6" t="s">
        <v>58</v>
      </c>
      <c r="I12" s="12">
        <v>1749587.0499999993</v>
      </c>
      <c r="K12" s="6" t="s">
        <v>82</v>
      </c>
      <c r="L12" s="12">
        <v>2061878.0999999999</v>
      </c>
      <c r="M12" s="12">
        <v>206187.81000000008</v>
      </c>
      <c r="X12" s="6" t="s">
        <v>31</v>
      </c>
      <c r="Y12" s="12">
        <v>2453340.9999999986</v>
      </c>
      <c r="AG12" s="7">
        <v>44936</v>
      </c>
    </row>
    <row r="13" spans="1:33" x14ac:dyDescent="0.25">
      <c r="H13" s="6" t="s">
        <v>61</v>
      </c>
      <c r="I13" s="12">
        <v>1661571.69</v>
      </c>
      <c r="K13" s="6" t="s">
        <v>83</v>
      </c>
      <c r="L13" s="12">
        <v>2451323.71</v>
      </c>
      <c r="M13" s="12">
        <v>245132.37100000001</v>
      </c>
      <c r="X13" s="6" t="s">
        <v>34</v>
      </c>
      <c r="Y13" s="12">
        <v>2339291.6499999994</v>
      </c>
      <c r="AG13" s="7">
        <v>44937</v>
      </c>
    </row>
    <row r="14" spans="1:33" x14ac:dyDescent="0.25">
      <c r="H14" s="6" t="s">
        <v>62</v>
      </c>
      <c r="I14" s="12">
        <v>1648511.4</v>
      </c>
      <c r="K14" s="6" t="s">
        <v>84</v>
      </c>
      <c r="L14" s="12">
        <v>2129147.19</v>
      </c>
      <c r="M14" s="12">
        <v>212914.71900000001</v>
      </c>
      <c r="X14" s="6" t="s">
        <v>73</v>
      </c>
      <c r="Y14" s="12">
        <v>27341929.689999998</v>
      </c>
      <c r="AG14" s="7">
        <v>44938</v>
      </c>
    </row>
    <row r="15" spans="1:33" x14ac:dyDescent="0.25">
      <c r="H15" s="6" t="s">
        <v>55</v>
      </c>
      <c r="I15" s="12">
        <v>1573552.6500000004</v>
      </c>
      <c r="K15" s="6" t="s">
        <v>85</v>
      </c>
      <c r="L15" s="12">
        <v>2079395.9</v>
      </c>
      <c r="M15" s="12">
        <v>207939.59</v>
      </c>
      <c r="AG15" s="7">
        <v>44939</v>
      </c>
    </row>
    <row r="16" spans="1:33" x14ac:dyDescent="0.25">
      <c r="H16" s="6" t="s">
        <v>60</v>
      </c>
      <c r="I16" s="12">
        <v>1538610.4000000001</v>
      </c>
      <c r="K16" s="6" t="s">
        <v>73</v>
      </c>
      <c r="L16" s="12">
        <v>27341929.690000001</v>
      </c>
      <c r="M16" s="12">
        <v>2734192.969</v>
      </c>
      <c r="AG16" s="7">
        <v>44940</v>
      </c>
    </row>
    <row r="17" spans="8:57" x14ac:dyDescent="0.25">
      <c r="H17" s="6" t="s">
        <v>63</v>
      </c>
      <c r="I17" s="12">
        <v>1536862.16</v>
      </c>
      <c r="AG17" s="7">
        <v>44941</v>
      </c>
      <c r="BD17" s="8"/>
      <c r="BE17" s="9"/>
    </row>
    <row r="18" spans="8:57" x14ac:dyDescent="0.25">
      <c r="H18" s="6" t="s">
        <v>73</v>
      </c>
      <c r="I18" s="12">
        <v>27341929.689999998</v>
      </c>
      <c r="AG18" s="7">
        <v>44942</v>
      </c>
      <c r="BD18" s="10"/>
    </row>
    <row r="19" spans="8:57" x14ac:dyDescent="0.25">
      <c r="AG19" s="7">
        <v>44943</v>
      </c>
      <c r="BD19" s="8"/>
      <c r="BE19" s="9"/>
    </row>
    <row r="20" spans="8:57" x14ac:dyDescent="0.25">
      <c r="AG20" s="7">
        <v>44944</v>
      </c>
      <c r="BD20" s="10"/>
    </row>
    <row r="21" spans="8:57" x14ac:dyDescent="0.25">
      <c r="AG21" s="7">
        <v>44945</v>
      </c>
      <c r="BD21" s="8"/>
      <c r="BE21" s="9"/>
    </row>
    <row r="22" spans="8:57" x14ac:dyDescent="0.25">
      <c r="AG22" s="7">
        <v>44946</v>
      </c>
      <c r="BD22" s="10"/>
    </row>
    <row r="23" spans="8:57" x14ac:dyDescent="0.25">
      <c r="AG23" s="7">
        <v>44947</v>
      </c>
      <c r="BD23" s="8"/>
      <c r="BE23" s="9"/>
    </row>
    <row r="24" spans="8:57" x14ac:dyDescent="0.25">
      <c r="AG24" s="7">
        <v>44948</v>
      </c>
      <c r="BD24" s="10"/>
    </row>
    <row r="25" spans="8:57" x14ac:dyDescent="0.25">
      <c r="AG25" s="7">
        <v>44949</v>
      </c>
    </row>
    <row r="26" spans="8:57" x14ac:dyDescent="0.25">
      <c r="AG26" s="7">
        <v>44950</v>
      </c>
    </row>
    <row r="27" spans="8:57" x14ac:dyDescent="0.25">
      <c r="AG27" s="7">
        <v>44951</v>
      </c>
    </row>
    <row r="28" spans="8:57" x14ac:dyDescent="0.25">
      <c r="AG28" s="7">
        <v>44952</v>
      </c>
    </row>
    <row r="29" spans="8:57" x14ac:dyDescent="0.25">
      <c r="AG29" s="7">
        <v>44953</v>
      </c>
    </row>
    <row r="30" spans="8:57" x14ac:dyDescent="0.25">
      <c r="AG30" s="7">
        <v>44954</v>
      </c>
    </row>
    <row r="31" spans="8:57" x14ac:dyDescent="0.25">
      <c r="AG31" s="7">
        <v>44956</v>
      </c>
    </row>
    <row r="32" spans="8:57" x14ac:dyDescent="0.25">
      <c r="AG32" s="7">
        <v>44957</v>
      </c>
    </row>
    <row r="33" spans="33:33" x14ac:dyDescent="0.25">
      <c r="AG33" s="7">
        <v>44958</v>
      </c>
    </row>
    <row r="34" spans="33:33" x14ac:dyDescent="0.25">
      <c r="AG34" s="7">
        <v>44959</v>
      </c>
    </row>
    <row r="35" spans="33:33" x14ac:dyDescent="0.25">
      <c r="AG35" s="7">
        <v>44960</v>
      </c>
    </row>
    <row r="36" spans="33:33" x14ac:dyDescent="0.25">
      <c r="AG36" s="7">
        <v>44961</v>
      </c>
    </row>
    <row r="37" spans="33:33" x14ac:dyDescent="0.25">
      <c r="AG37" s="7">
        <v>44962</v>
      </c>
    </row>
    <row r="38" spans="33:33" x14ac:dyDescent="0.25">
      <c r="AG38" s="7">
        <v>44963</v>
      </c>
    </row>
    <row r="39" spans="33:33" x14ac:dyDescent="0.25">
      <c r="AG39" s="7">
        <v>44964</v>
      </c>
    </row>
    <row r="40" spans="33:33" x14ac:dyDescent="0.25">
      <c r="AG40" s="7">
        <v>44965</v>
      </c>
    </row>
    <row r="41" spans="33:33" x14ac:dyDescent="0.25">
      <c r="AG41" s="7">
        <v>44966</v>
      </c>
    </row>
    <row r="42" spans="33:33" x14ac:dyDescent="0.25">
      <c r="AG42" s="7">
        <v>44967</v>
      </c>
    </row>
    <row r="43" spans="33:33" x14ac:dyDescent="0.25">
      <c r="AG43" s="7">
        <v>44968</v>
      </c>
    </row>
    <row r="44" spans="33:33" x14ac:dyDescent="0.25">
      <c r="AG44" s="7">
        <v>44969</v>
      </c>
    </row>
    <row r="45" spans="33:33" x14ac:dyDescent="0.25">
      <c r="AG45" s="7">
        <v>44970</v>
      </c>
    </row>
    <row r="46" spans="33:33" x14ac:dyDescent="0.25">
      <c r="AG46" s="7">
        <v>44971</v>
      </c>
    </row>
    <row r="47" spans="33:33" x14ac:dyDescent="0.25">
      <c r="AG47" s="7">
        <v>44972</v>
      </c>
    </row>
    <row r="48" spans="33:33" x14ac:dyDescent="0.25">
      <c r="AG48" s="7">
        <v>44973</v>
      </c>
    </row>
    <row r="49" spans="33:33" x14ac:dyDescent="0.25">
      <c r="AG49" s="7">
        <v>44974</v>
      </c>
    </row>
    <row r="50" spans="33:33" x14ac:dyDescent="0.25">
      <c r="AG50" s="7">
        <v>44975</v>
      </c>
    </row>
    <row r="51" spans="33:33" x14ac:dyDescent="0.25">
      <c r="AG51" s="7">
        <v>44976</v>
      </c>
    </row>
    <row r="52" spans="33:33" x14ac:dyDescent="0.25">
      <c r="AG52" s="7">
        <v>44977</v>
      </c>
    </row>
    <row r="53" spans="33:33" x14ac:dyDescent="0.25">
      <c r="AG53" s="7">
        <v>44978</v>
      </c>
    </row>
    <row r="54" spans="33:33" x14ac:dyDescent="0.25">
      <c r="AG54" s="7">
        <v>44979</v>
      </c>
    </row>
    <row r="55" spans="33:33" x14ac:dyDescent="0.25">
      <c r="AG55" s="7">
        <v>44980</v>
      </c>
    </row>
    <row r="56" spans="33:33" x14ac:dyDescent="0.25">
      <c r="AG56" s="7">
        <v>44981</v>
      </c>
    </row>
    <row r="57" spans="33:33" x14ac:dyDescent="0.25">
      <c r="AG57" s="7">
        <v>44983</v>
      </c>
    </row>
    <row r="58" spans="33:33" x14ac:dyDescent="0.25">
      <c r="AG58" s="7">
        <v>44984</v>
      </c>
    </row>
    <row r="59" spans="33:33" x14ac:dyDescent="0.25">
      <c r="AG59" s="7">
        <v>44985</v>
      </c>
    </row>
    <row r="60" spans="33:33" x14ac:dyDescent="0.25">
      <c r="AG60" s="7">
        <v>44986</v>
      </c>
    </row>
    <row r="61" spans="33:33" x14ac:dyDescent="0.25">
      <c r="AG61" s="7">
        <v>44987</v>
      </c>
    </row>
    <row r="62" spans="33:33" x14ac:dyDescent="0.25">
      <c r="AG62" s="7">
        <v>44988</v>
      </c>
    </row>
    <row r="63" spans="33:33" x14ac:dyDescent="0.25">
      <c r="AG63" s="7">
        <v>44989</v>
      </c>
    </row>
    <row r="64" spans="33:33" x14ac:dyDescent="0.25">
      <c r="AG64" s="7">
        <v>44991</v>
      </c>
    </row>
    <row r="65" spans="33:33" x14ac:dyDescent="0.25">
      <c r="AG65" s="7">
        <v>44992</v>
      </c>
    </row>
    <row r="66" spans="33:33" x14ac:dyDescent="0.25">
      <c r="AG66" s="7">
        <v>44993</v>
      </c>
    </row>
    <row r="67" spans="33:33" x14ac:dyDescent="0.25">
      <c r="AG67" s="7">
        <v>44994</v>
      </c>
    </row>
    <row r="68" spans="33:33" x14ac:dyDescent="0.25">
      <c r="AG68" s="7">
        <v>44995</v>
      </c>
    </row>
    <row r="69" spans="33:33" x14ac:dyDescent="0.25">
      <c r="AG69" s="7">
        <v>44996</v>
      </c>
    </row>
    <row r="70" spans="33:33" x14ac:dyDescent="0.25">
      <c r="AG70" s="7">
        <v>44997</v>
      </c>
    </row>
    <row r="71" spans="33:33" x14ac:dyDescent="0.25">
      <c r="AG71" s="7">
        <v>44998</v>
      </c>
    </row>
    <row r="72" spans="33:33" x14ac:dyDescent="0.25">
      <c r="AG72" s="7">
        <v>44999</v>
      </c>
    </row>
    <row r="73" spans="33:33" x14ac:dyDescent="0.25">
      <c r="AG73" s="7">
        <v>45000</v>
      </c>
    </row>
    <row r="74" spans="33:33" x14ac:dyDescent="0.25">
      <c r="AG74" s="7">
        <v>45001</v>
      </c>
    </row>
    <row r="75" spans="33:33" x14ac:dyDescent="0.25">
      <c r="AG75" s="7">
        <v>45002</v>
      </c>
    </row>
    <row r="76" spans="33:33" x14ac:dyDescent="0.25">
      <c r="AG76" s="7">
        <v>45003</v>
      </c>
    </row>
    <row r="77" spans="33:33" x14ac:dyDescent="0.25">
      <c r="AG77" s="7">
        <v>45004</v>
      </c>
    </row>
    <row r="78" spans="33:33" x14ac:dyDescent="0.25">
      <c r="AG78" s="7">
        <v>45005</v>
      </c>
    </row>
    <row r="79" spans="33:33" x14ac:dyDescent="0.25">
      <c r="AG79" s="7">
        <v>45006</v>
      </c>
    </row>
    <row r="80" spans="33:33" x14ac:dyDescent="0.25">
      <c r="AG80" s="7">
        <v>45007</v>
      </c>
    </row>
    <row r="81" spans="33:33" x14ac:dyDescent="0.25">
      <c r="AG81" s="7">
        <v>45008</v>
      </c>
    </row>
    <row r="82" spans="33:33" x14ac:dyDescent="0.25">
      <c r="AG82" s="7">
        <v>45009</v>
      </c>
    </row>
    <row r="83" spans="33:33" x14ac:dyDescent="0.25">
      <c r="AG83" s="7">
        <v>45010</v>
      </c>
    </row>
    <row r="84" spans="33:33" x14ac:dyDescent="0.25">
      <c r="AG84" s="7">
        <v>45011</v>
      </c>
    </row>
    <row r="85" spans="33:33" x14ac:dyDescent="0.25">
      <c r="AG85" s="7">
        <v>45012</v>
      </c>
    </row>
    <row r="86" spans="33:33" x14ac:dyDescent="0.25">
      <c r="AG86" s="7">
        <v>45013</v>
      </c>
    </row>
    <row r="87" spans="33:33" x14ac:dyDescent="0.25">
      <c r="AG87" s="7">
        <v>45014</v>
      </c>
    </row>
    <row r="88" spans="33:33" x14ac:dyDescent="0.25">
      <c r="AG88" s="7">
        <v>45015</v>
      </c>
    </row>
    <row r="89" spans="33:33" x14ac:dyDescent="0.25">
      <c r="AG89" s="7">
        <v>45016</v>
      </c>
    </row>
    <row r="90" spans="33:33" x14ac:dyDescent="0.25">
      <c r="AG90" s="7">
        <v>45017</v>
      </c>
    </row>
    <row r="91" spans="33:33" x14ac:dyDescent="0.25">
      <c r="AG91" s="7">
        <v>45018</v>
      </c>
    </row>
    <row r="92" spans="33:33" x14ac:dyDescent="0.25">
      <c r="AG92" s="7">
        <v>45020</v>
      </c>
    </row>
    <row r="93" spans="33:33" x14ac:dyDescent="0.25">
      <c r="AG93" s="7">
        <v>45021</v>
      </c>
    </row>
    <row r="94" spans="33:33" x14ac:dyDescent="0.25">
      <c r="AG94" s="7">
        <v>45022</v>
      </c>
    </row>
    <row r="95" spans="33:33" x14ac:dyDescent="0.25">
      <c r="AG95" s="7">
        <v>45024</v>
      </c>
    </row>
    <row r="96" spans="33:33" x14ac:dyDescent="0.25">
      <c r="AG96" s="7">
        <v>45025</v>
      </c>
    </row>
    <row r="97" spans="33:33" x14ac:dyDescent="0.25">
      <c r="AG97" s="7">
        <v>45026</v>
      </c>
    </row>
    <row r="98" spans="33:33" x14ac:dyDescent="0.25">
      <c r="AG98" s="7">
        <v>45027</v>
      </c>
    </row>
    <row r="99" spans="33:33" x14ac:dyDescent="0.25">
      <c r="AG99" s="7">
        <v>45028</v>
      </c>
    </row>
    <row r="100" spans="33:33" x14ac:dyDescent="0.25">
      <c r="AG100" s="7">
        <v>45029</v>
      </c>
    </row>
    <row r="101" spans="33:33" x14ac:dyDescent="0.25">
      <c r="AG101" s="7">
        <v>45030</v>
      </c>
    </row>
    <row r="102" spans="33:33" x14ac:dyDescent="0.25">
      <c r="AG102" s="7">
        <v>45031</v>
      </c>
    </row>
    <row r="103" spans="33:33" x14ac:dyDescent="0.25">
      <c r="AG103" s="7">
        <v>45032</v>
      </c>
    </row>
    <row r="104" spans="33:33" x14ac:dyDescent="0.25">
      <c r="AG104" s="7">
        <v>45033</v>
      </c>
    </row>
    <row r="105" spans="33:33" x14ac:dyDescent="0.25">
      <c r="AG105" s="7">
        <v>45034</v>
      </c>
    </row>
    <row r="106" spans="33:33" x14ac:dyDescent="0.25">
      <c r="AG106" s="7">
        <v>45035</v>
      </c>
    </row>
    <row r="107" spans="33:33" x14ac:dyDescent="0.25">
      <c r="AG107" s="7">
        <v>45036</v>
      </c>
    </row>
    <row r="108" spans="33:33" x14ac:dyDescent="0.25">
      <c r="AG108" s="7">
        <v>45037</v>
      </c>
    </row>
    <row r="109" spans="33:33" x14ac:dyDescent="0.25">
      <c r="AG109" s="7">
        <v>45038</v>
      </c>
    </row>
    <row r="110" spans="33:33" x14ac:dyDescent="0.25">
      <c r="AG110" s="7">
        <v>45040</v>
      </c>
    </row>
    <row r="111" spans="33:33" x14ac:dyDescent="0.25">
      <c r="AG111" s="7">
        <v>45041</v>
      </c>
    </row>
    <row r="112" spans="33:33" x14ac:dyDescent="0.25">
      <c r="AG112" s="7">
        <v>45042</v>
      </c>
    </row>
    <row r="113" spans="33:33" x14ac:dyDescent="0.25">
      <c r="AG113" s="7">
        <v>45043</v>
      </c>
    </row>
    <row r="114" spans="33:33" x14ac:dyDescent="0.25">
      <c r="AG114" s="7">
        <v>45044</v>
      </c>
    </row>
    <row r="115" spans="33:33" x14ac:dyDescent="0.25">
      <c r="AG115" s="7">
        <v>45045</v>
      </c>
    </row>
    <row r="116" spans="33:33" x14ac:dyDescent="0.25">
      <c r="AG116" s="7">
        <v>45046</v>
      </c>
    </row>
    <row r="117" spans="33:33" x14ac:dyDescent="0.25">
      <c r="AG117" s="7">
        <v>45047</v>
      </c>
    </row>
    <row r="118" spans="33:33" x14ac:dyDescent="0.25">
      <c r="AG118" s="7">
        <v>45048</v>
      </c>
    </row>
    <row r="119" spans="33:33" x14ac:dyDescent="0.25">
      <c r="AG119" s="7">
        <v>45049</v>
      </c>
    </row>
    <row r="120" spans="33:33" x14ac:dyDescent="0.25">
      <c r="AG120" s="7">
        <v>45050</v>
      </c>
    </row>
    <row r="121" spans="33:33" x14ac:dyDescent="0.25">
      <c r="AG121" s="7">
        <v>45051</v>
      </c>
    </row>
    <row r="122" spans="33:33" x14ac:dyDescent="0.25">
      <c r="AG122" s="7">
        <v>45052</v>
      </c>
    </row>
    <row r="123" spans="33:33" x14ac:dyDescent="0.25">
      <c r="AG123" s="7">
        <v>45054</v>
      </c>
    </row>
    <row r="124" spans="33:33" x14ac:dyDescent="0.25">
      <c r="AG124" s="7">
        <v>45055</v>
      </c>
    </row>
    <row r="125" spans="33:33" x14ac:dyDescent="0.25">
      <c r="AG125" s="7">
        <v>45056</v>
      </c>
    </row>
    <row r="126" spans="33:33" x14ac:dyDescent="0.25">
      <c r="AG126" s="7">
        <v>45057</v>
      </c>
    </row>
    <row r="127" spans="33:33" x14ac:dyDescent="0.25">
      <c r="AG127" s="7">
        <v>45058</v>
      </c>
    </row>
    <row r="128" spans="33:33" x14ac:dyDescent="0.25">
      <c r="AG128" s="7">
        <v>45059</v>
      </c>
    </row>
    <row r="129" spans="33:33" x14ac:dyDescent="0.25">
      <c r="AG129" s="7">
        <v>45060</v>
      </c>
    </row>
    <row r="130" spans="33:33" x14ac:dyDescent="0.25">
      <c r="AG130" s="7">
        <v>45061</v>
      </c>
    </row>
    <row r="131" spans="33:33" x14ac:dyDescent="0.25">
      <c r="AG131" s="7">
        <v>45062</v>
      </c>
    </row>
    <row r="132" spans="33:33" x14ac:dyDescent="0.25">
      <c r="AG132" s="7">
        <v>45063</v>
      </c>
    </row>
    <row r="133" spans="33:33" x14ac:dyDescent="0.25">
      <c r="AG133" s="7">
        <v>45064</v>
      </c>
    </row>
    <row r="134" spans="33:33" x14ac:dyDescent="0.25">
      <c r="AG134" s="7">
        <v>45065</v>
      </c>
    </row>
    <row r="135" spans="33:33" x14ac:dyDescent="0.25">
      <c r="AG135" s="7">
        <v>45066</v>
      </c>
    </row>
    <row r="136" spans="33:33" x14ac:dyDescent="0.25">
      <c r="AG136" s="7">
        <v>45067</v>
      </c>
    </row>
    <row r="137" spans="33:33" x14ac:dyDescent="0.25">
      <c r="AG137" s="7">
        <v>45068</v>
      </c>
    </row>
    <row r="138" spans="33:33" x14ac:dyDescent="0.25">
      <c r="AG138" s="7">
        <v>45069</v>
      </c>
    </row>
    <row r="139" spans="33:33" x14ac:dyDescent="0.25">
      <c r="AG139" s="7">
        <v>45070</v>
      </c>
    </row>
    <row r="140" spans="33:33" x14ac:dyDescent="0.25">
      <c r="AG140" s="7">
        <v>45071</v>
      </c>
    </row>
    <row r="141" spans="33:33" x14ac:dyDescent="0.25">
      <c r="AG141" s="7">
        <v>45072</v>
      </c>
    </row>
    <row r="142" spans="33:33" x14ac:dyDescent="0.25">
      <c r="AG142" s="7">
        <v>45073</v>
      </c>
    </row>
    <row r="143" spans="33:33" x14ac:dyDescent="0.25">
      <c r="AG143" s="7">
        <v>45075</v>
      </c>
    </row>
    <row r="144" spans="33:33" x14ac:dyDescent="0.25">
      <c r="AG144" s="7">
        <v>45076</v>
      </c>
    </row>
    <row r="145" spans="33:33" x14ac:dyDescent="0.25">
      <c r="AG145" s="7">
        <v>45077</v>
      </c>
    </row>
    <row r="146" spans="33:33" x14ac:dyDescent="0.25">
      <c r="AG146" s="7">
        <v>45078</v>
      </c>
    </row>
    <row r="147" spans="33:33" x14ac:dyDescent="0.25">
      <c r="AG147" s="7">
        <v>45079</v>
      </c>
    </row>
    <row r="148" spans="33:33" x14ac:dyDescent="0.25">
      <c r="AG148" s="7">
        <v>45080</v>
      </c>
    </row>
    <row r="149" spans="33:33" x14ac:dyDescent="0.25">
      <c r="AG149" s="7">
        <v>45081</v>
      </c>
    </row>
    <row r="150" spans="33:33" x14ac:dyDescent="0.25">
      <c r="AG150" s="7">
        <v>45082</v>
      </c>
    </row>
    <row r="151" spans="33:33" x14ac:dyDescent="0.25">
      <c r="AG151" s="7">
        <v>45083</v>
      </c>
    </row>
    <row r="152" spans="33:33" x14ac:dyDescent="0.25">
      <c r="AG152" s="7">
        <v>45084</v>
      </c>
    </row>
    <row r="153" spans="33:33" x14ac:dyDescent="0.25">
      <c r="AG153" s="7">
        <v>45085</v>
      </c>
    </row>
    <row r="154" spans="33:33" x14ac:dyDescent="0.25">
      <c r="AG154" s="7">
        <v>45086</v>
      </c>
    </row>
    <row r="155" spans="33:33" x14ac:dyDescent="0.25">
      <c r="AG155" s="7">
        <v>45087</v>
      </c>
    </row>
    <row r="156" spans="33:33" x14ac:dyDescent="0.25">
      <c r="AG156" s="7">
        <v>45088</v>
      </c>
    </row>
    <row r="157" spans="33:33" x14ac:dyDescent="0.25">
      <c r="AG157" s="7">
        <v>45089</v>
      </c>
    </row>
    <row r="158" spans="33:33" x14ac:dyDescent="0.25">
      <c r="AG158" s="7">
        <v>45090</v>
      </c>
    </row>
    <row r="159" spans="33:33" x14ac:dyDescent="0.25">
      <c r="AG159" s="7">
        <v>45091</v>
      </c>
    </row>
    <row r="160" spans="33:33" x14ac:dyDescent="0.25">
      <c r="AG160" s="7">
        <v>45092</v>
      </c>
    </row>
    <row r="161" spans="33:33" x14ac:dyDescent="0.25">
      <c r="AG161" s="7">
        <v>45093</v>
      </c>
    </row>
    <row r="162" spans="33:33" x14ac:dyDescent="0.25">
      <c r="AG162" s="7">
        <v>45094</v>
      </c>
    </row>
    <row r="163" spans="33:33" x14ac:dyDescent="0.25">
      <c r="AG163" s="7">
        <v>45095</v>
      </c>
    </row>
    <row r="164" spans="33:33" x14ac:dyDescent="0.25">
      <c r="AG164" s="7">
        <v>45096</v>
      </c>
    </row>
    <row r="165" spans="33:33" x14ac:dyDescent="0.25">
      <c r="AG165" s="7">
        <v>45097</v>
      </c>
    </row>
    <row r="166" spans="33:33" x14ac:dyDescent="0.25">
      <c r="AG166" s="7">
        <v>45098</v>
      </c>
    </row>
    <row r="167" spans="33:33" x14ac:dyDescent="0.25">
      <c r="AG167" s="7">
        <v>45099</v>
      </c>
    </row>
    <row r="168" spans="33:33" x14ac:dyDescent="0.25">
      <c r="AG168" s="7">
        <v>45100</v>
      </c>
    </row>
    <row r="169" spans="33:33" x14ac:dyDescent="0.25">
      <c r="AG169" s="7">
        <v>45101</v>
      </c>
    </row>
    <row r="170" spans="33:33" x14ac:dyDescent="0.25">
      <c r="AG170" s="7">
        <v>45102</v>
      </c>
    </row>
    <row r="171" spans="33:33" x14ac:dyDescent="0.25">
      <c r="AG171" s="7">
        <v>45103</v>
      </c>
    </row>
    <row r="172" spans="33:33" x14ac:dyDescent="0.25">
      <c r="AG172" s="7">
        <v>45104</v>
      </c>
    </row>
    <row r="173" spans="33:33" x14ac:dyDescent="0.25">
      <c r="AG173" s="7">
        <v>45105</v>
      </c>
    </row>
    <row r="174" spans="33:33" x14ac:dyDescent="0.25">
      <c r="AG174" s="7">
        <v>45106</v>
      </c>
    </row>
    <row r="175" spans="33:33" x14ac:dyDescent="0.25">
      <c r="AG175" s="7">
        <v>45107</v>
      </c>
    </row>
    <row r="176" spans="33:33" x14ac:dyDescent="0.25">
      <c r="AG176" s="7">
        <v>45108</v>
      </c>
    </row>
    <row r="177" spans="33:33" x14ac:dyDescent="0.25">
      <c r="AG177" s="7">
        <v>45109</v>
      </c>
    </row>
    <row r="178" spans="33:33" x14ac:dyDescent="0.25">
      <c r="AG178" s="7">
        <v>45110</v>
      </c>
    </row>
    <row r="179" spans="33:33" x14ac:dyDescent="0.25">
      <c r="AG179" s="7">
        <v>45111</v>
      </c>
    </row>
    <row r="180" spans="33:33" x14ac:dyDescent="0.25">
      <c r="AG180" s="7">
        <v>45112</v>
      </c>
    </row>
    <row r="181" spans="33:33" x14ac:dyDescent="0.25">
      <c r="AG181" s="7">
        <v>45113</v>
      </c>
    </row>
    <row r="182" spans="33:33" x14ac:dyDescent="0.25">
      <c r="AG182" s="7">
        <v>45114</v>
      </c>
    </row>
    <row r="183" spans="33:33" x14ac:dyDescent="0.25">
      <c r="AG183" s="7">
        <v>45115</v>
      </c>
    </row>
    <row r="184" spans="33:33" x14ac:dyDescent="0.25">
      <c r="AG184" s="7">
        <v>45116</v>
      </c>
    </row>
    <row r="185" spans="33:33" x14ac:dyDescent="0.25">
      <c r="AG185" s="7">
        <v>45117</v>
      </c>
    </row>
    <row r="186" spans="33:33" x14ac:dyDescent="0.25">
      <c r="AG186" s="7">
        <v>45118</v>
      </c>
    </row>
    <row r="187" spans="33:33" x14ac:dyDescent="0.25">
      <c r="AG187" s="7">
        <v>45119</v>
      </c>
    </row>
    <row r="188" spans="33:33" x14ac:dyDescent="0.25">
      <c r="AG188" s="7">
        <v>45120</v>
      </c>
    </row>
    <row r="189" spans="33:33" x14ac:dyDescent="0.25">
      <c r="AG189" s="7">
        <v>45121</v>
      </c>
    </row>
    <row r="190" spans="33:33" x14ac:dyDescent="0.25">
      <c r="AG190" s="7">
        <v>45122</v>
      </c>
    </row>
    <row r="191" spans="33:33" x14ac:dyDescent="0.25">
      <c r="AG191" s="7">
        <v>45123</v>
      </c>
    </row>
    <row r="192" spans="33:33" x14ac:dyDescent="0.25">
      <c r="AG192" s="7">
        <v>45124</v>
      </c>
    </row>
    <row r="193" spans="33:33" x14ac:dyDescent="0.25">
      <c r="AG193" s="7">
        <v>45125</v>
      </c>
    </row>
    <row r="194" spans="33:33" x14ac:dyDescent="0.25">
      <c r="AG194" s="7">
        <v>45126</v>
      </c>
    </row>
    <row r="195" spans="33:33" x14ac:dyDescent="0.25">
      <c r="AG195" s="7">
        <v>45127</v>
      </c>
    </row>
    <row r="196" spans="33:33" x14ac:dyDescent="0.25">
      <c r="AG196" s="7">
        <v>45128</v>
      </c>
    </row>
    <row r="197" spans="33:33" x14ac:dyDescent="0.25">
      <c r="AG197" s="7">
        <v>45129</v>
      </c>
    </row>
    <row r="198" spans="33:33" x14ac:dyDescent="0.25">
      <c r="AG198" s="7">
        <v>45130</v>
      </c>
    </row>
    <row r="199" spans="33:33" x14ac:dyDescent="0.25">
      <c r="AG199" s="7">
        <v>45131</v>
      </c>
    </row>
    <row r="200" spans="33:33" x14ac:dyDescent="0.25">
      <c r="AG200" s="7">
        <v>45132</v>
      </c>
    </row>
    <row r="201" spans="33:33" x14ac:dyDescent="0.25">
      <c r="AG201" s="7">
        <v>45133</v>
      </c>
    </row>
    <row r="202" spans="33:33" x14ac:dyDescent="0.25">
      <c r="AG202" s="7">
        <v>45134</v>
      </c>
    </row>
    <row r="203" spans="33:33" x14ac:dyDescent="0.25">
      <c r="AG203" s="7">
        <v>45135</v>
      </c>
    </row>
    <row r="204" spans="33:33" x14ac:dyDescent="0.25">
      <c r="AG204" s="7">
        <v>45136</v>
      </c>
    </row>
    <row r="205" spans="33:33" x14ac:dyDescent="0.25">
      <c r="AG205" s="7">
        <v>45137</v>
      </c>
    </row>
    <row r="206" spans="33:33" x14ac:dyDescent="0.25">
      <c r="AG206" s="7">
        <v>45138</v>
      </c>
    </row>
    <row r="207" spans="33:33" x14ac:dyDescent="0.25">
      <c r="AG207" s="7">
        <v>45140</v>
      </c>
    </row>
    <row r="208" spans="33:33" x14ac:dyDescent="0.25">
      <c r="AG208" s="7">
        <v>45141</v>
      </c>
    </row>
    <row r="209" spans="33:33" x14ac:dyDescent="0.25">
      <c r="AG209" s="7">
        <v>45142</v>
      </c>
    </row>
    <row r="210" spans="33:33" x14ac:dyDescent="0.25">
      <c r="AG210" s="7">
        <v>45143</v>
      </c>
    </row>
    <row r="211" spans="33:33" x14ac:dyDescent="0.25">
      <c r="AG211" s="7">
        <v>45144</v>
      </c>
    </row>
    <row r="212" spans="33:33" x14ac:dyDescent="0.25">
      <c r="AG212" s="7">
        <v>45145</v>
      </c>
    </row>
    <row r="213" spans="33:33" x14ac:dyDescent="0.25">
      <c r="AG213" s="7">
        <v>45146</v>
      </c>
    </row>
    <row r="214" spans="33:33" x14ac:dyDescent="0.25">
      <c r="AG214" s="7">
        <v>45147</v>
      </c>
    </row>
    <row r="215" spans="33:33" x14ac:dyDescent="0.25">
      <c r="AG215" s="7">
        <v>45148</v>
      </c>
    </row>
    <row r="216" spans="33:33" x14ac:dyDescent="0.25">
      <c r="AG216" s="7">
        <v>45149</v>
      </c>
    </row>
    <row r="217" spans="33:33" x14ac:dyDescent="0.25">
      <c r="AG217" s="7">
        <v>45150</v>
      </c>
    </row>
    <row r="218" spans="33:33" x14ac:dyDescent="0.25">
      <c r="AG218" s="7">
        <v>45151</v>
      </c>
    </row>
    <row r="219" spans="33:33" x14ac:dyDescent="0.25">
      <c r="AG219" s="7">
        <v>45152</v>
      </c>
    </row>
    <row r="220" spans="33:33" x14ac:dyDescent="0.25">
      <c r="AG220" s="7">
        <v>45153</v>
      </c>
    </row>
    <row r="221" spans="33:33" x14ac:dyDescent="0.25">
      <c r="AG221" s="7">
        <v>45154</v>
      </c>
    </row>
    <row r="222" spans="33:33" x14ac:dyDescent="0.25">
      <c r="AG222" s="7">
        <v>45156</v>
      </c>
    </row>
    <row r="223" spans="33:33" x14ac:dyDescent="0.25">
      <c r="AG223" s="7">
        <v>45157</v>
      </c>
    </row>
    <row r="224" spans="33:33" x14ac:dyDescent="0.25">
      <c r="AG224" s="7">
        <v>45158</v>
      </c>
    </row>
    <row r="225" spans="33:33" x14ac:dyDescent="0.25">
      <c r="AG225" s="7">
        <v>45159</v>
      </c>
    </row>
    <row r="226" spans="33:33" x14ac:dyDescent="0.25">
      <c r="AG226" s="7">
        <v>45160</v>
      </c>
    </row>
    <row r="227" spans="33:33" x14ac:dyDescent="0.25">
      <c r="AG227" s="7">
        <v>45161</v>
      </c>
    </row>
    <row r="228" spans="33:33" x14ac:dyDescent="0.25">
      <c r="AG228" s="7">
        <v>45162</v>
      </c>
    </row>
    <row r="229" spans="33:33" x14ac:dyDescent="0.25">
      <c r="AG229" s="7">
        <v>45163</v>
      </c>
    </row>
    <row r="230" spans="33:33" x14ac:dyDescent="0.25">
      <c r="AG230" s="7">
        <v>45164</v>
      </c>
    </row>
    <row r="231" spans="33:33" x14ac:dyDescent="0.25">
      <c r="AG231" s="7">
        <v>45165</v>
      </c>
    </row>
    <row r="232" spans="33:33" x14ac:dyDescent="0.25">
      <c r="AG232" s="7">
        <v>45166</v>
      </c>
    </row>
    <row r="233" spans="33:33" x14ac:dyDescent="0.25">
      <c r="AG233" s="7">
        <v>45167</v>
      </c>
    </row>
    <row r="234" spans="33:33" x14ac:dyDescent="0.25">
      <c r="AG234" s="7">
        <v>45168</v>
      </c>
    </row>
    <row r="235" spans="33:33" x14ac:dyDescent="0.25">
      <c r="AG235" s="7">
        <v>45169</v>
      </c>
    </row>
    <row r="236" spans="33:33" x14ac:dyDescent="0.25">
      <c r="AG236" s="7">
        <v>45170</v>
      </c>
    </row>
    <row r="237" spans="33:33" x14ac:dyDescent="0.25">
      <c r="AG237" s="7">
        <v>45171</v>
      </c>
    </row>
    <row r="238" spans="33:33" x14ac:dyDescent="0.25">
      <c r="AG238" s="7">
        <v>45172</v>
      </c>
    </row>
    <row r="239" spans="33:33" x14ac:dyDescent="0.25">
      <c r="AG239" s="7">
        <v>45173</v>
      </c>
    </row>
    <row r="240" spans="33:33" x14ac:dyDescent="0.25">
      <c r="AG240" s="7">
        <v>45175</v>
      </c>
    </row>
    <row r="241" spans="33:33" x14ac:dyDescent="0.25">
      <c r="AG241" s="7">
        <v>45176</v>
      </c>
    </row>
    <row r="242" spans="33:33" x14ac:dyDescent="0.25">
      <c r="AG242" s="7">
        <v>45178</v>
      </c>
    </row>
    <row r="243" spans="33:33" x14ac:dyDescent="0.25">
      <c r="AG243" s="7">
        <v>45179</v>
      </c>
    </row>
    <row r="244" spans="33:33" x14ac:dyDescent="0.25">
      <c r="AG244" s="7">
        <v>45180</v>
      </c>
    </row>
    <row r="245" spans="33:33" x14ac:dyDescent="0.25">
      <c r="AG245" s="7">
        <v>45181</v>
      </c>
    </row>
    <row r="246" spans="33:33" x14ac:dyDescent="0.25">
      <c r="AG246" s="7">
        <v>45182</v>
      </c>
    </row>
    <row r="247" spans="33:33" x14ac:dyDescent="0.25">
      <c r="AG247" s="7">
        <v>45183</v>
      </c>
    </row>
    <row r="248" spans="33:33" x14ac:dyDescent="0.25">
      <c r="AG248" s="7">
        <v>45184</v>
      </c>
    </row>
    <row r="249" spans="33:33" x14ac:dyDescent="0.25">
      <c r="AG249" s="7">
        <v>45185</v>
      </c>
    </row>
    <row r="250" spans="33:33" x14ac:dyDescent="0.25">
      <c r="AG250" s="7">
        <v>45186</v>
      </c>
    </row>
    <row r="251" spans="33:33" x14ac:dyDescent="0.25">
      <c r="AG251" s="7">
        <v>45187</v>
      </c>
    </row>
    <row r="252" spans="33:33" x14ac:dyDescent="0.25">
      <c r="AG252" s="7">
        <v>45188</v>
      </c>
    </row>
    <row r="253" spans="33:33" x14ac:dyDescent="0.25">
      <c r="AG253" s="7">
        <v>45189</v>
      </c>
    </row>
    <row r="254" spans="33:33" x14ac:dyDescent="0.25">
      <c r="AG254" s="7">
        <v>45190</v>
      </c>
    </row>
    <row r="255" spans="33:33" x14ac:dyDescent="0.25">
      <c r="AG255" s="7">
        <v>45192</v>
      </c>
    </row>
    <row r="256" spans="33:33" x14ac:dyDescent="0.25">
      <c r="AG256" s="7">
        <v>45193</v>
      </c>
    </row>
    <row r="257" spans="33:33" x14ac:dyDescent="0.25">
      <c r="AG257" s="7">
        <v>45194</v>
      </c>
    </row>
    <row r="258" spans="33:33" x14ac:dyDescent="0.25">
      <c r="AG258" s="7">
        <v>45195</v>
      </c>
    </row>
    <row r="259" spans="33:33" x14ac:dyDescent="0.25">
      <c r="AG259" s="7">
        <v>45196</v>
      </c>
    </row>
    <row r="260" spans="33:33" x14ac:dyDescent="0.25">
      <c r="AG260" s="7">
        <v>45197</v>
      </c>
    </row>
    <row r="261" spans="33:33" x14ac:dyDescent="0.25">
      <c r="AG261" s="7">
        <v>45198</v>
      </c>
    </row>
    <row r="262" spans="33:33" x14ac:dyDescent="0.25">
      <c r="AG262" s="7">
        <v>45199</v>
      </c>
    </row>
    <row r="263" spans="33:33" x14ac:dyDescent="0.25">
      <c r="AG263" s="7">
        <v>45200</v>
      </c>
    </row>
    <row r="264" spans="33:33" x14ac:dyDescent="0.25">
      <c r="AG264" s="7">
        <v>45201</v>
      </c>
    </row>
    <row r="265" spans="33:33" x14ac:dyDescent="0.25">
      <c r="AG265" s="7">
        <v>45202</v>
      </c>
    </row>
    <row r="266" spans="33:33" x14ac:dyDescent="0.25">
      <c r="AG266" s="7">
        <v>45203</v>
      </c>
    </row>
    <row r="267" spans="33:33" x14ac:dyDescent="0.25">
      <c r="AG267" s="7">
        <v>45204</v>
      </c>
    </row>
    <row r="268" spans="33:33" x14ac:dyDescent="0.25">
      <c r="AG268" s="7">
        <v>45205</v>
      </c>
    </row>
    <row r="269" spans="33:33" x14ac:dyDescent="0.25">
      <c r="AG269" s="7">
        <v>45206</v>
      </c>
    </row>
    <row r="270" spans="33:33" x14ac:dyDescent="0.25">
      <c r="AG270" s="7">
        <v>45207</v>
      </c>
    </row>
    <row r="271" spans="33:33" x14ac:dyDescent="0.25">
      <c r="AG271" s="7">
        <v>45208</v>
      </c>
    </row>
    <row r="272" spans="33:33" x14ac:dyDescent="0.25">
      <c r="AG272" s="7">
        <v>45209</v>
      </c>
    </row>
    <row r="273" spans="33:33" x14ac:dyDescent="0.25">
      <c r="AG273" s="7">
        <v>45210</v>
      </c>
    </row>
    <row r="274" spans="33:33" x14ac:dyDescent="0.25">
      <c r="AG274" s="7">
        <v>45211</v>
      </c>
    </row>
    <row r="275" spans="33:33" x14ac:dyDescent="0.25">
      <c r="AG275" s="7">
        <v>45212</v>
      </c>
    </row>
    <row r="276" spans="33:33" x14ac:dyDescent="0.25">
      <c r="AG276" s="7">
        <v>45213</v>
      </c>
    </row>
    <row r="277" spans="33:33" x14ac:dyDescent="0.25">
      <c r="AG277" s="7">
        <v>45214</v>
      </c>
    </row>
    <row r="278" spans="33:33" x14ac:dyDescent="0.25">
      <c r="AG278" s="7">
        <v>45215</v>
      </c>
    </row>
    <row r="279" spans="33:33" x14ac:dyDescent="0.25">
      <c r="AG279" s="7">
        <v>45216</v>
      </c>
    </row>
    <row r="280" spans="33:33" x14ac:dyDescent="0.25">
      <c r="AG280" s="7">
        <v>45217</v>
      </c>
    </row>
    <row r="281" spans="33:33" x14ac:dyDescent="0.25">
      <c r="AG281" s="7">
        <v>45218</v>
      </c>
    </row>
    <row r="282" spans="33:33" x14ac:dyDescent="0.25">
      <c r="AG282" s="7">
        <v>45219</v>
      </c>
    </row>
    <row r="283" spans="33:33" x14ac:dyDescent="0.25">
      <c r="AG283" s="7">
        <v>45220</v>
      </c>
    </row>
    <row r="284" spans="33:33" x14ac:dyDescent="0.25">
      <c r="AG284" s="7">
        <v>45221</v>
      </c>
    </row>
    <row r="285" spans="33:33" x14ac:dyDescent="0.25">
      <c r="AG285" s="7">
        <v>45222</v>
      </c>
    </row>
    <row r="286" spans="33:33" x14ac:dyDescent="0.25">
      <c r="AG286" s="7">
        <v>45223</v>
      </c>
    </row>
    <row r="287" spans="33:33" x14ac:dyDescent="0.25">
      <c r="AG287" s="7">
        <v>45224</v>
      </c>
    </row>
    <row r="288" spans="33:33" x14ac:dyDescent="0.25">
      <c r="AG288" s="7">
        <v>45225</v>
      </c>
    </row>
    <row r="289" spans="33:33" x14ac:dyDescent="0.25">
      <c r="AG289" s="7">
        <v>45227</v>
      </c>
    </row>
    <row r="290" spans="33:33" x14ac:dyDescent="0.25">
      <c r="AG290" s="7">
        <v>45228</v>
      </c>
    </row>
    <row r="291" spans="33:33" x14ac:dyDescent="0.25">
      <c r="AG291" s="7">
        <v>45229</v>
      </c>
    </row>
    <row r="292" spans="33:33" x14ac:dyDescent="0.25">
      <c r="AG292" s="7">
        <v>45230</v>
      </c>
    </row>
    <row r="293" spans="33:33" x14ac:dyDescent="0.25">
      <c r="AG293" s="7">
        <v>45231</v>
      </c>
    </row>
    <row r="294" spans="33:33" x14ac:dyDescent="0.25">
      <c r="AG294" s="7">
        <v>45232</v>
      </c>
    </row>
    <row r="295" spans="33:33" x14ac:dyDescent="0.25">
      <c r="AG295" s="7">
        <v>45233</v>
      </c>
    </row>
    <row r="296" spans="33:33" x14ac:dyDescent="0.25">
      <c r="AG296" s="7">
        <v>45234</v>
      </c>
    </row>
    <row r="297" spans="33:33" x14ac:dyDescent="0.25">
      <c r="AG297" s="7">
        <v>45235</v>
      </c>
    </row>
    <row r="298" spans="33:33" x14ac:dyDescent="0.25">
      <c r="AG298" s="7">
        <v>45236</v>
      </c>
    </row>
    <row r="299" spans="33:33" x14ac:dyDescent="0.25">
      <c r="AG299" s="7">
        <v>45237</v>
      </c>
    </row>
    <row r="300" spans="33:33" x14ac:dyDescent="0.25">
      <c r="AG300" s="7">
        <v>45238</v>
      </c>
    </row>
    <row r="301" spans="33:33" x14ac:dyDescent="0.25">
      <c r="AG301" s="7">
        <v>45239</v>
      </c>
    </row>
    <row r="302" spans="33:33" x14ac:dyDescent="0.25">
      <c r="AG302" s="7">
        <v>45240</v>
      </c>
    </row>
    <row r="303" spans="33:33" x14ac:dyDescent="0.25">
      <c r="AG303" s="7">
        <v>45241</v>
      </c>
    </row>
    <row r="304" spans="33:33" x14ac:dyDescent="0.25">
      <c r="AG304" s="7">
        <v>45242</v>
      </c>
    </row>
    <row r="305" spans="33:33" x14ac:dyDescent="0.25">
      <c r="AG305" s="7">
        <v>45243</v>
      </c>
    </row>
    <row r="306" spans="33:33" x14ac:dyDescent="0.25">
      <c r="AG306" s="7">
        <v>45244</v>
      </c>
    </row>
    <row r="307" spans="33:33" x14ac:dyDescent="0.25">
      <c r="AG307" s="7">
        <v>45245</v>
      </c>
    </row>
    <row r="308" spans="33:33" x14ac:dyDescent="0.25">
      <c r="AG308" s="7">
        <v>45246</v>
      </c>
    </row>
    <row r="309" spans="33:33" x14ac:dyDescent="0.25">
      <c r="AG309" s="7">
        <v>45247</v>
      </c>
    </row>
    <row r="310" spans="33:33" x14ac:dyDescent="0.25">
      <c r="AG310" s="7">
        <v>45248</v>
      </c>
    </row>
    <row r="311" spans="33:33" x14ac:dyDescent="0.25">
      <c r="AG311" s="7">
        <v>45249</v>
      </c>
    </row>
    <row r="312" spans="33:33" x14ac:dyDescent="0.25">
      <c r="AG312" s="7">
        <v>45250</v>
      </c>
    </row>
    <row r="313" spans="33:33" x14ac:dyDescent="0.25">
      <c r="AG313" s="7">
        <v>45251</v>
      </c>
    </row>
    <row r="314" spans="33:33" x14ac:dyDescent="0.25">
      <c r="AG314" s="7">
        <v>45252</v>
      </c>
    </row>
    <row r="315" spans="33:33" x14ac:dyDescent="0.25">
      <c r="AG315" s="7">
        <v>45253</v>
      </c>
    </row>
    <row r="316" spans="33:33" x14ac:dyDescent="0.25">
      <c r="AG316" s="7">
        <v>45254</v>
      </c>
    </row>
    <row r="317" spans="33:33" x14ac:dyDescent="0.25">
      <c r="AG317" s="7">
        <v>45255</v>
      </c>
    </row>
    <row r="318" spans="33:33" x14ac:dyDescent="0.25">
      <c r="AG318" s="7">
        <v>45256</v>
      </c>
    </row>
    <row r="319" spans="33:33" x14ac:dyDescent="0.25">
      <c r="AG319" s="7">
        <v>45257</v>
      </c>
    </row>
    <row r="320" spans="33:33" x14ac:dyDescent="0.25">
      <c r="AG320" s="7">
        <v>45258</v>
      </c>
    </row>
    <row r="321" spans="33:33" x14ac:dyDescent="0.25">
      <c r="AG321" s="7">
        <v>45259</v>
      </c>
    </row>
    <row r="322" spans="33:33" x14ac:dyDescent="0.25">
      <c r="AG322" s="7">
        <v>45260</v>
      </c>
    </row>
    <row r="323" spans="33:33" x14ac:dyDescent="0.25">
      <c r="AG323" s="7">
        <v>45261</v>
      </c>
    </row>
    <row r="324" spans="33:33" x14ac:dyDescent="0.25">
      <c r="AG324" s="7">
        <v>45262</v>
      </c>
    </row>
    <row r="325" spans="33:33" x14ac:dyDescent="0.25">
      <c r="AG325" s="7">
        <v>45263</v>
      </c>
    </row>
    <row r="326" spans="33:33" x14ac:dyDescent="0.25">
      <c r="AG326" s="7">
        <v>45264</v>
      </c>
    </row>
    <row r="327" spans="33:33" x14ac:dyDescent="0.25">
      <c r="AG327" s="7">
        <v>45265</v>
      </c>
    </row>
    <row r="328" spans="33:33" x14ac:dyDescent="0.25">
      <c r="AG328" s="7">
        <v>45266</v>
      </c>
    </row>
    <row r="329" spans="33:33" x14ac:dyDescent="0.25">
      <c r="AG329" s="7">
        <v>45267</v>
      </c>
    </row>
    <row r="330" spans="33:33" x14ac:dyDescent="0.25">
      <c r="AG330" s="7">
        <v>45269</v>
      </c>
    </row>
    <row r="331" spans="33:33" x14ac:dyDescent="0.25">
      <c r="AG331" s="7">
        <v>45270</v>
      </c>
    </row>
    <row r="332" spans="33:33" x14ac:dyDescent="0.25">
      <c r="AG332" s="7">
        <v>45271</v>
      </c>
    </row>
    <row r="333" spans="33:33" x14ac:dyDescent="0.25">
      <c r="AG333" s="7">
        <v>45272</v>
      </c>
    </row>
    <row r="334" spans="33:33" x14ac:dyDescent="0.25">
      <c r="AG334" s="7">
        <v>45273</v>
      </c>
    </row>
    <row r="335" spans="33:33" x14ac:dyDescent="0.25">
      <c r="AG335" s="7">
        <v>45274</v>
      </c>
    </row>
    <row r="336" spans="33:33" x14ac:dyDescent="0.25">
      <c r="AG336" s="7">
        <v>45275</v>
      </c>
    </row>
    <row r="337" spans="33:33" x14ac:dyDescent="0.25">
      <c r="AG337" s="7">
        <v>45276</v>
      </c>
    </row>
    <row r="338" spans="33:33" x14ac:dyDescent="0.25">
      <c r="AG338" s="7">
        <v>45277</v>
      </c>
    </row>
    <row r="339" spans="33:33" x14ac:dyDescent="0.25">
      <c r="AG339" s="7">
        <v>45279</v>
      </c>
    </row>
    <row r="340" spans="33:33" x14ac:dyDescent="0.25">
      <c r="AG340" s="7">
        <v>45280</v>
      </c>
    </row>
    <row r="341" spans="33:33" x14ac:dyDescent="0.25">
      <c r="AG341" s="7">
        <v>45281</v>
      </c>
    </row>
    <row r="342" spans="33:33" x14ac:dyDescent="0.25">
      <c r="AG342" s="7">
        <v>45282</v>
      </c>
    </row>
    <row r="343" spans="33:33" x14ac:dyDescent="0.25">
      <c r="AG343" s="7">
        <v>45283</v>
      </c>
    </row>
    <row r="344" spans="33:33" x14ac:dyDescent="0.25">
      <c r="AG344" s="7">
        <v>45284</v>
      </c>
    </row>
    <row r="345" spans="33:33" x14ac:dyDescent="0.25">
      <c r="AG345" s="7">
        <v>45285</v>
      </c>
    </row>
    <row r="346" spans="33:33" x14ac:dyDescent="0.25">
      <c r="AG346" s="7">
        <v>45286</v>
      </c>
    </row>
    <row r="347" spans="33:33" x14ac:dyDescent="0.25">
      <c r="AG347" s="7">
        <v>45288</v>
      </c>
    </row>
    <row r="348" spans="33:33" x14ac:dyDescent="0.25">
      <c r="AG348" s="7">
        <v>45289</v>
      </c>
    </row>
    <row r="349" spans="33:33" x14ac:dyDescent="0.25">
      <c r="AG349" s="7">
        <v>45290</v>
      </c>
    </row>
    <row r="350" spans="33:33" x14ac:dyDescent="0.25">
      <c r="AG350" s="7">
        <v>45291</v>
      </c>
    </row>
    <row r="351" spans="33:33" x14ac:dyDescent="0.25">
      <c r="AG351" s="7" t="s">
        <v>73</v>
      </c>
    </row>
  </sheetData>
  <pageMargins left="0.7" right="0.7" top="0.75" bottom="0.75" header="0.3" footer="0.3"/>
  <tableParts count="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3B46-301C-4F31-A701-538EF5D57B80}">
  <sheetPr>
    <pageSetUpPr autoPageBreaks="0"/>
  </sheetPr>
  <dimension ref="A1"/>
  <sheetViews>
    <sheetView tabSelected="1" topLeftCell="A16" zoomScale="25" zoomScaleNormal="25" workbookViewId="0">
      <selection sqref="A1:XFD1048576"/>
    </sheetView>
  </sheetViews>
  <sheetFormatPr defaultRowHeight="15" x14ac:dyDescent="0.25"/>
  <cols>
    <col min="1" max="16384" width="9.140625" style="11"/>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0B91FDE8-232E-45A0-B659-C81E704B2A7B}">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8B26D74A-6720-4162-A805-FC8DA6193CE1}">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44433264-434C-44A9-BE0E-484CE03CE706}">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4C80C36B-B908-4D76-B522-2A17F7C399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Data_Table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Nexskill</dc:creator>
  <cp:lastModifiedBy>CC</cp:lastModifiedBy>
  <cp:lastPrinted>2026-07-25T21:25:36Z</cp:lastPrinted>
  <dcterms:created xsi:type="dcterms:W3CDTF">2026-07-14T09:12:11Z</dcterms:created>
  <dcterms:modified xsi:type="dcterms:W3CDTF">2026-07-26T03:29:15Z</dcterms:modified>
</cp:coreProperties>
</file>